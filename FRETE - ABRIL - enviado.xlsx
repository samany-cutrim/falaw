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yc\Downloads\"/>
    </mc:Choice>
  </mc:AlternateContent>
  <xr:revisionPtr revIDLastSave="0" documentId="13_ncr:1_{66144B2E-C1D9-48B0-8BF5-870681F2EF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  <sheet name="ATIVOS" sheetId="2" r:id="rId2"/>
    <sheet name="ENCERRADOS" sheetId="3" r:id="rId3"/>
    <sheet name="PROCEDIMENTO ADMINISTRATIVO" sheetId="4" r:id="rId4"/>
    <sheet name="_ChartData" sheetId="5" state="hidden" r:id="rId5"/>
  </sheets>
  <definedNames>
    <definedName name="_xlnm._FilterDatabase" localSheetId="1" hidden="1">ATIVOS!$A$2:$AY$36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L77ykCqOpE+35Y8wnKGjJpiFUBk7JGf+vH5smOWnt1M="/>
    </ext>
  </extLst>
</workbook>
</file>

<file path=xl/calcChain.xml><?xml version="1.0" encoding="utf-8"?>
<calcChain xmlns="http://schemas.openxmlformats.org/spreadsheetml/2006/main">
  <c r="M130" i="1" l="1"/>
  <c r="M129" i="1"/>
  <c r="M128" i="1"/>
  <c r="C137" i="1"/>
  <c r="D134" i="1"/>
  <c r="D133" i="1"/>
  <c r="D132" i="1"/>
  <c r="D131" i="1"/>
  <c r="D130" i="1"/>
  <c r="D129" i="1"/>
  <c r="D128" i="1"/>
  <c r="B54" i="1"/>
  <c r="D79" i="1"/>
  <c r="D78" i="1"/>
  <c r="C79" i="1"/>
  <c r="C78" i="1"/>
  <c r="D74" i="1"/>
  <c r="D73" i="1"/>
  <c r="D72" i="1"/>
  <c r="D71" i="1"/>
  <c r="D70" i="1"/>
  <c r="D69" i="1"/>
  <c r="D68" i="1"/>
  <c r="D67" i="1"/>
  <c r="C74" i="1"/>
  <c r="C73" i="1"/>
  <c r="C72" i="1"/>
  <c r="C71" i="1"/>
  <c r="C70" i="1"/>
  <c r="C69" i="1"/>
  <c r="C68" i="1"/>
  <c r="C67" i="1"/>
  <c r="B63" i="1"/>
  <c r="L13" i="1"/>
  <c r="L12" i="1"/>
  <c r="L11" i="1"/>
  <c r="K13" i="1"/>
  <c r="K12" i="1"/>
  <c r="K11" i="1"/>
  <c r="E6" i="1"/>
  <c r="B6" i="1"/>
  <c r="K104" i="1" s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B12" i="5"/>
  <c r="B11" i="5"/>
  <c r="B10" i="5"/>
  <c r="B9" i="5"/>
  <c r="B8" i="5"/>
  <c r="C4" i="5"/>
  <c r="B4" i="5"/>
  <c r="C3" i="5"/>
  <c r="B3" i="5"/>
  <c r="C2" i="5"/>
  <c r="B2" i="5"/>
  <c r="N105" i="1"/>
  <c r="K105" i="1"/>
  <c r="N103" i="1"/>
  <c r="K103" i="1"/>
  <c r="K102" i="1"/>
  <c r="N101" i="1"/>
  <c r="N106" i="1" s="1"/>
  <c r="K101" i="1"/>
  <c r="F74" i="1"/>
  <c r="F73" i="1"/>
  <c r="F72" i="1"/>
  <c r="F71" i="1"/>
  <c r="F70" i="1"/>
  <c r="F69" i="1"/>
  <c r="F68" i="1"/>
  <c r="F67" i="1"/>
  <c r="N36" i="1"/>
  <c r="M36" i="1"/>
  <c r="L36" i="1"/>
  <c r="K36" i="1"/>
  <c r="J36" i="1"/>
  <c r="N35" i="1"/>
  <c r="M35" i="1"/>
  <c r="L35" i="1"/>
  <c r="K35" i="1"/>
  <c r="J35" i="1"/>
  <c r="N34" i="1"/>
  <c r="M34" i="1"/>
  <c r="L34" i="1"/>
  <c r="K34" i="1"/>
  <c r="J34" i="1"/>
  <c r="N33" i="1"/>
  <c r="M33" i="1"/>
  <c r="L33" i="1"/>
  <c r="K33" i="1"/>
  <c r="J33" i="1"/>
  <c r="N32" i="1"/>
  <c r="M32" i="1"/>
  <c r="L32" i="1"/>
  <c r="K32" i="1"/>
  <c r="J32" i="1"/>
  <c r="N31" i="1"/>
  <c r="M31" i="1"/>
  <c r="L31" i="1"/>
  <c r="K31" i="1"/>
  <c r="J31" i="1"/>
  <c r="L21" i="1"/>
  <c r="K21" i="1"/>
  <c r="J21" i="1"/>
  <c r="F21" i="1"/>
  <c r="E21" i="1"/>
  <c r="D21" i="1"/>
  <c r="C21" i="1"/>
  <c r="B21" i="1"/>
  <c r="L20" i="1"/>
  <c r="K20" i="1"/>
  <c r="J20" i="1"/>
  <c r="F20" i="1"/>
  <c r="E20" i="1"/>
  <c r="D20" i="1"/>
  <c r="C20" i="1"/>
  <c r="B20" i="1"/>
  <c r="L19" i="1"/>
  <c r="K19" i="1"/>
  <c r="J19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N6" i="1"/>
  <c r="J6" i="1"/>
  <c r="D136" i="1" l="1"/>
  <c r="D135" i="1"/>
  <c r="D137" i="1" s="1"/>
  <c r="D80" i="1"/>
  <c r="L14" i="1"/>
  <c r="E79" i="1"/>
  <c r="B60" i="1"/>
  <c r="K37" i="1"/>
  <c r="N37" i="1"/>
  <c r="B51" i="1"/>
  <c r="K106" i="1"/>
  <c r="L101" i="1" s="1"/>
  <c r="C80" i="1"/>
  <c r="E78" i="1"/>
  <c r="K14" i="1"/>
  <c r="M11" i="1" s="1"/>
  <c r="E80" i="1" l="1"/>
  <c r="L102" i="1"/>
  <c r="L103" i="1"/>
  <c r="L104" i="1"/>
  <c r="L105" i="1"/>
  <c r="M13" i="1"/>
  <c r="M12" i="1"/>
  <c r="L106" i="1" l="1"/>
  <c r="M14" i="1"/>
</calcChain>
</file>

<file path=xl/sharedStrings.xml><?xml version="1.0" encoding="utf-8"?>
<sst xmlns="http://schemas.openxmlformats.org/spreadsheetml/2006/main" count="1786" uniqueCount="772">
  <si>
    <t>PROCESSOS ATIVOS</t>
  </si>
  <si>
    <t>EXPOSIÇÃO TOTAL</t>
  </si>
  <si>
    <t>PROCESSOS ENCERRADOS</t>
  </si>
  <si>
    <t>TAXA DE ÊXITO</t>
  </si>
  <si>
    <t>em andamento</t>
  </si>
  <si>
    <t>valor da causa</t>
  </si>
  <si>
    <t>no período</t>
  </si>
  <si>
    <t>casos favoráveis</t>
  </si>
  <si>
    <t>▎ PROCESSOS ATIVOS — RISCO PROVÁVEL</t>
  </si>
  <si>
    <t>▎ DISTRIBUIÇÃO POR RISCO</t>
  </si>
  <si>
    <t>PROCESSO</t>
  </si>
  <si>
    <t>RECLAMANTE</t>
  </si>
  <si>
    <t>VALOR (R$)</t>
  </si>
  <si>
    <t>RISCO</t>
  </si>
  <si>
    <t>FASE ATUAL</t>
  </si>
  <si>
    <t>CLASSIFICAÇÃO</t>
  </si>
  <si>
    <t>QTD</t>
  </si>
  <si>
    <t>% DO TOTAL</t>
  </si>
  <si>
    <t>● PROVÁVEL</t>
  </si>
  <si>
    <t>● POSSÍVEL</t>
  </si>
  <si>
    <t>● REMOTO</t>
  </si>
  <si>
    <t>TOTAL</t>
  </si>
  <si>
    <t>▎ PROCEDIMENTOS ADMINISTRATIVOS</t>
  </si>
  <si>
    <t>DESCRIÇÃO</t>
  </si>
  <si>
    <t>STATUS</t>
  </si>
  <si>
    <t>RESULTADO</t>
  </si>
  <si>
    <t>Arquivado</t>
  </si>
  <si>
    <t>Termo de Compromisso</t>
  </si>
  <si>
    <t>▎ PROCESSOS ENCERRADOS — IMPROCEDÊNCIA TOTAL</t>
  </si>
  <si>
    <t>ENCERRAMENTO</t>
  </si>
  <si>
    <t>DESFECHO</t>
  </si>
  <si>
    <t>VALORES (R$)</t>
  </si>
  <si>
    <t>TOTAL IMPROCEDÊNCIAS</t>
  </si>
  <si>
    <t>▎ INDICADORES-CHAVE</t>
  </si>
  <si>
    <t>TOTAL DE PROCESSOS GERIDOS</t>
  </si>
  <si>
    <t>ativos + encerrados</t>
  </si>
  <si>
    <t>VALOR TOTAL EM ACORDOS</t>
  </si>
  <si>
    <t>soma dos acordos</t>
  </si>
  <si>
    <t>TEMPO MÉDIO DE RESOLUÇÃO</t>
  </si>
  <si>
    <t>~24 meses</t>
  </si>
  <si>
    <t>estimativa média</t>
  </si>
  <si>
    <t>RISCO PREDOMINANTE</t>
  </si>
  <si>
    <t>maior concentração</t>
  </si>
  <si>
    <t>CONDENAÇÕES EFETIVAS</t>
  </si>
  <si>
    <t>processos com condenação</t>
  </si>
  <si>
    <t>▎ PRINCIPAIS PEDIDOS RECORRENTES</t>
  </si>
  <si>
    <t>▎ STATUS / PRÓXIMOS PASSOS</t>
  </si>
  <si>
    <t>PEDIDO</t>
  </si>
  <si>
    <t>OCORRÊNCIAS</t>
  </si>
  <si>
    <t>FREQUÊNCIA</t>
  </si>
  <si>
    <t>STATUS / PRÓXIMA AÇÃO</t>
  </si>
  <si>
    <t>Horas Extras</t>
  </si>
  <si>
    <t>⏳</t>
  </si>
  <si>
    <t>Equiparação Salarial</t>
  </si>
  <si>
    <t>Intervalo Intrajornada</t>
  </si>
  <si>
    <t>Honorários de Sucumbência</t>
  </si>
  <si>
    <t>Dano Moral</t>
  </si>
  <si>
    <t>Verbas Rescisórias</t>
  </si>
  <si>
    <t>DSR / Comissões</t>
  </si>
  <si>
    <t>FGTS / Multa 40%</t>
  </si>
  <si>
    <t>▎ DECISÕES JUDICIAIS POR INSTÂNCIA</t>
  </si>
  <si>
    <t>INSTÂNCIA</t>
  </si>
  <si>
    <t>FAVORÁVEL</t>
  </si>
  <si>
    <t>DESFAVORÁVEL</t>
  </si>
  <si>
    <t>1º Grau</t>
  </si>
  <si>
    <t>2º Grau</t>
  </si>
  <si>
    <t>▎ EVOLUÇÃO PROCESSUAL</t>
  </si>
  <si>
    <t>VALOR PAGO (R$)</t>
  </si>
  <si>
    <t>Improcedência</t>
  </si>
  <si>
    <t>Favorável</t>
  </si>
  <si>
    <t>Extinção c/ Mérito</t>
  </si>
  <si>
    <t>Acordo</t>
  </si>
  <si>
    <t>Em Andamento</t>
  </si>
  <si>
    <t>Pendente</t>
  </si>
  <si>
    <t>—</t>
  </si>
  <si>
    <t>Condenação</t>
  </si>
  <si>
    <t>Desfavorável</t>
  </si>
  <si>
    <t>▎ RANKING — JUÍZES FAVORÁVEIS</t>
  </si>
  <si>
    <t>▎ RANKING — JUÍZES DESFAVORÁVEIS</t>
  </si>
  <si>
    <t>JULGADOR</t>
  </si>
  <si>
    <t>FAVORÁVEIS</t>
  </si>
  <si>
    <t>% ÊXITO</t>
  </si>
  <si>
    <t>DESFAV.</t>
  </si>
  <si>
    <t>% DESFAV.</t>
  </si>
  <si>
    <t>Amaury Rodrigues Pinto Junior</t>
  </si>
  <si>
    <t>TST</t>
  </si>
  <si>
    <t>Leticia Neto Amaral</t>
  </si>
  <si>
    <t>Marina de Almeida Aoki</t>
  </si>
  <si>
    <t>Rita de Cassia Martinez</t>
  </si>
  <si>
    <t>Luciana Siqueira Alves Garcia</t>
  </si>
  <si>
    <t>Jeronimo Azambuja Franco Neto</t>
  </si>
  <si>
    <t>Fernando Maidana Miguel</t>
  </si>
  <si>
    <t>Cláudia Tejeda Costa</t>
  </si>
  <si>
    <t>Vinícius Daniel Petry</t>
  </si>
  <si>
    <t>Eudivan Batista de Souza</t>
  </si>
  <si>
    <t>Jorge Eduardo Assad</t>
  </si>
  <si>
    <t>Talita Luci Mendes Falcão</t>
  </si>
  <si>
    <t>Maria de Lourdes Antonio</t>
  </si>
  <si>
    <t>Marcelo Pereira das Neves</t>
  </si>
  <si>
    <t>Sônia Maria de Barros</t>
  </si>
  <si>
    <t>Ana Maria M. Barbosa Macedo</t>
  </si>
  <si>
    <t>James Magno Araújo Farias</t>
  </si>
  <si>
    <t>Sônia Maria Forster do Amaral</t>
  </si>
  <si>
    <t>Luís Carlos G. Carneiro Filho</t>
  </si>
  <si>
    <t>Ricardo A. Costa e Trigueiros</t>
  </si>
  <si>
    <t>Daniel de Paula Guimarães</t>
  </si>
  <si>
    <t>Magda Cardoso Mateus Silva</t>
  </si>
  <si>
    <t>Angela Rosi Almeida Chapper</t>
  </si>
  <si>
    <t>Alexandre Luiz Ramos</t>
  </si>
  <si>
    <t>▎ RANKING — ADVOGADOS CONTRÁRIOS (PROCESSOS ATIVOS)</t>
  </si>
  <si>
    <t>▎ CONCENTRAÇÃO DE RISCO — ADVOGADOS</t>
  </si>
  <si>
    <t>ESCRITÓRIO / ADVOGADO</t>
  </si>
  <si>
    <t>QTD PROCESSOS</t>
  </si>
  <si>
    <t>DESTAQUE</t>
  </si>
  <si>
    <t>TOP 3 ESCRITÓRIOS</t>
  </si>
  <si>
    <t>PROCESSOS</t>
  </si>
  <si>
    <t>% TOTAL</t>
  </si>
  <si>
    <t>Rodrigues &amp; Miranda Advogados Associados</t>
  </si>
  <si>
    <t>⚠ RECORRENTE</t>
  </si>
  <si>
    <t>Rodrigues &amp; Miranda</t>
  </si>
  <si>
    <t>⚠ ALTO</t>
  </si>
  <si>
    <t>Martins &amp; Fernandes Advogados Associados</t>
  </si>
  <si>
    <t>Martins &amp; Fernandes</t>
  </si>
  <si>
    <t>● MÉDIO</t>
  </si>
  <si>
    <t>Lima Advogados Associados</t>
  </si>
  <si>
    <t>Lima / Zamith / Calliari</t>
  </si>
  <si>
    <t>● BAIXO</t>
  </si>
  <si>
    <t>Zamith Assessoria Jurídica</t>
  </si>
  <si>
    <t>Calliari &amp; Teixeira Advogados Associados</t>
  </si>
  <si>
    <t>INSIGHT</t>
  </si>
  <si>
    <t>A.S. Azevedo Sociedade de Advogados</t>
  </si>
  <si>
    <t>O escritório Rodrigues &amp; Miranda concentra</t>
  </si>
  <si>
    <t>Angela Perez Advogados</t>
  </si>
  <si>
    <t>Melges &amp; Menegueti Advogados Associados</t>
  </si>
  <si>
    <t>maior risco de concentração adversarial.</t>
  </si>
  <si>
    <t>Demais escritórios (1 processo cada)</t>
  </si>
  <si>
    <t>DATA DA DISTRIBUIÇÃO</t>
  </si>
  <si>
    <t>TRT</t>
  </si>
  <si>
    <t>NÚMERO DO PROCESSO</t>
  </si>
  <si>
    <t>PARTE CONTRÁRIA</t>
  </si>
  <si>
    <t>ADV. CONTRÁRIO</t>
  </si>
  <si>
    <t>PARTE PRINCIPAL</t>
  </si>
  <si>
    <t>EMPRESA TERCEIRA</t>
  </si>
  <si>
    <t>TIPO DE AÇÃO</t>
  </si>
  <si>
    <t>RESPONSABILIDADE</t>
  </si>
  <si>
    <t>FUNÇÃO/CARGO</t>
  </si>
  <si>
    <t>FASE</t>
  </si>
  <si>
    <t>STATUS ATUAL</t>
  </si>
  <si>
    <t>ÓRGÃO</t>
  </si>
  <si>
    <t>CIDADE/UF</t>
  </si>
  <si>
    <t>PEDIDOS E VALOR</t>
  </si>
  <si>
    <t>RESUMO DA AUDIÊNCIA</t>
  </si>
  <si>
    <t>DATA DA AUDIÊNCIA DE INSTRUÇÃO</t>
  </si>
  <si>
    <t>PREPOSTO</t>
  </si>
  <si>
    <t>TESTEMUNHA DA RECLAMADA</t>
  </si>
  <si>
    <t>TESTEMUNHA DO RECLAMANTE</t>
  </si>
  <si>
    <t>LAUDO PERICIAL</t>
  </si>
  <si>
    <t>PERITO</t>
  </si>
  <si>
    <t>SENTENÇA</t>
  </si>
  <si>
    <t>JULGADOR DE 1º GRAU</t>
  </si>
  <si>
    <t>DATA DA SENTENÇA</t>
  </si>
  <si>
    <t>RESUMO DA SENTENÇA</t>
  </si>
  <si>
    <t>ACÓRDÃO</t>
  </si>
  <si>
    <t>JULGADOR DE 2º GRAU</t>
  </si>
  <si>
    <t>TURMA</t>
  </si>
  <si>
    <t>DATA DO ACÓRDÃO</t>
  </si>
  <si>
    <t>RESUMO DO ACÓRDÃO</t>
  </si>
  <si>
    <t>DECISÃO DO TST</t>
  </si>
  <si>
    <t>JULGADOR DO 3º GRAU</t>
  </si>
  <si>
    <t>DATA DA DECISÃO</t>
  </si>
  <si>
    <t>RESUMO DA DECISÃO</t>
  </si>
  <si>
    <t>VALOR DA CAUSA</t>
  </si>
  <si>
    <t>VALOR DA CONDENAÇÃO</t>
  </si>
  <si>
    <t>CÁLCULOS DO RECLAMANTE</t>
  </si>
  <si>
    <t>CÁLCULOS DA RECLAMADA</t>
  </si>
  <si>
    <t>VALOR DO ACORDO</t>
  </si>
  <si>
    <t>DATA DO PAGAMENTO DO ACORDO</t>
  </si>
  <si>
    <t>VALOR DO DEPÓSITO RECURSAL</t>
  </si>
  <si>
    <t>VALOR HOMOLOGADO PELO JUÍZO</t>
  </si>
  <si>
    <t>DE QUEM FORAM OS CÁLCULOS HOMOLOGADOS?</t>
  </si>
  <si>
    <t>DIFERENÇA DE VALOR DISCUTIDO</t>
  </si>
  <si>
    <t>ESOCIAL</t>
  </si>
  <si>
    <t>DATA DO ÚLTIMO ANDAMENTO</t>
  </si>
  <si>
    <t>ANDAMENTO</t>
  </si>
  <si>
    <t>1001370-57.2020.5.02.0020</t>
  </si>
  <si>
    <t>LUCENIR SANTOS MOREIRA</t>
  </si>
  <si>
    <t>MARTINS &amp; FERNANDES ADVOGADOS ASSOCIADOS</t>
  </si>
  <si>
    <t>CARGOX AGENCIADORA DE SERVIÇOS E CARGAS LTDA</t>
  </si>
  <si>
    <t>N/A</t>
  </si>
  <si>
    <t>TRABALHISTA</t>
  </si>
  <si>
    <t>EX-EMPREGADO</t>
  </si>
  <si>
    <t>EXECUTIVO DE OPERAÇÕES DE GRANDES CONTAS III</t>
  </si>
  <si>
    <t>RECURSAL</t>
  </si>
  <si>
    <t>AGUARDANDO JULGAMENTO DO AGRAVO DE INSTRUMENTO</t>
  </si>
  <si>
    <t>PROVÁVEL</t>
  </si>
  <si>
    <t xml:space="preserve">20ª VARA DO TRABALHO DE SÃO PAULO </t>
  </si>
  <si>
    <t>SÃO PAULO/SP</t>
  </si>
  <si>
    <t>Descaracterização do cargo de confiança; Horas extras R$ 136.060,00; Intervalo intrajornada R$ 91.220,00; Multa normativa R$ 500,00; Honorários de sucumbência R$ 22.778,00 e Gratuidade de justiça.</t>
  </si>
  <si>
    <t>O depoimento do preposto reforça que a reclamante, no cargo de supervisora, exercia funções típicas de gestão (contratação, demissão, férias, aprovação de horas extras), o que pode enquadrá-la em cargo de confiança, afastando o direito às horas extras. Além disso, ficou registrado que havia orientação para jornada de 8 horas em home office, sem controle formal, o que enfraquece a tese da reclamante de sobrecarga sistemática.</t>
  </si>
  <si>
    <t>LEANDRO OLIVEIRA LIMA</t>
  </si>
  <si>
    <t>DANILO  CRESPILHO CORREIA; LUAN  CAMILO  PEREIRA MENDIETA</t>
  </si>
  <si>
    <t>RAFAEL  RODRIGUES; WILLIAN  KACZMARECK
FITIPALDI</t>
  </si>
  <si>
    <t>NÃO HÁ PEDIDO</t>
  </si>
  <si>
    <t>RITA DE CASSIA MARTINEZ</t>
  </si>
  <si>
    <t>Embora a sentença tenha reconhecido alguns pontos favoráveis à empresa (como a exclusão do cargo de confiança, indeferimento da justiça gratuita e compensações), houve condenação significativa em horas extras e intervalos, elevando o valor da condenação.</t>
  </si>
  <si>
    <t>ANA MARIA MORAES BARBOSA MACEDO</t>
  </si>
  <si>
    <t>10ª</t>
  </si>
  <si>
    <t>O Tribunal reconheceu que os cartões de ponto apresentados pela empresa são válidos. Excluiu da condenação o pagamento de horas extras por supressão de intervalo intrajornada nesse período. O Tribunal destacou que o art. 62, II, da CLT não exige obrigatoriamente gratificação de 40% para caracterizar cargo de confiança. O Tribunal declarou a invalidade do sistema de compensação adotado pela empresa, por ausência de requisitos formais previstos nas convenções coletivas (assinaturas, ajustes com sindicato, controles assinados). - Mantida a condenação ao pagamento de diferenças de horas extras e reflexos referentes ao período em que o banco de horas foi considerado irregular.</t>
  </si>
  <si>
    <t>AGUARDANDO</t>
  </si>
  <si>
    <t>SERGIO PINTO MARTINS</t>
  </si>
  <si>
    <t xml:space="preserve">8ª </t>
  </si>
  <si>
    <t>O reclamante apresentou manifestação requerendo a inclusão do processo em pauta para julgamento.</t>
  </si>
  <si>
    <t>1001244-93.2022.5.02.0001</t>
  </si>
  <si>
    <t>LEANDRO DE OLIVEIRA SANTOS</t>
  </si>
  <si>
    <t>EXECUTIVO DE OPERAÇÕES DE CLIENTES POTENCIAIS I</t>
  </si>
  <si>
    <t xml:space="preserve">1ª VARA DO TRABALHO DE SÃO PAULO </t>
  </si>
  <si>
    <t>Horas extras R$ 65.466,00; Nulidade do banco de horas; Intervalo intrajornada R$ 37.623,00; Multa normativa R$ 500,00; Honorários de sucumbência e Gratuidade de justiça.</t>
  </si>
  <si>
    <t>Foi realizada a oitiva das partes e de suas testemunhas, cujo conteúdo encontra-se devidamente degravado nos autos.</t>
  </si>
  <si>
    <t>LEANDRO  OLIVEIRA  LIMA</t>
  </si>
  <si>
    <t>LEANDRO  DOS  SANTOS ARAUJO</t>
  </si>
  <si>
    <t>EDER  ENRIQUE  ARRIAGADA BIANCIOTTO</t>
  </si>
  <si>
    <t>TATIANA AGDA JULIA ELENICE HELENA BELOTI MARANESI ARROYO</t>
  </si>
  <si>
    <t>A sentença foi desfavorável à Cargox, pois reconheceu: Jornada extensa e condenação em horas extras com reflexos. Supressão parcial do intervalo intrajornada. Por outro lado, houve pontos favoráveis à defesa: Indeferimento das multas normativas.</t>
  </si>
  <si>
    <t>SONIA MARIA FORSTER DO AMARAL</t>
  </si>
  <si>
    <t>2ª</t>
  </si>
  <si>
    <t>Foram mantidas condenações em horas extras, intervalo intrajornada e reflexos, que continuam a representar impacto financeiro</t>
  </si>
  <si>
    <t>JOÃO PEDRO SILVESTRIN</t>
  </si>
  <si>
    <t>8ª</t>
  </si>
  <si>
    <t>Processo em trâmite no TST, distribuído para apreciação do agravo de instrumento interposto pela reclamada.</t>
  </si>
  <si>
    <t>1000255-97.2023.5.02.0051</t>
  </si>
  <si>
    <t>GUSTAVO PAROLINI</t>
  </si>
  <si>
    <t>A.S. AZEVEDO SOCIEDADE DE ADVOGADOS</t>
  </si>
  <si>
    <t>FRETEBRAS INTERNET E SERVIÇOS LTDA</t>
  </si>
  <si>
    <t xml:space="preserve"> EXECUTIVO COMERCIAL GRANDES CONTAS II</t>
  </si>
  <si>
    <t>AGUARDANDO JULGAMENTO DO AGRAVO INTERNO</t>
  </si>
  <si>
    <t xml:space="preserve">51ª VARA DO TRABALHO DE SÃO PAULO </t>
  </si>
  <si>
    <t>Bônus R$ 31.790,47; FGTS; Devolução proporcional; Verbas rescisórias R$ 42.944,25; Multa do art. 477 da CLT R$ 12.938,40; Multa do art. 467 da CLT R$ 16.631,07; Honorários de sucumbência e Gratuidade de justiça.</t>
  </si>
  <si>
    <t>Considerando que os pedidos formulados pelo reclamante estão amparados em prova documental, foi dispensada a colheita dos depoimentos pessoais.</t>
  </si>
  <si>
    <t>KAUÊ SANTOS</t>
  </si>
  <si>
    <t>VIVIANY APARECIDA CARREIRA MOREIRA RODRIGUES</t>
  </si>
  <si>
    <t>18/092023</t>
  </si>
  <si>
    <t>A sentença foi parcialmente desfavorável à Fretebras, pois: Reconheceu a natureza salarial do bônus de retenção e condenou a empresa ao pagamento de diferenças rescisórias e FGTS. Julgou improcedente a reconvenção, afastando a tese de saldo devedor do reclamante. Por outro lado, houve pontos favoráveis à defesa: Reflexos do bônus foram limitados (não incidem em férias, 13º ou DSR). Multas dos arts. 467 e 477 foram rejeitadas.</t>
  </si>
  <si>
    <t>JORGE EDUARDO ASSAD</t>
  </si>
  <si>
    <t xml:space="preserve">1ª </t>
  </si>
  <si>
    <t>O acórdão foi parcialmente favorável à Fretebras: Confirmou a validade da cláusula de devolução do bônus e limitou seus reflexos. Indeferiu justiça gratuita ao reclamante. Rejeitou multas da CLT. Por outro lado, manteve a condenação da empresa ao pagamento de diferenças rescisórias e FGTS proporcional.</t>
  </si>
  <si>
    <t>AMAURY RODRIGUES PINTO JUNIOR</t>
  </si>
  <si>
    <t>A decisão foi favorável à Fretebras, pois: O TST manteve a validade da cláusula de devolução proporcional do bônus de retenção. Rejeitou as alegações do reclamante sobre nulidade contratual, justiça gratuita e multas da CLT. Confirmou que não cabia reexame de provas, consolidando a vitória da empresa nesse ponto.</t>
  </si>
  <si>
    <t>Interposto agravo interno pelo reclamante, com contraminuta apresentada pela reclamada, o feito aguarda apreciação pelo órgão julgador.</t>
  </si>
  <si>
    <t>1000392-52.2023.5.02.0060</t>
  </si>
  <si>
    <t>MAYCON DE ARAUJO BIZERRA</t>
  </si>
  <si>
    <t>ANGELA PEREZ ADVOGADOS</t>
  </si>
  <si>
    <t>ANALISTA DE OPERACAO I</t>
  </si>
  <si>
    <t xml:space="preserve">60ª VARA DO TRABALHO DE SÃO PAULO </t>
  </si>
  <si>
    <t>Horas extras R$ 21.972,40; Feriados e folgas R$ $ 4.051,84; Honorários de sucumbência e Gratuidade de justiça</t>
  </si>
  <si>
    <t>A audiência foi positiva para a empresa, pois o depoimento do preposto sustentou a tese de jornada regular e compensação via banco de horas, enquanto a prova testemunhal da parte contrária mostrou contradições e fragilidades.</t>
  </si>
  <si>
    <t>LEANDRO MIRANDA DE SOUSA</t>
  </si>
  <si>
    <t>JERONIMO AZAMBUJA FRANCO NETO</t>
  </si>
  <si>
    <t>O juiz reconheceu a validade dos cartões de ponto no período presencial, o que limita a condenação apenas ao período de home office. Não houve reconhecimento de supressão de intervalo intrajornada nem de labor em feriados, reduzindo o impacto da condenação. Autorizada a dedução de valores já pagos sob o mesmo título, evitando duplicidade. Condenação em horas extras no período de home office, com reflexos amplos. Condenação em FGTS + 40% sobre as parcelas deferidas.</t>
  </si>
  <si>
    <t>RICARDO ARTUR COSTA E TRIGUEIROS</t>
  </si>
  <si>
    <t xml:space="preserve">4ª </t>
  </si>
  <si>
    <t>O Tribunal reconheceu que não houve supressão de intervalo intrajornada, afastando esse ponto da discussão. Mantida a condenação em horas extras durante o home office, com reflexos em DSR, férias, 13º, FGTS e aviso prévio.</t>
  </si>
  <si>
    <t>O feito encontra-se em trâmite no TST, pendente de apreciação do agravo de instrumento interposto pela reclamada.</t>
  </si>
  <si>
    <t>1000495-68.2023.5.02.0057</t>
  </si>
  <si>
    <t>MARIA APARECIDA SOLLA</t>
  </si>
  <si>
    <t>RODRIGUES &amp; MIRANDA ADVOGADOS ASSOCIADOS</t>
  </si>
  <si>
    <t>ANALISTACOMERCIALIII</t>
  </si>
  <si>
    <t>REMOTO</t>
  </si>
  <si>
    <t xml:space="preserve">57ª VARA DO TRABALHO DE SÃO PAULO </t>
  </si>
  <si>
    <t>Horas extras R$ 48.174,00; Intervalo intrajornada R$ 23.955,00; Equiparação salarial R$ 71.666,00; DRS R$ 7.600,00; Honorários de sucumbência R$ 15.139,00 e Gratuidade de justiça.</t>
  </si>
  <si>
    <t>Testemunha da reclamada foi aceita e compromissada, reforçando a versão da empresa. Depoimento confirma que havia jornada regular (9h–18h), sem sobrecarga, e que o trabalho era acompanhado por métricas e ferramentas digitais. Ficou registrado que a diferença entre a reclamante e a paradigma Amanda estava apenas no perfil dos clientes, não em desigualdade de funções. Indeferimento da testemunha de contraprova da reclamante evita produção de prova adicional contra a empresa.</t>
  </si>
  <si>
    <t>RENAN RODRIGUES RONCHI</t>
  </si>
  <si>
    <t>LUCIANA BEZERRA DE OLIVEIRA</t>
  </si>
  <si>
    <t>A sentença foi parcialmente favorável à reclamante, com condenação relevante em diferenças salariais e horas extras. Contudo, a empresa obteve êxito em afastar pontos importantes (DSR sobre comissões, art. 384 da CLT e litigância de má-fé), o que reduziu o impacto da condenação. O ponto mais crítico para a defesa é o reconhecimento da equiparação salarial e da jornada controlável em teletrabalho, que fundamentaram a maior parte da condenação.</t>
  </si>
  <si>
    <t>MARIA DE LOURDES ANTONIO</t>
  </si>
  <si>
    <t>17ª</t>
  </si>
  <si>
    <t>A decisão foi plenamente favorável à Fretebras, que conseguiu reverter a condenação inicial e obteve a improcedência total da ação.</t>
  </si>
  <si>
    <t>A decisão do TST foi plenamente favorável à Fretebras, garantindo a manutenção da improcedência da ação e encerrando o processo em definitivo sem condenação contra a empresa.</t>
  </si>
  <si>
    <t>O reclamante interpôs agravo interno, tendo a reclamada apresentado contraminuta, encontrando-se o recurso pendente de julgamento.</t>
  </si>
  <si>
    <t>1000637-34.2023.5.02.0005</t>
  </si>
  <si>
    <t>GISELE BRITO COSTA</t>
  </si>
  <si>
    <t>LUCIO FLAVIO XAVIER DA SILVA</t>
  </si>
  <si>
    <t>ANALISTA  COMERCIAL  II</t>
  </si>
  <si>
    <t>AGUARDANDO JULGAMENTO DO AGRAVO DE PETIÇÃO</t>
  </si>
  <si>
    <t xml:space="preserve">5ª VARA DO TRABALHO DE SÃO PAULO </t>
  </si>
  <si>
    <t>Horas extras R$ 102.764,63; Equiparação salarial R$ 49.431,00; Honorários de sucumbência e Gratuidade de justiça.</t>
  </si>
  <si>
    <t xml:space="preserve"> A audiência trouxe contradições nas testemunhas da reclamante, enquanto as testemunhas da empresa reforçaram a diferença de funções entre a reclamante e Amanda, além da ausência de controle formal de jornada. Isso fortalece a defesa da Fretebras contra pedidos de equiparação salarial e horas extras.</t>
  </si>
  <si>
    <t>VICTOR AMADEU MARIANO; MYLENA SOUSA GIRARDI</t>
  </si>
  <si>
    <t>SAMANTA ALVES VASCONCELOS YACOB SILVEIRA</t>
  </si>
  <si>
    <t>CARLOS EDUARDO FERREIRA DE SOUZA DUARTE SAAD</t>
  </si>
  <si>
    <t>A sentença foi parcialmente favorável à Fretebras, pois afastou a equiparação salarial e reconheceu contradições nas provas da reclamante, mas manteve condenação significativa em horas extras</t>
  </si>
  <si>
    <t>ARMANDO AUGUSTO PINHEIRO PIRES</t>
  </si>
  <si>
    <t xml:space="preserve">10ª </t>
  </si>
  <si>
    <t>O acórdão foi parcialmente favorável à reclamante e desfavorável à Fretebras, pois manteve a condenação em horas extras e a expedição de ofício ao MPF. A empresa conseguiu afastar definitivamente a equiparação salarial, mas não obteve êxito em reduzir a condenação principal.</t>
  </si>
  <si>
    <t>Com o trânsito em julgado da ação, iniciou-se a fase de execução, ocasião em que as partes apresentaram seus cálculos, sendo homologados os cálculos da reclamante. A reclamada opôs embargos à execução, que foram julgados parcialmente procedentes, com correções relevantes que reduziram a base de cálculo (exclusão da duplicidade em DSR e aplicação da Súmula 340 do TST quanto às horas extras sobre comissões). Manteve-se, entretanto, a aplicação da taxa SELIC da Receita Federal. Ambas as partes interpuseram agravo de petição e apresentaram contraminutas. Foi determinada a liberação dos valores incontroversos em favor da reclamante, permanecendo pendente apenas a discussão sobre os valores controvertidos. O processo foi distribuído ao TRT da 2ª Região para julgamento dos agravos, sob relatoria da Desembargadora Luciana Maria Bueno Camargo de Magalhães, na 10ª Turma.</t>
  </si>
  <si>
    <t>1001217-34.2023.5.02.0015</t>
  </si>
  <si>
    <t>CICERO RAMON SANTOS ALVES</t>
  </si>
  <si>
    <t>ANALISTA COMERCIAL III</t>
  </si>
  <si>
    <t xml:space="preserve">15ª VARA DO TRABALHO DE SÃO PAULO </t>
  </si>
  <si>
    <t>Horas extras R$ 30.519,00; Intervalo intrajornada R$ 16.650,00;  DSR R$ 5.225,00; Equiparação salarial R$ 119.225,00; Honorários de sucumbência R$ 17.166,00 e Gratuidade de justiça.</t>
  </si>
  <si>
    <t>O preposto e a testemunha confirmaram a diferença de complexidade entre as carteiras, o que enfraquece o pedido de equiparação salarial. Ficou registrado que não havia controle formal de jornada, apenas ferramentas de login, o que reforça a tese de teletrabalho sem fiscalização direta. A testemunha do reclamante foi fragilizada pela amizade íntima e ação própria contra a empresa, reduzindo sua credibilidade.</t>
  </si>
  <si>
    <t>BIANCA  GIULIA  POLASTRINI  DE  LIMA</t>
  </si>
  <si>
    <t>RAFAEL ALVES FERREIRA SANTOS</t>
  </si>
  <si>
    <t>FABIO  RODRIGO  FERREIRA  DE
OLIVEIRA</t>
  </si>
  <si>
    <t>CLAUDIA TEJEDA COSTA</t>
  </si>
  <si>
    <t>A sentença foi desfavorável à Fretebras, pois reconheceu: Equiparação salarial com paradigmas. Horas extras e indenização pelo intervalo intrajornada. Por outro lado, houve pontos favoráveis à defesa: Improcedência do pedido de DSR sobre comissões. Reconhecimento da sucumbência recíproca, com honorários também em favor da reclamada.</t>
  </si>
  <si>
    <t>MARTA CASADEI MOMEZZO</t>
  </si>
  <si>
    <t>O acórdão foi parcialmente favorável à Fretebras: afastada a condenação por equiparação salarial, que representava impacto financeiro elevado. Pontos mantidos contra a empresa: condenação em horas extras e intervalo intrajornada. Pedido do reclamante sobre DSR foi rejeitado, reforçando a correção dos pagamentos da empresa.</t>
  </si>
  <si>
    <t>LUIZ PHILIPPE VIEIRA DE MELLO FILHO</t>
  </si>
  <si>
    <t>Processo em trâmite no TST, distribuído para apreciação do agravo de instrumento interposto pelo reclamante, estando sob exame da Presidência quanto à admissibilidade recursal.</t>
  </si>
  <si>
    <t>1001215-79.2023.5.02.0010</t>
  </si>
  <si>
    <t>FABIO RODRIGO FERREIRA DE OLIVEIRA</t>
  </si>
  <si>
    <t xml:space="preserve"> ANALISTA COMERCIAL I</t>
  </si>
  <si>
    <t>EXECUÇÃO</t>
  </si>
  <si>
    <t>INÍCIO DA EXECUÇÃO</t>
  </si>
  <si>
    <t xml:space="preserve">10ª VARA DO TRABALHO DE SÃO PAULO </t>
  </si>
  <si>
    <t>1ª</t>
  </si>
  <si>
    <t>Horas extras R$ 27.518,00; Intervalo intrajornada R$ 13.755; Equiparação salarial R$ 110.883,00; DSR R$ 3.200,00; Honorários de sucumbência R$ 15.535,00 e Gratuidade de justiça.</t>
  </si>
  <si>
    <t>A audiência foi equilibrada, mas trouxe pontos positivos para a Fretebras, já que a contradita contra sua testemunha foi rejeitada e a instrução foi encerrada sem prejuízo à defesa. Agora, o processo segue para julgamento em novembro.</t>
  </si>
  <si>
    <t>BIANCA MARCOS DODI</t>
  </si>
  <si>
    <t>MARCELLY CRISTINE FERREIRA DE SILVA</t>
  </si>
  <si>
    <t>MARINA DE ALMEIDA AOKI</t>
  </si>
  <si>
    <t>A decisão foi amplamente favorável à Fretebras, com improcedência total dos pedidos do reclamante e condenação em honorários advocatícios.</t>
  </si>
  <si>
    <t>SONIA MARIA DE BARROS</t>
  </si>
  <si>
    <t>7ª</t>
  </si>
  <si>
    <t>O acórdão foi plenamente favorável à Fretebras, consolidando a improcedência total dos pedidos do reclamante e reforçando a tese defensiva da empresa.</t>
  </si>
  <si>
    <t>o TST encerrou a discussão mantendo a improcedência total dos pedidos do reclamante. A Fretebras obteve vitória definitiva, com a decisão transitando em julgado em favor da empresa.</t>
  </si>
  <si>
    <t>O TST negou provimento ao agravo de instrumento do reclamante em recurso de revista. Em seguida, o agravo interno interposto também foi rejeitado. Diante da ausência de novos recursos, ocorreu o trânsito em julgado da demanda.</t>
  </si>
  <si>
    <t>1001831-24.2023.5.02.0020</t>
  </si>
  <si>
    <t>AGUARDANDO ARQUIVAMENTO</t>
  </si>
  <si>
    <t>20ª VARA DO TRABALHO DE SÃO PAULO</t>
  </si>
  <si>
    <t>Cumprimento de sentença</t>
  </si>
  <si>
    <t>Iniciada a execução provisória pela reclamante, a reclamada requereu o parcelamento da execução, pedido que foi deferido. Já consta nos autos a comprovação do pagamento da 6ª parcela e, atualmente, o processo encontra-se em fase final, aguardando apenas o arquivamento.</t>
  </si>
  <si>
    <t>1001955-81.2023.5.02.0060</t>
  </si>
  <si>
    <t>CAMILA REBEQUI</t>
  </si>
  <si>
    <t>ANALISTA COMERCIAL II</t>
  </si>
  <si>
    <t>AGUARDANDO INTERPOSIÇÃO DE RECURSO</t>
  </si>
  <si>
    <t>Horas extras R$ 55.005; Intervalo intrajornada R$ 29.926,00;  DSR R$ 19.550,00; Equiparação salarial R$ 81.539,00; Honorários de sucumbência R$ 18.602,00 e Gratuidade de justiça.</t>
  </si>
  <si>
    <t>O preposto e a testemunha confirmaram que a reclamante não era “key account”, atendendo clientes de menor porte e complexidade, o que enfraquece o pedido de equiparação salarial. Ficou registrado que não havia controle formal de jornada até março/2023, reforçando a tese de teletrabalho sem fiscalização direta. O depoimento da testemunha da reclamante foi genérico e pouco consistente, reduzindo sua força probatória.</t>
  </si>
  <si>
    <t>MARIANA  PINTO  GONÇALVES</t>
  </si>
  <si>
    <t>LETICIA NETO AMARAL</t>
  </si>
  <si>
    <t>Foram rejeitados os pedidos de equiparação salarial e reflexos de comissão em DSR, além de afastada a tese de diferenças de horas extras no período com ponto registrado. Contudo, houve condenação ao pagamento de horas extras e da supressão parcial do intervalo intrajornada, o que gera impacto financeiro.</t>
  </si>
  <si>
    <t>MAGDA CARDOSO MATEUS SILVA</t>
  </si>
  <si>
    <t>3ª</t>
  </si>
  <si>
    <t>O acórdão foi desfavorável à empresa, pois confirmou a condenação ao pagamento de horas extras e da indenização pelo intervalo intrajornada. Por outro lado, foi favorável em parte, já que manteve a improcedência dos pedidos da reclamante sobre equiparação salarial, reflexos em DSR e horas extras no período com ponto registrado</t>
  </si>
  <si>
    <t>ALEXANDRE LUIZ RAMOS</t>
  </si>
  <si>
    <t>4ª</t>
  </si>
  <si>
    <t>A decisão foi desfavorável à Fretebras, pois confirmou a condenação mantida pelo TRT-2 (horas extras e intervalo intrajornada). Contudo, foi favorável em parte, já que também rejeitou os pedidos adicionais da reclamante (equiparação salarial, reflexos em DSR e horas extras no período com ponto registrado).</t>
  </si>
  <si>
    <t>0000894-03.2023.5.09.0322</t>
  </si>
  <si>
    <t>ALINE INACIO DA SILVA</t>
  </si>
  <si>
    <t>F CRUZ ADVOCACIA</t>
  </si>
  <si>
    <t>FABIANO PEREIRA BRASILIO (1ª reclamada); CORAL TRANSPORTES LTDA (2ª reclamada); NOVA COR TRANSPORTES LTDA (4ª reclamada)</t>
  </si>
  <si>
    <t>TERCEIRO</t>
  </si>
  <si>
    <t>AUXILIAR ADMINISTRATIVO</t>
  </si>
  <si>
    <t>CONHECIMENTO</t>
  </si>
  <si>
    <t>SOBRESTADO - TEMA .1389</t>
  </si>
  <si>
    <t>POSSÍVEL</t>
  </si>
  <si>
    <t>02ª VARA DO TRABALHO DE PARANAGUÁ</t>
  </si>
  <si>
    <t>PARANAGUÁ/PR</t>
  </si>
  <si>
    <t>Responsabilidade subsidiária da Frete; Reconhecimento de vínculo de emprego; Verbas rescisórias; Multa do art. 467 da CLT; Multa do art. 477 da CLT; Horas extras; FGTS; Multa de 40% do FGTS; Indenização por dano moral R$ 10.000,00; Honorários de sucumbência e Gratuidade de justiça.</t>
  </si>
  <si>
    <t>Na audiência inaugural, foi determinado o sobrestamento do processo em razão da pendência de julgamento do Tema de Repercussão Geral nº 1.389.</t>
  </si>
  <si>
    <t>0016045-64.2024.5.16.0003</t>
  </si>
  <si>
    <t>QLIVHYA HADHAYA VIEIRA MOREIRA</t>
  </si>
  <si>
    <t>VIEIRA OLIVEIRA ADVOGADOS ASSOCIADOS</t>
  </si>
  <si>
    <t>EBS2 TRADE E GESTAO LTDA</t>
  </si>
  <si>
    <t>PROMOTORA DE VENDAS</t>
  </si>
  <si>
    <t>3ª VARA DO TRABALHO DE SÃO LUÍS</t>
  </si>
  <si>
    <t>SÃO LUÍS/MA</t>
  </si>
  <si>
    <t>Responsabilidade subsidiária; Indenização prevista no art. 479 da CLT R$ 1.805,14; Comissões R$ 526,88; INSS R$ 179,45; Indenização do art. 17 da CLT R$ 2.780,16; Contribuição sindical R$ 90,25; Intervalo intrajornada R$ 36.102,80; Indenização por dano moral R$ 90.257,00; Multa do art. 467 da CLT R$ 1.899,81; Multa do art. 477 da CLT R$ 1.805,14; Multa normativa R$ 2.973,28; Estabilidade gestante R$ 9.025,70;  Honorários de sucumbência e Gratuidade de justiça</t>
  </si>
  <si>
    <t>Houve depoimento do preposto da EBS2, que confirmou vínculo da reclamante entre fevereiro e agosto de 2023, sem pagamento de comissões e com jornada regular. Testemunha da reclamante relatou experiência semelhante na função de promotora de vendas, mencionando metas e pagamento de comissões “por fora”, mas não soube confirmar se a reclamante recebia. A instrução foi encerrada, sem outras provas a produzir.</t>
  </si>
  <si>
    <t>ULIO CESAR FRANCO LEITE</t>
  </si>
  <si>
    <t xml:space="preserve">PRISCILA MARIA VEIGAS MAGALHÃES </t>
  </si>
  <si>
    <t>NUBIA PRAZERES PINHEIRO</t>
  </si>
  <si>
    <t>Principais pedidos da reclamante (estabilidade gestante, indenização do art. 479 da CLT, integração de comissões, danos morais, multas rescisórias e convencionais, intrajornada) foram julgados improcedentes. O único pedido acolhido foi a devolução de desconto previdenciário indevido, no valor de R$ 179,45, referente ao INSS.</t>
  </si>
  <si>
    <t>JAMES MAGNO ARAUJO FARIAS</t>
  </si>
  <si>
    <t>O acórdão foi plenamente favorável, pois confirmou a sentença que rejeitou todos os pedidos relevantes da reclamante, mantendo apenas a condenação subsidiária de pequeno valor (R$ 179,45).</t>
  </si>
  <si>
    <t>Com a abertura da liquidação, a reclamante apresentou requerimento de cumprimento da sentença em face da 1ª ré, o qual aguarda apreciação.</t>
  </si>
  <si>
    <t>0000239-95.2024.5.05.0196</t>
  </si>
  <si>
    <t>TAHYNAR DE JESUS DA CONCEICAO SANTOS</t>
  </si>
  <si>
    <t>NA MARIA DE SOUZA BATISTA NASCIMENTO</t>
  </si>
  <si>
    <t xml:space="preserve">6ª VARA DO TRABALHO DE FEIRA DE SANTANA </t>
  </si>
  <si>
    <t>FEIRA DE SANTANA/BA</t>
  </si>
  <si>
    <t>Responsabilidade subsidiária; Estabilidade gestante; Salários devidos R$ 23.040,00; Salário-família R$ 819,54; 13º salário R$ 533,33; Vale refeição R$ 5.880,00; Férias R$ 3.377,77; Aviso-prévio R$ 1.600,00; FGTS R$ 1.408,00; Multa de 40% R$ 972,80; INSS R$ 1.330,20; Multa do art. 467 da CLT R$ 16.166,48; Indenização por dano moral R$ 10.000,00; Honorários de sucumbência e Gratuidade de justiça.</t>
  </si>
  <si>
    <t>Foi realizada a oitiva das partes, e a ata foi reconhecida como documento hábil para a liberação do FGTS junto à Caixa Econômica Federal, suprindo a ausência do TRCT e da chave de conectividade.</t>
  </si>
  <si>
    <t>MIRELA LUIZE DE QUEIROZ DOS SANTOS</t>
  </si>
  <si>
    <t>INGRID HEIDI OLIVA BONESS</t>
  </si>
  <si>
    <t>embora o pedido de dano moral e algumas multas tenham sido rejeitados, o reconhecimento da estabilidade gestante gerou condenação significativa, com responsabilidade subsidiária da 2ª ré.</t>
  </si>
  <si>
    <t xml:space="preserve">LUIS CARLOS GOMES CARNEIRO FILHO
</t>
  </si>
  <si>
    <t>5ª</t>
  </si>
  <si>
    <t>O recurso da primeira reclamada (EBS2) foi parcialmente provido. Mantida apenas a responsabilidade subsidiária da segunda reclamada (Fretebras). Excluída integralmente a condenação referente à estabilidade gestante e seus reflexos. Invertida a sucumbência, com ônus para a reclamante.</t>
  </si>
  <si>
    <t>Considerando a improcedência da ação e a ausência de recurso por parte da reclamante, operou-se o trânsito em julgado. Em seguida, foi determinado o levantamento do valor depositado pela 1ª reclamada para garantia recursal. Após a confirmação do levantamento, será ordenado o arquivamento definitivo dos autos.</t>
  </si>
  <si>
    <t>1000938-82.2024.5.02.0057</t>
  </si>
  <si>
    <t>AGUARDANDO FINALIZAÇÃO DOS AUTOS PRINCIPAIS</t>
  </si>
  <si>
    <t>Considerando que o juízo homologou os cálculos apresentados pelo reclamante, a reclamada opôs embargos à execução, os quais ainda aguardam julgamento. Em despacho, o juízo determinou que a apreciação dos embargos somente ocorrerá após o retorno dos autos principais.</t>
  </si>
  <si>
    <t>1002094-96.2024.5.02.0060</t>
  </si>
  <si>
    <t>O juízo entendeu que a sentença de mérito já havia estabelecido os parâmetros de cálculo — divisor 220, observância da evolução e globalidade salarial, dias efetivamente laborados e hora noturna reduzida, quando aplicável. Como não houve determinação expressa para aplicação da Súmula 340 do TST, concluiu-se pela correção dos cálculos apresentados. Diante disso, os embargos foram julgados improcedentes.</t>
  </si>
  <si>
    <t xml:space="preserve">LIANE MARTINS CASARIN
</t>
  </si>
  <si>
    <t xml:space="preserve">3ª </t>
  </si>
  <si>
    <t>o TRT manteve a condenação e rejeitou o agravo da Fretebras, entendendo que os cálculos estavam corretos.</t>
  </si>
  <si>
    <t>1000324-68.2025.5.02.0081</t>
  </si>
  <si>
    <t>BRUNA ALVES DE LIMA</t>
  </si>
  <si>
    <t>LIMA ADVOGADOS ASSOCIADOS</t>
  </si>
  <si>
    <t>AGUARDANDO JULGAMENTO DO RECURSO ORDINÁRIO</t>
  </si>
  <si>
    <t xml:space="preserve">81ª VARA DO TRABALHO DE SÃO PAULO </t>
  </si>
  <si>
    <t>Horas extras R$ 47.757,55; Comissões R$ 55.576,04; Doença ocupacional; Indenização por dano moral R$ 60.000,00; Pensão mensal vitalícia R$ 742.237,73; Plano de saúde vitalício; Descontos indevidos R$ 2.615,44; Honorários de sucumbência e Gratuidade de justiça.</t>
  </si>
  <si>
    <t>A audiência trouxe elementos que fortalecem a defesa da Fretebras, especialmente no ponto das comissões, já que ficou comprovada a existência de sistema oficial de apuração e que os pagamentos eram feitos de forma distinta (comissão e DSR). Além disso, a justificativa de desligamento por baixa produtividade reforça a tese empresarial.</t>
  </si>
  <si>
    <t>GERSON  ROTKIS  MEI  JUNIOR</t>
  </si>
  <si>
    <t>VAGNER NUNES NICOLI</t>
  </si>
  <si>
    <t>DOENÇA - FAVORÁVEL</t>
  </si>
  <si>
    <t>SAUL BORGES CRUZ</t>
  </si>
  <si>
    <t>EUDIVAN BATISTA DE SOUZA</t>
  </si>
  <si>
    <t>A sentença foi parcialmente favorável à Fretebras, afastando pedidos relevantes (plano de saúde e contribuição assistencial), mas manteve condenações expressivas em comissões, horas extras e doença ocupacional.</t>
  </si>
  <si>
    <t>GABRIEL LOPES COUTINHO FILHO</t>
  </si>
  <si>
    <t>Após a interposição do recurso ordinário pela reclamada, o feito foi regularmente distribuído ao TRT para apreciação.</t>
  </si>
  <si>
    <t>1000419-12.2025.5.02.0045</t>
  </si>
  <si>
    <t>JESSICA GOUVEIA LUIZ</t>
  </si>
  <si>
    <t>MELGES &amp; MENEGUETI ADVOGADOS ASSOCIADOS</t>
  </si>
  <si>
    <t>ANALISTA DE OPERACOES GRANDES CONTAS II</t>
  </si>
  <si>
    <t xml:space="preserve">45ª VARA DO TRABALHO DE SÃO PAULO </t>
  </si>
  <si>
    <t>Rescisão indireta; Verbas rescisórias R$ 11.666,25; FGTS R$ 2.562,00; Multa de 40% do FGTS R$ 1.024,80; Indenização por dano moral R$ 10.000,00; Multa do art. 477 da CLT R$ 4.575,00; Indenização substitutiva R$ 12.120,55; Honorários de sucumbência R$ 6.292,29 e Gratuidade de justiça.</t>
  </si>
  <si>
    <t>A reclamante requereu a produção de prova oral relativa ao dano moral, vinculada à saída de emprego anterior. O pedido foi indeferido por se tratar de fato irrelevante, uma vez que as condições de trabalho inserem-se no poder diretivo do empregador. A reclamada, por sua vez, requereu a produção de prova oral acerca da rescisão indireta, o que igualmente foi indeferido por se tratar de matéria estritamente de direito. Protestos da reclamada registrados</t>
  </si>
  <si>
    <t>CAMILA  VELASCO  DE GODOY</t>
  </si>
  <si>
    <t>JEAN MARCEL MARIANO DE OLIVEIRA</t>
  </si>
  <si>
    <t>A sentença foi majoritariamente favorável à empresa, pois afastou os pedidos mais gravosos (rescisão indireta, dano moral, aviso prévio, multa de 40% do FGTS e seguro-desemprego), reconhecendo que a saída se deu por pedido de demissão da reclamante.</t>
  </si>
  <si>
    <t>ADRIANA MARIA BATTISTELLI VARELLIS</t>
  </si>
  <si>
    <t>O Tribunal confirmou que a mudança para trabalho presencial é legítima, dentro do poder diretivo. Rescisão indireta afastada, evitando condenação em verbas de dispensa sem justa causa. Danos morais indeferidos, eliminando risco de indenização. Mantida a possibilidade de dedução de valores pagos, evitando duplicidade.</t>
  </si>
  <si>
    <t>Com o trânsito em julgado da ação, foram homologados os cálculos da sentença líquida. A reclamada apresentou embargos à execução, que foram julgados improcedentes, mantendo-se integralmente os cálculos homologados. O único aspecto favorável à Cargox foi a rejeição da condenação por litigância de má-fé. Interposto agravo de petição, a decisão foi parcialmente favorável à empresa, determinando que os valores já pagos no TRCT fossem deduzidos da execução, evitando enriquecimento ilícito da reclamante. Aguarda-se eventual interposição de recurso de revista por qualquer das partes; caso não ocorra, os autos retornarão ao juízo de origem para efetivação do pagamento da execução definitiva.</t>
  </si>
  <si>
    <t>1000414-10.2025.5.02.0006</t>
  </si>
  <si>
    <t>FERNANDO ROGERIO BARBOSA DE BARROS</t>
  </si>
  <si>
    <t>ZAMITH ASSESSORIA JURÍDICA</t>
  </si>
  <si>
    <t xml:space="preserve">COORDENADOR COMERCIAL </t>
  </si>
  <si>
    <t xml:space="preserve">6ª VARA DO TRABALHO DE SÃO PAULO </t>
  </si>
  <si>
    <t>Verbas rescisórias R$ 20.448,96; Multa normativa R$ 146,95; Multa do art. 467 da CLT R$ 11.429,57; Multa do art. 477 da CLT R$ 13.199,78; PLR R$ 5.173,25; Repouso semanal remunerado R$ 32.139,54; FGTS R$ 2.571,17; Multa de 40% do FGTS R$ 1.005,98, Honorários de sucumbência R$ 12.917,28 e Gratuidade de justiça.</t>
  </si>
  <si>
    <t>Em razão dos pedidos formulados pelo reclamante, as partes optaram por não produzir prova oral.</t>
  </si>
  <si>
    <t>WADSON JONATAS NASCIMENTO MARTINS</t>
  </si>
  <si>
    <t>FERNANDA MIYATA FERREIRA</t>
  </si>
  <si>
    <t>A sentença foi parcialmente desfavorável à Fretebras, com condenações em DSR, PLR, devolução de desconto e multa normativa. No entanto, a empresa obteve êxito em afastar multas rescisórias.</t>
  </si>
  <si>
    <t>DANIEL VIEIRA ZAINA SANTOS</t>
  </si>
  <si>
    <t>14ª</t>
  </si>
  <si>
    <t>O acórdão foi majoritariamente desfavorável à Fretebras, mantendo condenações relevantes (DSR, PLR, multa normativa e devolução de descontos).</t>
  </si>
  <si>
    <t>0020318-76.2025.5.04.0103</t>
  </si>
  <si>
    <t>LETICIA FONSECA ALLEND</t>
  </si>
  <si>
    <t>DUARTE + JESKE ADVOGADOS</t>
  </si>
  <si>
    <t>EXATA TRABALHO TEMPORARIO LTDA</t>
  </si>
  <si>
    <t>AGUARDANDO CUMPRIMENTO DO ACORDO</t>
  </si>
  <si>
    <t>3ª VARA DO TRABALHO DE PELOTAS</t>
  </si>
  <si>
    <t>PELOTAS/RS</t>
  </si>
  <si>
    <t>Responsabilidade subsidiária; Horas Extras R$ 23.129,50; Adicional de Periculosidade R$ 22.810,92; Férias R$ 8.456,26; Indenização por dano moral R$ 5.000,00; Honorários de sucumbência e Gratuidade de justiça.</t>
  </si>
  <si>
    <t>Acordo entre o reclamante e a 1ª ré</t>
  </si>
  <si>
    <t>SIEL GONÇALVES PAIVA</t>
  </si>
  <si>
    <t>As reclamadas Exata Trabalho Temporário. e Exata Promoções firmaram acordo solidário com a reclamante no valor de R$ 25.000,00, a ser pago em 10 parcelas de R$ 2.500,00. A Fretebras não assumiu responsabilidade direta no acordo, ficando sua eventual responsabilidade condicionada ao inadimplemento das demais, limitada ao valor do acordo acrescido da cláusula penal.</t>
  </si>
  <si>
    <t>1000609-92.2025.5.02.0006</t>
  </si>
  <si>
    <t>JOICE GOMES FESTRATIS</t>
  </si>
  <si>
    <t>LEITE ADVOGADOS</t>
  </si>
  <si>
    <t>ASSISTENTE COMERCIAL</t>
  </si>
  <si>
    <t>Acúmulo de função R$ 48.604,03; Horas extras R$ 56.327,57; Intervalo intrajornada R$ 4.191,81; Honorários de sucumbência e Gratuidade de justiça.</t>
  </si>
  <si>
    <t>A audiência foi conduzida de forma equilibrada, com ambas as partes apresentando depoimentos e testemunhas por degravação.</t>
  </si>
  <si>
    <t>SAMUEL LISBOA GOMES</t>
  </si>
  <si>
    <t>FERNANADA SAGUINI DE ANDRADE</t>
  </si>
  <si>
    <t>TATIANE DE SOUSA CARVALHO</t>
  </si>
  <si>
    <t>LUCIANA SIQUEIRA ALVES GARCIA</t>
  </si>
  <si>
    <t>A sentença foi plenamente favorável à Cargox, com improcedência total da reclamação trabalhista e absolvição da empresa de todas as acusações.</t>
  </si>
  <si>
    <t>DANIEL DE PAULA GUIMARÃES</t>
  </si>
  <si>
    <t>O acórdão foi plenamente favorável à Cargox, consolidando a improcedência da ação e confirmando a vitória da empresa em 1ª e 2ª instâncias.</t>
  </si>
  <si>
    <t>Considerando que, após a publicação do acórdão, o reclamante não interpôs recurso de revista, operou-se o trânsito em julgado e os autos retornaram à Vara de origem, onde permanecem aguardando o arquivamento.</t>
  </si>
  <si>
    <t>1001267-10.2025.5.02.0203</t>
  </si>
  <si>
    <t>DIMITRI FERREIRA DE PAULA E SILVA</t>
  </si>
  <si>
    <t>PIMENTEL ADVOGADA</t>
  </si>
  <si>
    <t>ANALISTA COMERCIAL I</t>
  </si>
  <si>
    <t xml:space="preserve">3ª VARA DO TRABALHO DE BARUERI </t>
  </si>
  <si>
    <t>BARUERI/SP</t>
  </si>
  <si>
    <t>Comissões R$ 27.832,09; Horas extras R$ 59.494,81; Intervalo intrajornada R$ 13.770,36; Multa do art. 477 da CLT R$ 2.600,34; FGTS R$ 8.667,70; Multa de 40% do FGTS R$ 3.249,55; Multa do art. 467 da CLT R$ 1.624,77; Doença ocupacional; Honorários de sucumbência e Gratuidade de justiça.</t>
  </si>
  <si>
    <t>A audiência trouxe contradições relevantes entre os depoimentos, especialmente sobre jornada, metas e uso de recursos da empresa. A defesa da Fretebras pode sustentar que o reclamante atuava em regime remoto, com metas específicas, sem controle de jornada, o que afasta pedidos de horas extras e reforça a tese empresarial.</t>
  </si>
  <si>
    <t>AMANDA CRISTINA DA SILVA</t>
  </si>
  <si>
    <t>THASSIA  COSTA  DA  LUZ</t>
  </si>
  <si>
    <t>IVAN  DE  SOUSA  AMORIM</t>
  </si>
  <si>
    <t>DOENÇA - DESFAVORÁVEL</t>
  </si>
  <si>
    <t>THALITA RUSSO DOMENICH</t>
  </si>
  <si>
    <t>TÂMARA LUIZA VIEIRA RASIA</t>
  </si>
  <si>
    <t>A sentença foi parcialmente favorável à Fretebras, pois afastou multas e limitou valores da condenação, mas manteve condenações significativas em horas extras, diferenças de DSR e indenização por doença ocupacional.</t>
  </si>
  <si>
    <t>Atualmente, o processo aguarda julgamento do recurso ordinário interposto pela reclamada, o qual já foi regularmente distribuído no âmbito do TRT.</t>
  </si>
  <si>
    <t>1001038-32.2025.5.02.0015</t>
  </si>
  <si>
    <t xml:space="preserve">AGUARDANDO MANIFESTAÇÃO </t>
  </si>
  <si>
    <t>A audiência teve como objetivo a tentativa de conciliação entre as partes, contudo restou infrutífera.</t>
  </si>
  <si>
    <t>LETICIA  DARC  SILVA  SATURNINO</t>
  </si>
  <si>
    <t>20,.902,45</t>
  </si>
  <si>
    <t>1001141-26.2025.5.02.0084</t>
  </si>
  <si>
    <t>SOPHYA SECCHIERO LISBOA</t>
  </si>
  <si>
    <t xml:space="preserve">84ª VARA DO TRABALHO DE SÃO PAULO </t>
  </si>
  <si>
    <t>Verbas rescisórias R$ 20.279,00; FGTS R$ 15.047,00; Multa de 40% do FGTS R$ 6.019,00; Seguro desemprego R$ 8.496,00; DSR R$ 12.400,00; Equiparação salarial R$ 41.799,00; Indenização por dano moral R$ 10.000,00; Doença profissional R$ 20.000,00; Honorários de sucumbência R$ 13.404,00 e Gratuidade de justiça.</t>
  </si>
  <si>
    <t>A audiência trouxe elementos que fortalecem a defesa da Fretebras, especialmente na questão da equiparação salarial (diferença de complexidade das carteiras) e na alegação de dano moral (existência de canal de denúncia e ausência de provas robustas).</t>
  </si>
  <si>
    <t>KARINA VALENTIM GINDERO</t>
  </si>
  <si>
    <t>GRAZIELA SOUZA GOMES</t>
  </si>
  <si>
    <t>GIANE MIRANDA RODRIGUES DA SILVA</t>
  </si>
  <si>
    <t>TALITA LUCI MENDES FALCAO</t>
  </si>
  <si>
    <t>A sentença foi parcialmente favorável à Fretebras, pois afastou pedidos de maior impacto (doença ocupacional, danos morais e reversão da justa causa), mas manteve condenações relevantes em DSR sobre comissões e equiparação salarial.</t>
  </si>
  <si>
    <t>VALERIA NICOLAU SANCHEZ</t>
  </si>
  <si>
    <t>2º</t>
  </si>
  <si>
    <t>0010933-35.2025.5.03.0038</t>
  </si>
  <si>
    <t>MARIANA ZIBORDI PELEGRINI</t>
  </si>
  <si>
    <t>SALLES &amp; CARVALHO ADVOGADOS</t>
  </si>
  <si>
    <t>ESPECIALISTA DE MARKETING</t>
  </si>
  <si>
    <t>AGUARDANDO AUDIÊNCIA</t>
  </si>
  <si>
    <t xml:space="preserve">4ª VARA DO TRABALHO DE JUIZ DE FORA </t>
  </si>
  <si>
    <t>JUIZ DE FORA/MG</t>
  </si>
  <si>
    <t>Salários vencidos R$ 30.000,00; Rescisão indireta; Verbas rescisórias R$ 30.000,00; Garantia de emprego R$ 30.000,00; Indenização por dano moral R$ 30.000,00; Honorários de sucumbência R$ 18.000,00 e Gratuidade de justiça.</t>
  </si>
  <si>
    <t>JOSÉ AUGUSTO DUARTE NETO</t>
  </si>
  <si>
    <t>Aguardando a audiência de instrução designada para o dia 05/05/2026, às 13h10.</t>
  </si>
  <si>
    <t>1001409-15.2025.5.02.0720</t>
  </si>
  <si>
    <t>NATHANY LOUISY DE OLIVEIRA</t>
  </si>
  <si>
    <t>KNIJNIK &amp; ZIPPIN ADVOGADOS ASSOCIADOS</t>
  </si>
  <si>
    <t xml:space="preserve">COORDENADOR DE OPERACOES </t>
  </si>
  <si>
    <t xml:space="preserve">20ª VARA DO TRABALHO DE SÃO PAULO - ZONA SUL </t>
  </si>
  <si>
    <t>Horas extras R$ 105.853,44; Intervalo intrajornada R$ 16.567,20; Intervalo interjornada R$ 13.567,12; Feriados R$ 16.112,56; Indenização por dano moral R$ 10.000,00; Honorários de sucumbência R$ 16.207,03 e Gratuidade de justiça.</t>
  </si>
  <si>
    <t>A audiência foi conduzida de forma equilibrada, com ambas as partes apresentando testemunhas. A Cargox conseguiu reforçar sua tese defensiva sobre jornada e condições de trabalho, e agora aguarda julgamento marcado para outubro.</t>
  </si>
  <si>
    <t>KARINA  VALENTIM GINDERO</t>
  </si>
  <si>
    <t>CAMILA VELASCO DE GODOY; LARISSA BARBOSA DE ABREU</t>
  </si>
  <si>
    <t>RAFAEL  RODRIGUES; DIEGO  CAMARGO  SILVA; MAYARA SAMPAIO SANTANA</t>
  </si>
  <si>
    <t>FERNANDO MAIDANA MIGUEL</t>
  </si>
  <si>
    <t>A sentença foi majoritariamente favorável à reclamada, pois reconheceu o exercício de cargo de confiança, afastou horas extras e aplicou prescrição quinquenal. As condenações foram limitadas, mantendo a defesa da empresa sólida.</t>
  </si>
  <si>
    <t>FERNANDO CESAR TEIXEIRA FRANÇA</t>
  </si>
  <si>
    <t>6ª</t>
  </si>
  <si>
    <t>O acórdão foi desfavorável à reclamada, pois anulou a sentença que havia rejeitado os pedidos da reclamante, determinando nova audiência para ouvir a preposta da empresa. Isso reabre a discussão sobre jornada e cargo de confiança, pontos centrais da defesa</t>
  </si>
  <si>
    <t>Atualmente, o processo aguarda julgamento do recurso ordinário interposto pela reclamante, o qual já foi regularmente distribuído no âmbito do TRT.</t>
  </si>
  <si>
    <t>1001427-86.2025.5.02.0089</t>
  </si>
  <si>
    <t>DIOGO BARBOSA SOARES</t>
  </si>
  <si>
    <t>FONTANA</t>
  </si>
  <si>
    <t xml:space="preserve">89ª VARA DO TRABALHO DE SÃO PAULO </t>
  </si>
  <si>
    <t>DSR’s R$ 61.927,72; Comissões R$ 22.568,22; Indenização por dano moral R$ 58.441,55; Honorários de sucumbência e Gratuidade de justiça.</t>
  </si>
  <si>
    <t>MANDA CRISTINA DA SILVA</t>
  </si>
  <si>
    <t xml:space="preserve">MARCELO PEREIRA DAS NEVES </t>
  </si>
  <si>
    <t>A sentença foi parcialmente desfavorável à Fretebras, com condenação em DSR e reflexos, mas a empresa obteve êxito em afastar pedidos de maior impacto financeiro, como danos morais e diferenças de comissões.</t>
  </si>
  <si>
    <t>RECLAMADA</t>
  </si>
  <si>
    <t>0020538-28.2025.5.04.0571</t>
  </si>
  <si>
    <t>ERLI SCHMIDT</t>
  </si>
  <si>
    <t>CALLIARI &amp; TEIXEIRA ADVOGADOS ASSOCIADOS</t>
  </si>
  <si>
    <t>MOTORISTA</t>
  </si>
  <si>
    <t xml:space="preserve">VARA DO TRABALHO DE SOLEDADE </t>
  </si>
  <si>
    <t>SOLEDADE/RS</t>
  </si>
  <si>
    <t>Indenização por dano moral R$ 20.000,00; Honorários de sucumbência R$ 2.000,00 e Gratuidade de justiça.</t>
  </si>
  <si>
    <t>Foi realizada a oitiva das partes, registrada por meio de degravação.</t>
  </si>
  <si>
    <t>ODAIR JOSE LUCIANI</t>
  </si>
  <si>
    <t>VINICIUS DANIEL PETRY</t>
  </si>
  <si>
    <t>Ficou reconhecido que a Fretebras agiu dentro da legalidade, não houve dano moral, nem obrigação de reativar conta ou expedir documentos.</t>
  </si>
  <si>
    <t>RICARDO CARVALHO FRAGA</t>
  </si>
  <si>
    <t>R$ 22.000,00</t>
  </si>
  <si>
    <t>Certidão de distribuição emitida pelo TRT, indicando que o processo aguarda julgamento do recurso ordinário interposto pelo reclamante.</t>
  </si>
  <si>
    <t>0025413-32.2025.5.24.0006</t>
  </si>
  <si>
    <t>FELIPE WESLLEY BARBOSA DA SILVA</t>
  </si>
  <si>
    <t>JOCIANDO ALVES ADVOCACIA</t>
  </si>
  <si>
    <t>INTERSITE SISTEMAS LTDA.</t>
  </si>
  <si>
    <t>TÉCNICO DE SUPORTE II</t>
  </si>
  <si>
    <t>AGUARDANDO SENTENÇA</t>
  </si>
  <si>
    <t xml:space="preserve">6ª VARA DO TRABALHO DE CAMPO GRANDE </t>
  </si>
  <si>
    <t>CAMPO GRANDE/MS</t>
  </si>
  <si>
    <t>Diferenças salariais R$ 9.961,64; Multa prevista na CCT R$ 2.113,17; Multa do art. 477 da CLT R$ 3.146,01; Indenização por dano moral R$ 3.146,01; Honorários de sucumbência e Gratuidade de justiça.</t>
  </si>
  <si>
    <t>As partes permaneceram inconciliadas, tendo sido realizada a oitiva das partes e da testemunha da reclamada, por meio de degravação.</t>
  </si>
  <si>
    <t>RICARDO  CAMPEAO  DE  MORAES</t>
  </si>
  <si>
    <t>1001544-72.2025.5.02.0026</t>
  </si>
  <si>
    <t>DIEGO OLIVA GOMES</t>
  </si>
  <si>
    <t>ADVOCACIA TRABALHISTA TOFOLI</t>
  </si>
  <si>
    <t xml:space="preserve">ASSISTENTE DE ATENDIMENTO N1 </t>
  </si>
  <si>
    <t xml:space="preserve">26ª VARA DO TRABALHO DE SÃO PAULO </t>
  </si>
  <si>
    <t>Verbas rescisórias R$ 4.492,43; Horas extras R$ 12.701,98;  Adicional noturno R$ 3.838,87; Multa de 40% do FGTS R$ 950,84; FGTS R$ 1.452,11; Multa do art. 477 da CLT R$ 2.606,63; Multa normativa R$ 182,50; Seguro desemprego R$ 8.589,64; Indenização por dano moral R$ 30.000,00; Multa do art. 467 da CLT R$ 3.146,12; Honorários de sucumbência R$ 10.194,17 e Gratuidade de justiça.</t>
  </si>
  <si>
    <t>0030241-47.2025.5.04.0000</t>
  </si>
  <si>
    <t>MAGISTRADO DA VARA DO TRABALHO DE CARAZINHO</t>
  </si>
  <si>
    <t>1ª SDI</t>
  </si>
  <si>
    <r>
      <rPr>
        <sz val="9"/>
        <color theme="1"/>
        <rFont val="Aptos Mono"/>
      </rPr>
      <t xml:space="preserve">O reclamante alegou que teve sua conta desativada definitivamente na plataforma da Fretebras, sem justificativa concreta, o que estaria impedindo o exercício da sua profissão de motorista de cargas. Sustentou que a decisão que negou a tutela de urgência (que buscava o desbloqueio imediato da conta) violou seu direito líquido e certo ao trabalho, à dignidade e à honra, pois o bloqueio o impossibilita de obter o seguro obrigatório e, consequentemente, de ser contratado por transportadoras. Como não há recurso próprio para atacar decisão interlocutória que indefere tutela provisória, o reclamante utilizou o </t>
    </r>
    <r>
      <rPr>
        <b/>
        <u/>
        <sz val="9"/>
        <color theme="1"/>
        <rFont val="Aptos Mono"/>
      </rPr>
      <t>Mandado de Segurança</t>
    </r>
    <r>
      <rPr>
        <sz val="9"/>
        <color theme="1"/>
        <rFont val="Aptos Mono"/>
      </rPr>
      <t xml:space="preserve"> como meio adequado para tentar suspender o ato e garantir o restabelecimento do cadastro.</t>
    </r>
  </si>
  <si>
    <t>ANGELA ROSI ALMEIDA CHAPPER</t>
  </si>
  <si>
    <t>O Tribunal reconheceu que não houve ilegalidade ou abusividade na decisão que indeferiu a liminar. Ficou afastada a tese de bloqueio arbitrário e de violação a direito líquido e certo. O mandado de segurança foi integralmente rejeitado, mantendo a empresa livre de qualquer obrigação imediata de reativar cadastro ou excluir registros.</t>
  </si>
  <si>
    <t>O impetrante foi intimado a efetuar o pagamento das custas processuais e, após a quitação, será determinado o arquivamento dos autos.</t>
  </si>
  <si>
    <t>1000134-68.2026.5.02.0082</t>
  </si>
  <si>
    <t>GUTENBERG DE OLIVEIRA</t>
  </si>
  <si>
    <t xml:space="preserve">82ª VARA DO TRABALHO DE SÃO PAULO </t>
  </si>
  <si>
    <t>Horas extras R$ 57.757,55; Comissões R$ 95.576,04; DSR R$ 25.269,30; Integrações de valores pagos R$ 15.260,30; Verbas rescisórias R$ 26.450,65; Contribuição assistencial R$ 2.615,44; Multa do art. 477 da CLT R$ 5.900,00; Indenização por dano moral R$ 30.000,00; Honorários de sucumbência e Gratuidade de justiça.</t>
  </si>
  <si>
    <t>Tendo em vista a desistência do reclamante, foi determinada a extinção do processo sem resolução do mérito, com consequente arquivamento dos autos.</t>
  </si>
  <si>
    <t>1000221-27.2026.5.02.0081</t>
  </si>
  <si>
    <t>FELIPE CARDOSO DE BRITO</t>
  </si>
  <si>
    <t>COORDENADOR DE VENDAS</t>
  </si>
  <si>
    <t>DSR R$ 133.044,54; FGTS R$ 36.834,37; Multa de 40% do FGTS R$ 14.733,75; Descaracterização do valores nomeados como "Comissões DSR"; Honorários de sucumbência e Gratuidade de justiça.</t>
  </si>
  <si>
    <t xml:space="preserve">EDGAR EL HAGE THOMPSON NETO </t>
  </si>
  <si>
    <t>ALBUQUERQUE AQUINO ADVOCACIA</t>
  </si>
  <si>
    <t>EXECUTIVO PLENO</t>
  </si>
  <si>
    <t xml:space="preserve">7ª VARA DO TRABALHO DE FLORIANÓPOLIS </t>
  </si>
  <si>
    <t>FLORIANÓPOLIS/SC</t>
  </si>
  <si>
    <t>Retificação da CTPS; Equiparação salarial R$ 90.197,33; FGTS R$ 6.720,00; Verbas rescisórias R$ 18.252,13; Indenização por dano moral R$ 20.000,00; Honorários de sucumbência e Gratuidade de justiça.</t>
  </si>
  <si>
    <t>Aguardando a audiência de Conciliação designada para o dia 09/06/2026, às 14h10.</t>
  </si>
  <si>
    <t>DATA DO ENCERRAMENTO</t>
  </si>
  <si>
    <t>MOTIVO DO ENCERRAMENTO</t>
  </si>
  <si>
    <t>VALORES PAGOS</t>
  </si>
  <si>
    <t>1000686-22.2019.5.02.0068</t>
  </si>
  <si>
    <t>LUDMILA COELHO FABRICIO DA SILVA</t>
  </si>
  <si>
    <t>ACORDO ENTRE AS PARTES</t>
  </si>
  <si>
    <t>0010413-63.2019.5.15.0002</t>
  </si>
  <si>
    <t>EDSON BASTOS CORREIA</t>
  </si>
  <si>
    <t>EXCEÇÃO DE INCOMPETÊNCIA</t>
  </si>
  <si>
    <t>1000774-19.2019.5.02.0211</t>
  </si>
  <si>
    <t>FALTA DE INDICAÇÃO DO ENDEREÇO DA 1ª RÉ</t>
  </si>
  <si>
    <t>1000889-40.2019.5.02.0211</t>
  </si>
  <si>
    <t>1000583-86.2020.5.02.0033</t>
  </si>
  <si>
    <t>CINTIA REGINA DA CRUZ DE SOUZA</t>
  </si>
  <si>
    <t>1001199-24.2019.5.02.0089</t>
  </si>
  <si>
    <t xml:space="preserve">KAREN REGINA RODRIGUES                                      </t>
  </si>
  <si>
    <t>EXECUÇÃO FINALIZADA</t>
  </si>
  <si>
    <t>1001105-39.2019.5.02.0069</t>
  </si>
  <si>
    <t>DANIEL RIBEIRO DA SILVA</t>
  </si>
  <si>
    <t>0010768-45.2021.5.03.0032</t>
  </si>
  <si>
    <t xml:space="preserve">ANA LUIZA OLIVEIRA DINIZ                                    </t>
  </si>
  <si>
    <t>DESISTÊNCIA DA AÇÃO</t>
  </si>
  <si>
    <t>0010165-26.2020.5.15.0079</t>
  </si>
  <si>
    <t>HUGO VOLTOLINO LOMBARDI DE SOUZA</t>
  </si>
  <si>
    <t>0012325-98.2018.5.15.0077</t>
  </si>
  <si>
    <t xml:space="preserve">ERICK GOMES DOS SANTOS                                      </t>
  </si>
  <si>
    <t>1000227-95.2022.5.02.0009</t>
  </si>
  <si>
    <t>GABRIELA PEREIRA LOPES</t>
  </si>
  <si>
    <t>1000276-70.2021.5.02.0010</t>
  </si>
  <si>
    <t>LUCAS SANTANA DE SOUZA</t>
  </si>
  <si>
    <t>0000292-94.2022.5.20.0013</t>
  </si>
  <si>
    <t>ALICE DE JESUS COSTA</t>
  </si>
  <si>
    <t>0000433-59.2022.5.23.0101</t>
  </si>
  <si>
    <t>IVANA DE MOURA SAMPAIO</t>
  </si>
  <si>
    <t>1001145-74.2017.5.02.0074</t>
  </si>
  <si>
    <t>JOSE MARIA MEDRADO DOS SANTOS</t>
  </si>
  <si>
    <t>1000179-36.2023.5.02.0031</t>
  </si>
  <si>
    <t>MARCO ANTONIO MACHADO</t>
  </si>
  <si>
    <t>0010971-35.2022.5.03.0173</t>
  </si>
  <si>
    <t>ILKA AMELIA ALVES DA SILVA</t>
  </si>
  <si>
    <t>1000073-65.2023.5.02.0034</t>
  </si>
  <si>
    <t>PAULO ROGERIO FERREIRA</t>
  </si>
  <si>
    <t>0010142-33.2023.5.03.0104</t>
  </si>
  <si>
    <t>MARIA EDUARDA VIEIRA AQUINO</t>
  </si>
  <si>
    <t>1000976-61.2019.5.02.0060</t>
  </si>
  <si>
    <t>FRANCIELLE MAIA DA SILVA</t>
  </si>
  <si>
    <t>0010804-34.2022.5.03.0103</t>
  </si>
  <si>
    <t>FERNANDA GUIMARAES CORTES</t>
  </si>
  <si>
    <t>1001211-38.2022.5.02.0055</t>
  </si>
  <si>
    <t>RAFAEL RODRIGUES</t>
  </si>
  <si>
    <t>0020020-92.2023.5.04.0123</t>
  </si>
  <si>
    <t>AMANDA MULLET GARCIA GOULART</t>
  </si>
  <si>
    <t>1001714-63.2023.5.02.0204</t>
  </si>
  <si>
    <t>JHONE PEREIRA DE MATOS</t>
  </si>
  <si>
    <t>CARTA PRECATÓRIA</t>
  </si>
  <si>
    <t>1001950-18.2023.5.02.0203</t>
  </si>
  <si>
    <t>EXTINTO SEM RESOLUÇÃO DO MÉRITO</t>
  </si>
  <si>
    <t>0010622-47.2023.5.18.0054</t>
  </si>
  <si>
    <t>BRUNA CAMPOS DE ARAUJO</t>
  </si>
  <si>
    <t>1000051-21.2022.5.02.0073</t>
  </si>
  <si>
    <t xml:space="preserve"> HENRIQUE JOSE DE ALMEIDA LIMA </t>
  </si>
  <si>
    <t>0000396-44.2023.5.23.0021</t>
  </si>
  <si>
    <t>1000513-02.2024.5.02.0204</t>
  </si>
  <si>
    <t>TAHYNAR DE JESUS DA CONCEICAO SANTOS SOARES</t>
  </si>
  <si>
    <t>1001336-33.2019.5.02.0080</t>
  </si>
  <si>
    <t xml:space="preserve">LAILA CRISTINA DA SILVA DO MONTE BOLFARINI                  </t>
  </si>
  <si>
    <t>0000528-03.2023.5.07.0036</t>
  </si>
  <si>
    <t>SHEILIANE FEITOSA DA SILVA</t>
  </si>
  <si>
    <t>0000543-88.2012.5.09.0007</t>
  </si>
  <si>
    <t>IVETE RAMALHO DA SILVA</t>
  </si>
  <si>
    <t>1001089-19.2023.5.02.0078</t>
  </si>
  <si>
    <t>ROGERIO GOMES DE CARVALHO</t>
  </si>
  <si>
    <t>1001088-37.2022.5.02.0056</t>
  </si>
  <si>
    <t>EDER ENRIQUE ARRIAGADA BIANCIOTTO</t>
  </si>
  <si>
    <t>IMPROCEDÊNCIA</t>
  </si>
  <si>
    <t>0000720-21.2023.5.09.0022</t>
  </si>
  <si>
    <t xml:space="preserve">ANA LETICIA DA CRUZ ALVES </t>
  </si>
  <si>
    <t>0011247-40.2023.5.18.0003</t>
  </si>
  <si>
    <t>JOSE RIBAMAR REIS NETO</t>
  </si>
  <si>
    <t>0021250-32.2023.5.04.0104</t>
  </si>
  <si>
    <t>CIMAR TEREZINHA VALENTE DOMINGUES</t>
  </si>
  <si>
    <t>0010235-53.2024.5.15.0095</t>
  </si>
  <si>
    <t>FERNANDO SCALON DA SILVA</t>
  </si>
  <si>
    <t>1001273-74.2022.5.02.0024</t>
  </si>
  <si>
    <t>WILLIAN KACZMARECK FITIPALDI</t>
  </si>
  <si>
    <t>1000565-30.2023.5.02.0043</t>
  </si>
  <si>
    <t>MAGALI DE FONTES ALVES</t>
  </si>
  <si>
    <t>0020584-92.2023.5.04.0601</t>
  </si>
  <si>
    <t>SAMANTA KRUGER KIRSCHNICK CICHORSKI</t>
  </si>
  <si>
    <t>1001316-31.2023.5.02.0006</t>
  </si>
  <si>
    <t>IVAN DE SOUSA AMORIM</t>
  </si>
  <si>
    <t>0000387-71.2022.5.05.0101</t>
  </si>
  <si>
    <t>CARLOS ALBERTO DOS SANTOS</t>
  </si>
  <si>
    <t>EXCLUSÃO DA FRETE</t>
  </si>
  <si>
    <t>0000263-81.2021.5.20.0012</t>
  </si>
  <si>
    <t>JOSE ALVES PEREIRA DE SANTANA</t>
  </si>
  <si>
    <t>0011844-64.2023.5.15.0044</t>
  </si>
  <si>
    <t>0020112-36.2023.5.04.0102</t>
  </si>
  <si>
    <t xml:space="preserve">PAMELA DOMINGUES DA COSTA </t>
  </si>
  <si>
    <t>1000437-25.2023.5.02.0038</t>
  </si>
  <si>
    <t>ELDER EVANDRO ESPLENDORI</t>
  </si>
  <si>
    <t>1002542-22.2024.5.02.0205</t>
  </si>
  <si>
    <t>TIAGO QUARESMA TEIXEIRA</t>
  </si>
  <si>
    <t>1000776-12.2023.5.02.0061</t>
  </si>
  <si>
    <t>CLEBER APARECIDO CACIANO DOS SANTOS</t>
  </si>
  <si>
    <t>0011202-59.2019.5.15.0003</t>
  </si>
  <si>
    <t>JOEL ROCHA CUSTODIO</t>
  </si>
  <si>
    <t>1000271-48.2024.5.02.0073</t>
  </si>
  <si>
    <t>MATHEUS ANDRADE DE OLIVEIRA</t>
  </si>
  <si>
    <t>1000964-52.2022.5.02.0089</t>
  </si>
  <si>
    <t>FRANCISCO CESAR PIRES DOS SANTOS</t>
  </si>
  <si>
    <t>0010921-54.2023.5.18.0141</t>
  </si>
  <si>
    <t>TACIANE CAMPOS MEDEIROS</t>
  </si>
  <si>
    <t>1000638-87.2025.5.02.0089</t>
  </si>
  <si>
    <t>AUSÊNCIA DO RECLAMANTE NA AUDIÊNCIA</t>
  </si>
  <si>
    <t>1000718-18.2023.5.02.0058</t>
  </si>
  <si>
    <t>JOSELITO BEZERRA SANTOS</t>
  </si>
  <si>
    <t>1001032-72.2024.5.02.0043</t>
  </si>
  <si>
    <t>0021301-80.2023.5.04.0221</t>
  </si>
  <si>
    <t>DIANA MACHADO MAIA RODRIGUES</t>
  </si>
  <si>
    <t>0000501-71.2019.5.20.0012</t>
  </si>
  <si>
    <t xml:space="preserve"> JOSE NILSON DOS SANTOS</t>
  </si>
  <si>
    <t>0000617-81.2023.5.09.0129</t>
  </si>
  <si>
    <t>SIDNEI EIJI NISHIYAMA</t>
  </si>
  <si>
    <t>0020914-35.2023.5.04.0231</t>
  </si>
  <si>
    <t>REJANE MAIDANA VAZ DA COSTA</t>
  </si>
  <si>
    <t>0000248-56.2010.5.09.0028</t>
  </si>
  <si>
    <t xml:space="preserve"> MARCO ANTONIO TORTATO DE MELLO</t>
  </si>
  <si>
    <t>0011702-42.2024.5.18.0141</t>
  </si>
  <si>
    <t>MS FINALIZADO</t>
  </si>
  <si>
    <t>1001683-40.2023.5.02.0205</t>
  </si>
  <si>
    <t>SHEILIANE  FEITOSA  DA  SILVA</t>
  </si>
  <si>
    <t>0010838-23.2025.5.03.0129</t>
  </si>
  <si>
    <t>MATHEUS RAFAEL DE SOUZA SILVA</t>
  </si>
  <si>
    <t>DESISTÊNCIA DA AÇÃO EM FASE DA FRETE</t>
  </si>
  <si>
    <t>Data da distribuição</t>
  </si>
  <si>
    <t>Número do processo</t>
  </si>
  <si>
    <t>Ação</t>
  </si>
  <si>
    <t>Cliente principal</t>
  </si>
  <si>
    <t>Contrário principal</t>
  </si>
  <si>
    <t>Cidade</t>
  </si>
  <si>
    <t>UF</t>
  </si>
  <si>
    <t>Motivo</t>
  </si>
  <si>
    <t>Status</t>
  </si>
  <si>
    <t>14152.037968/2022-86</t>
  </si>
  <si>
    <t>Notificação administrativa</t>
  </si>
  <si>
    <t>MINISTÉRIO DO TRABALHO E PREVIDÊNCIA</t>
  </si>
  <si>
    <t>Goiânia</t>
  </si>
  <si>
    <t>GO</t>
  </si>
  <si>
    <t>Autuado por deixar de apresentar documentos sujeitos à inspeção do trabalho no dia e hora previamente fixados pelo AFT.</t>
  </si>
  <si>
    <t>14152.037962/2022-17</t>
  </si>
  <si>
    <t>Autuado por deixar de empregar aprendizes em número equivalente a 5% (cinco por cento), no mínimo, dos empregados existentes em cada estabelecimento, cujas funções demandem formação profissional.</t>
  </si>
  <si>
    <t>3658/2022</t>
  </si>
  <si>
    <t>Não preenchimento de cota (PCD)</t>
  </si>
  <si>
    <t>APRESENTAMOS DEFESA - ASSINAMOS TERMO DE COMPROMISSO DE ADEQUAÇÃO DA COTA (PCD).</t>
  </si>
  <si>
    <t>Instância</t>
  </si>
  <si>
    <t>Qtd</t>
  </si>
  <si>
    <t>Extinção/Outros</t>
  </si>
  <si>
    <t>RELATÓRIO MENSAL  |  ABRIL/2026</t>
  </si>
  <si>
    <t>PROCESSOS ATIVOS - ABRIL/2026</t>
  </si>
  <si>
    <t>PROCESSOS ENCERRADOS - ABRIL/2026</t>
  </si>
  <si>
    <t>PROCEDIMENTO ADMINISTRATIVO - ABRIL/2026</t>
  </si>
  <si>
    <t>1000294-87.2026.5.02.0084</t>
  </si>
  <si>
    <t>0000296-42.2026.5.12.0037</t>
  </si>
  <si>
    <t>A reclamada interpôs agravo de instrumento, atualmente pendente de julgamento. O reclamante apresentou contrarrazões e contraminuta. Em razão da interposição desse recurso, o processo encontra-se, por ora, pendente de distribuição no âmbito do TST.</t>
  </si>
  <si>
    <t>MOISES DOS SANTOS HEITOR</t>
  </si>
  <si>
    <t>O acórdão confirma parcialmente direitos do reclamante (como horas extras e estabilidade acidentária), mas também acolhe parcialmente pedidos da reclamada (redução de honorários e revisão sobre DSR).</t>
  </si>
  <si>
    <t>Atualmente, o processo aguarda julgamento do recurso ordinário interposto pela reclamada, o qual já foi regularmente distribuído no âmbito do TRT. Foi proferido acórdão que deu parcial provimento aos recursos interpostos pela reclamada e pelo reclamante. No momento, o processo aguarda eventual oposição de embargos de declaração ou a interposição de recurso de revista pelas partes.</t>
  </si>
  <si>
    <t>GUSTAVO DORETO RODRIGUES</t>
  </si>
  <si>
    <t>aempresa foi condenada a pagar diferenças salariais, FGTS, indenização por danos morais e multas convencionais, os demais pedidos do autor foram indeferidos.</t>
  </si>
  <si>
    <t>Concluída a audiência de instrução, o feito aguarda, neste momento, a prolação da sentença. Diante da decisão proferida nos autos, permanece a expectativa quanto à eventual oposição de embargos de declaração ou à interposição de recurso ordinário.</t>
  </si>
  <si>
    <t>As partes interpuseram agravo interno, ao qual foi negado provimento. A decisão manteve a condenação da Fretebras ao pagamento de horas extras e da indenização pela supressão parcial do intervalo intrajornada. Contudo, foi parcialmente favorável à empresa, pois rejeitou os pedidos da reclamante relativos à equiparação salarial e à alegada nulidade processual. Diante da ausência de interposição de recurso por ambas as partes, ocorreu o trânsito em julgado, aguardando-se o início da execução.</t>
  </si>
  <si>
    <t>Considerando que nenhuma das partes interpuseram recurso de revista o processo retornou a origem para inicio da execução. Foram apresentados os cálculos pelo reclamante.</t>
  </si>
  <si>
    <t>Processo aguarda trânsito em julgado dos autos principais. O reclamante apresentou manifestação nos autos, requerendo a intimação da reclamada.</t>
  </si>
  <si>
    <t>Em decisão de homologação, foram acolhidos os cálculos apresentados pela reclamada. Assim, a empresa foi intimada para garantir o juízo no prazo de 15 dias. Foi apresentado o comprovante de pagamento da execução.</t>
  </si>
  <si>
    <t>Depoimento do reclamante: afirma ter sido dispensado por justa causa sem motivo específico informado; trabalhava em home office, registrava jornada corretamente, recebeu advertências e suspensões, não retornou ao presencial por necessidade de cuidar do filho, comparecendo apenas no dia da demissão. Depoimento do preposto da reclamada: alega justa causa por desídia, mau procedimento e indisciplina; reclamante não retornou ao trabalho presencial após convocação em março de 2025, comparecendo apenas no desligamento em julho; controle de jornada era feito via sistema. Testemunha da reclamada: confirma histórico de faltas disciplinares, advertências e descumprimento da determinação de retorno presencial; cartões de ponto refletiam a realidade.</t>
  </si>
  <si>
    <t>PAULA  NAYANE SILVESTRE MITHERHOFER</t>
  </si>
  <si>
    <t>Após a apresentação da réplica pelo reclamante, os autos permanecem aguardando a audiência de instrução, já designada para o dia 22/04/2026, às 14h45. Audiência de instrução realizada, com julgamento designado para o dia 13/05/2026 às 16h04, aguardando-se a prolação da sentença.</t>
  </si>
  <si>
    <t>Depoimento do reclamante: afirmou que a empresa não pagava corretamente os DSRs sobre as comissões. Segundo ele, o valor indicado como DSR no holerite era apenas parte da comissão já devida, e não um adicional. Declarou que mensalmente recebia planilhas em Excel com os valores de comissão, mas nunca havia visto o documento exibido em audiência. Depoimento da reclamada: explicou que o cálculo do DSR era feito dividindo a comissão pelos dias úteis e multiplicando por domingos e feriados. Apresentou documento oficial da empresa, esclarecendo que se tratava de uma projeção dos ganhos totais do colaborador.</t>
  </si>
  <si>
    <t>Aguardando a audiência de UNA designada para o dia 22/04/2026, às 10h20. Audiência de instrução realizada, com julgamento designado para o dia 15/05/2026 às 18h23, aguardando-se a prolação da sentença.</t>
  </si>
  <si>
    <t>O reclamante apresentou manifestação nos autos, impugnando os cálculos por nós apresentados.</t>
  </si>
  <si>
    <t>AGUARDANDO INÍCIO DA EXECUÇÃO</t>
  </si>
  <si>
    <t>AGUARDANDO LIBERAÇÃO DO VALOR DEPOSITADO</t>
  </si>
  <si>
    <t>26% dos processos ativos, representando o</t>
  </si>
  <si>
    <t>Os Top 3 somam 53% de toda a carteira.</t>
  </si>
  <si>
    <t>FRETEBRAS / CARGOX • Relatório Contencioso Jurídico • Base: Abril/2026 • Confidencial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</si>
</sst>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"/>
    <numFmt numFmtId="165" formatCode="mmm\-yy"/>
    <numFmt numFmtId="166" formatCode="&quot;R$&quot;\ #,##0.00"/>
    <numFmt numFmtId="167" formatCode="[$R$ -416]#,##0.00"/>
  </numFmts>
  <fonts count="45">
    <font>
      <sz val="11"/>
      <color theme="1"/>
      <name val="Aptos Narrow"/>
      <scheme val="minor"/>
    </font>
    <font>
      <sz val="9"/>
      <color theme="1"/>
      <name val="Avenir"/>
    </font>
    <font>
      <sz val="11"/>
      <color theme="1"/>
      <name val="Avenir"/>
    </font>
    <font>
      <sz val="9"/>
      <color rgb="FF1C2140"/>
      <name val="Avenir"/>
    </font>
    <font>
      <b/>
      <sz val="18"/>
      <color rgb="FFFFFFFF"/>
      <name val="Avenir"/>
    </font>
    <font>
      <sz val="11"/>
      <name val="Aptos Narrow"/>
    </font>
    <font>
      <b/>
      <sz val="9"/>
      <color rgb="FF8A9DC0"/>
      <name val="Avenir"/>
    </font>
    <font>
      <b/>
      <sz val="9"/>
      <color rgb="FFD4A0B0"/>
      <name val="Avenir"/>
    </font>
    <font>
      <b/>
      <sz val="28"/>
      <color rgb="FFFFFFFF"/>
      <name val="Avenir"/>
    </font>
    <font>
      <sz val="9"/>
      <color rgb="FF8A9DC0"/>
      <name val="Avenir"/>
    </font>
    <font>
      <sz val="9"/>
      <color rgb="FFD4A0B0"/>
      <name val="Avenir"/>
    </font>
    <font>
      <b/>
      <sz val="12"/>
      <color rgb="FF1C2140"/>
      <name val="Avenir"/>
    </font>
    <font>
      <b/>
      <sz val="9"/>
      <color rgb="FFFFFFFF"/>
      <name val="Avenir"/>
    </font>
    <font>
      <sz val="7"/>
      <color theme="1"/>
      <name val="Avenir"/>
    </font>
    <font>
      <b/>
      <sz val="9"/>
      <color theme="1"/>
      <name val="Avenir"/>
    </font>
    <font>
      <sz val="8"/>
      <color theme="1"/>
      <name val="Avenir"/>
    </font>
    <font>
      <b/>
      <sz val="9"/>
      <color rgb="FFC0392B"/>
      <name val="Avenir"/>
    </font>
    <font>
      <b/>
      <sz val="9"/>
      <color rgb="FFE67E22"/>
      <name val="Avenir"/>
    </font>
    <font>
      <b/>
      <sz val="9"/>
      <color rgb="FF27AE60"/>
      <name val="Avenir"/>
    </font>
    <font>
      <sz val="8"/>
      <color rgb="FF999999"/>
      <name val="Avenir"/>
    </font>
    <font>
      <b/>
      <sz val="14"/>
      <color rgb="FF1C2140"/>
      <name val="Avenir"/>
    </font>
    <font>
      <sz val="9"/>
      <color rgb="FF777777"/>
      <name val="Avenir"/>
    </font>
    <font>
      <b/>
      <sz val="14"/>
      <color rgb="FFE67E22"/>
      <name val="Avenir"/>
    </font>
    <font>
      <b/>
      <sz val="14"/>
      <color rgb="FFC0392B"/>
      <name val="Avenir"/>
    </font>
    <font>
      <b/>
      <sz val="9"/>
      <color rgb="FF6B1D3A"/>
      <name val="Avenir"/>
    </font>
    <font>
      <b/>
      <sz val="9"/>
      <color rgb="FF1C2140"/>
      <name val="Avenir"/>
    </font>
    <font>
      <b/>
      <sz val="9"/>
      <color rgb="FF2980B9"/>
      <name val="Avenir"/>
    </font>
    <font>
      <sz val="9"/>
      <color rgb="FF000000"/>
      <name val="Avenir"/>
    </font>
    <font>
      <sz val="9"/>
      <color rgb="FF666666"/>
      <name val="Avenir"/>
    </font>
    <font>
      <b/>
      <sz val="9"/>
      <color rgb="FF999999"/>
      <name val="Avenir"/>
    </font>
    <font>
      <sz val="9"/>
      <color rgb="FF999999"/>
      <name val="Avenir"/>
    </font>
    <font>
      <i/>
      <sz val="8"/>
      <color rgb="FF999999"/>
      <name val="Avenir"/>
    </font>
    <font>
      <b/>
      <sz val="9"/>
      <color rgb="FF002060"/>
      <name val="Aptos Mono"/>
    </font>
    <font>
      <sz val="9"/>
      <color theme="1"/>
      <name val="Aptos Mono"/>
    </font>
    <font>
      <b/>
      <sz val="9"/>
      <color theme="0"/>
      <name val="Aptos Mono"/>
    </font>
    <font>
      <sz val="9"/>
      <color theme="1"/>
      <name val="Arial"/>
    </font>
    <font>
      <sz val="10"/>
      <color theme="1"/>
      <name val="Aptos Mono"/>
    </font>
    <font>
      <b/>
      <sz val="9"/>
      <color theme="1"/>
      <name val="Aptos Mono"/>
    </font>
    <font>
      <b/>
      <sz val="9"/>
      <color rgb="FF002060"/>
      <name val="Avenir"/>
    </font>
    <font>
      <b/>
      <sz val="9"/>
      <color theme="0"/>
      <name val="Avenir"/>
    </font>
    <font>
      <sz val="9"/>
      <color rgb="FFFF0000"/>
      <name val="Avenir"/>
    </font>
    <font>
      <sz val="11"/>
      <color theme="1"/>
      <name val="Aptos Narrow"/>
      <scheme val="minor"/>
    </font>
    <font>
      <b/>
      <u/>
      <sz val="9"/>
      <color theme="1"/>
      <name val="Aptos Mono"/>
    </font>
    <font>
      <sz val="7"/>
      <color rgb="FF000000"/>
      <name val="Avenir"/>
    </font>
    <font>
      <sz val="8"/>
      <color rgb="FF000000"/>
      <name val="Aveni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1C2140"/>
        <bgColor rgb="FF1C2140"/>
      </patternFill>
    </fill>
    <fill>
      <patternFill patternType="solid">
        <fgColor rgb="FF6B1D3A"/>
        <bgColor rgb="FF6B1D3A"/>
      </patternFill>
    </fill>
    <fill>
      <patternFill patternType="solid">
        <fgColor rgb="FFF7F7FA"/>
        <bgColor rgb="FFF7F7FA"/>
      </patternFill>
    </fill>
    <fill>
      <patternFill patternType="solid">
        <fgColor rgb="FF800000"/>
        <bgColor rgb="FF800000"/>
      </patternFill>
    </fill>
    <fill>
      <patternFill patternType="solid">
        <fgColor rgb="FFA50021"/>
        <bgColor rgb="FFA5002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A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6B1D3A"/>
      </bottom>
      <diagonal/>
    </border>
    <border>
      <left/>
      <right/>
      <top/>
      <bottom style="thin">
        <color rgb="FF1C2140"/>
      </bottom>
      <diagonal/>
    </border>
    <border>
      <left/>
      <right/>
      <top style="dotted">
        <color rgb="FFE0E0E0"/>
      </top>
      <bottom/>
      <diagonal/>
    </border>
    <border>
      <left/>
      <right/>
      <top style="medium">
        <color rgb="FF6B1D3A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2" fillId="4" borderId="1" xfId="0" applyFont="1" applyFill="1" applyBorder="1" applyAlignment="1">
      <alignment horizontal="center" wrapText="1"/>
    </xf>
    <xf numFmtId="0" fontId="13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3" fontId="1" fillId="6" borderId="1" xfId="0" applyNumberFormat="1" applyFont="1" applyFill="1" applyBorder="1" applyAlignment="1">
      <alignment horizontal="center" wrapText="1"/>
    </xf>
    <xf numFmtId="0" fontId="14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wrapText="1"/>
    </xf>
    <xf numFmtId="0" fontId="16" fillId="6" borderId="1" xfId="0" applyFont="1" applyFill="1" applyBorder="1" applyAlignment="1">
      <alignment wrapText="1"/>
    </xf>
    <xf numFmtId="9" fontId="14" fillId="6" borderId="1" xfId="0" applyNumberFormat="1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wrapText="1"/>
    </xf>
    <xf numFmtId="9" fontId="14" fillId="2" borderId="1" xfId="0" applyNumberFormat="1" applyFont="1" applyFill="1" applyBorder="1" applyAlignment="1">
      <alignment horizontal="center" wrapText="1"/>
    </xf>
    <xf numFmtId="0" fontId="18" fillId="6" borderId="1" xfId="0" applyFont="1" applyFill="1" applyBorder="1" applyAlignment="1">
      <alignment wrapText="1"/>
    </xf>
    <xf numFmtId="0" fontId="12" fillId="4" borderId="1" xfId="0" applyFont="1" applyFill="1" applyBorder="1" applyAlignment="1">
      <alignment wrapText="1"/>
    </xf>
    <xf numFmtId="3" fontId="12" fillId="4" borderId="1" xfId="0" applyNumberFormat="1" applyFont="1" applyFill="1" applyBorder="1" applyAlignment="1">
      <alignment horizontal="center" wrapText="1"/>
    </xf>
    <xf numFmtId="9" fontId="12" fillId="4" borderId="1" xfId="0" applyNumberFormat="1" applyFont="1" applyFill="1" applyBorder="1" applyAlignment="1">
      <alignment horizontal="center" wrapText="1"/>
    </xf>
    <xf numFmtId="0" fontId="15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 wrapText="1"/>
    </xf>
    <xf numFmtId="0" fontId="18" fillId="6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13" fillId="6" borderId="6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wrapText="1"/>
    </xf>
    <xf numFmtId="3" fontId="1" fillId="6" borderId="6" xfId="0" applyNumberFormat="1" applyFont="1" applyFill="1" applyBorder="1" applyAlignment="1">
      <alignment horizontal="center" wrapText="1"/>
    </xf>
    <xf numFmtId="0" fontId="14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wrapText="1"/>
    </xf>
    <xf numFmtId="0" fontId="17" fillId="6" borderId="1" xfId="0" applyFont="1" applyFill="1" applyBorder="1" applyAlignment="1">
      <alignment horizontal="center" wrapText="1"/>
    </xf>
    <xf numFmtId="165" fontId="1" fillId="6" borderId="1" xfId="0" applyNumberFormat="1" applyFont="1" applyFill="1" applyBorder="1" applyAlignment="1">
      <alignment horizontal="center" wrapText="1"/>
    </xf>
    <xf numFmtId="165" fontId="1" fillId="2" borderId="1" xfId="0" applyNumberFormat="1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15" fillId="2" borderId="6" xfId="0" applyFont="1" applyFill="1" applyBorder="1" applyAlignment="1">
      <alignment wrapText="1"/>
    </xf>
    <xf numFmtId="165" fontId="1" fillId="2" borderId="6" xfId="0" applyNumberFormat="1" applyFont="1" applyFill="1" applyBorder="1" applyAlignment="1">
      <alignment horizontal="center" wrapText="1"/>
    </xf>
    <xf numFmtId="0" fontId="15" fillId="2" borderId="6" xfId="0" applyFont="1" applyFill="1" applyBorder="1" applyAlignment="1">
      <alignment horizontal="center" wrapText="1"/>
    </xf>
    <xf numFmtId="3" fontId="1" fillId="2" borderId="6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9" fillId="0" borderId="7" xfId="0" applyFont="1" applyBorder="1" applyAlignment="1">
      <alignment wrapText="1"/>
    </xf>
    <xf numFmtId="0" fontId="1" fillId="0" borderId="7" xfId="0" applyFont="1" applyBorder="1" applyAlignment="1">
      <alignment wrapText="1"/>
    </xf>
    <xf numFmtId="164" fontId="20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4" fillId="6" borderId="1" xfId="0" applyFont="1" applyFill="1" applyBorder="1" applyAlignment="1">
      <alignment horizontal="center" wrapText="1"/>
    </xf>
    <xf numFmtId="9" fontId="25" fillId="6" borderId="1" xfId="0" applyNumberFormat="1" applyFont="1" applyFill="1" applyBorder="1" applyAlignment="1">
      <alignment horizontal="center" wrapText="1"/>
    </xf>
    <xf numFmtId="0" fontId="24" fillId="2" borderId="1" xfId="0" applyFont="1" applyFill="1" applyBorder="1" applyAlignment="1">
      <alignment horizontal="center" wrapText="1"/>
    </xf>
    <xf numFmtId="9" fontId="25" fillId="2" borderId="1" xfId="0" applyNumberFormat="1" applyFont="1" applyFill="1" applyBorder="1" applyAlignment="1">
      <alignment horizontal="center" wrapText="1"/>
    </xf>
    <xf numFmtId="0" fontId="14" fillId="6" borderId="1" xfId="0" applyFont="1" applyFill="1" applyBorder="1" applyAlignment="1">
      <alignment wrapText="1"/>
    </xf>
    <xf numFmtId="0" fontId="16" fillId="6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wrapText="1"/>
    </xf>
    <xf numFmtId="9" fontId="1" fillId="6" borderId="1" xfId="0" applyNumberFormat="1" applyFont="1" applyFill="1" applyBorder="1" applyAlignment="1">
      <alignment horizontal="center" wrapText="1"/>
    </xf>
    <xf numFmtId="0" fontId="18" fillId="2" borderId="1" xfId="0" applyFont="1" applyFill="1" applyBorder="1" applyAlignment="1">
      <alignment wrapText="1"/>
    </xf>
    <xf numFmtId="9" fontId="1" fillId="2" borderId="1" xfId="0" applyNumberFormat="1" applyFont="1" applyFill="1" applyBorder="1" applyAlignment="1">
      <alignment horizontal="center" wrapText="1"/>
    </xf>
    <xf numFmtId="0" fontId="17" fillId="6" borderId="1" xfId="0" applyFont="1" applyFill="1" applyBorder="1" applyAlignment="1">
      <alignment wrapText="1"/>
    </xf>
    <xf numFmtId="0" fontId="26" fillId="2" borderId="1" xfId="0" applyFont="1" applyFill="1" applyBorder="1" applyAlignment="1">
      <alignment wrapText="1"/>
    </xf>
    <xf numFmtId="0" fontId="26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2" fillId="4" borderId="8" xfId="0" applyFont="1" applyFill="1" applyBorder="1" applyAlignment="1">
      <alignment horizontal="center" wrapText="1"/>
    </xf>
    <xf numFmtId="0" fontId="27" fillId="6" borderId="1" xfId="0" applyFont="1" applyFill="1" applyBorder="1" applyAlignment="1">
      <alignment horizontal="center" wrapText="1"/>
    </xf>
    <xf numFmtId="9" fontId="18" fillId="6" borderId="1" xfId="0" applyNumberFormat="1" applyFont="1" applyFill="1" applyBorder="1" applyAlignment="1">
      <alignment horizontal="center" wrapText="1"/>
    </xf>
    <xf numFmtId="9" fontId="16" fillId="6" borderId="1" xfId="0" applyNumberFormat="1" applyFont="1" applyFill="1" applyBorder="1" applyAlignment="1">
      <alignment horizontal="center" wrapText="1"/>
    </xf>
    <xf numFmtId="0" fontId="27" fillId="2" borderId="1" xfId="0" applyFont="1" applyFill="1" applyBorder="1" applyAlignment="1">
      <alignment horizontal="center" wrapText="1"/>
    </xf>
    <xf numFmtId="9" fontId="18" fillId="2" borderId="1" xfId="0" applyNumberFormat="1" applyFont="1" applyFill="1" applyBorder="1" applyAlignment="1">
      <alignment horizontal="center" wrapText="1"/>
    </xf>
    <xf numFmtId="0" fontId="16" fillId="2" borderId="1" xfId="0" applyFont="1" applyFill="1" applyBorder="1" applyAlignment="1">
      <alignment wrapText="1"/>
    </xf>
    <xf numFmtId="9" fontId="16" fillId="2" borderId="1" xfId="0" applyNumberFormat="1" applyFont="1" applyFill="1" applyBorder="1" applyAlignment="1">
      <alignment horizontal="center" wrapText="1"/>
    </xf>
    <xf numFmtId="0" fontId="12" fillId="4" borderId="8" xfId="0" applyFont="1" applyFill="1" applyBorder="1" applyAlignment="1">
      <alignment wrapText="1"/>
    </xf>
    <xf numFmtId="9" fontId="27" fillId="6" borderId="1" xfId="0" applyNumberFormat="1" applyFont="1" applyFill="1" applyBorder="1" applyAlignment="1">
      <alignment horizontal="center" wrapText="1"/>
    </xf>
    <xf numFmtId="0" fontId="2" fillId="6" borderId="1" xfId="0" applyFont="1" applyFill="1" applyBorder="1" applyAlignment="1">
      <alignment wrapText="1"/>
    </xf>
    <xf numFmtId="0" fontId="25" fillId="2" borderId="1" xfId="0" applyFont="1" applyFill="1" applyBorder="1" applyAlignment="1">
      <alignment wrapText="1"/>
    </xf>
    <xf numFmtId="9" fontId="27" fillId="2" borderId="1" xfId="0" applyNumberFormat="1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25" fillId="6" borderId="1" xfId="0" applyFont="1" applyFill="1" applyBorder="1" applyAlignment="1">
      <alignment wrapText="1"/>
    </xf>
    <xf numFmtId="0" fontId="26" fillId="6" borderId="1" xfId="0" applyFont="1" applyFill="1" applyBorder="1" applyAlignment="1">
      <alignment wrapText="1"/>
    </xf>
    <xf numFmtId="0" fontId="26" fillId="6" borderId="1" xfId="0" applyFont="1" applyFill="1" applyBorder="1" applyAlignment="1">
      <alignment horizontal="center" wrapText="1"/>
    </xf>
    <xf numFmtId="0" fontId="28" fillId="2" borderId="1" xfId="0" applyFont="1" applyFill="1" applyBorder="1" applyAlignment="1">
      <alignment wrapText="1"/>
    </xf>
    <xf numFmtId="0" fontId="29" fillId="6" borderId="1" xfId="0" applyFont="1" applyFill="1" applyBorder="1" applyAlignment="1">
      <alignment wrapText="1"/>
    </xf>
    <xf numFmtId="0" fontId="30" fillId="6" borderId="1" xfId="0" applyFont="1" applyFill="1" applyBorder="1" applyAlignment="1">
      <alignment horizontal="center" wrapText="1"/>
    </xf>
    <xf numFmtId="9" fontId="30" fillId="6" borderId="1" xfId="0" applyNumberFormat="1" applyFont="1" applyFill="1" applyBorder="1" applyAlignment="1">
      <alignment horizont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4" fillId="7" borderId="12" xfId="0" applyFont="1" applyFill="1" applyBorder="1" applyAlignment="1">
      <alignment horizontal="center" vertical="center" wrapText="1"/>
    </xf>
    <xf numFmtId="0" fontId="34" fillId="7" borderId="13" xfId="0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3" borderId="12" xfId="0" applyFont="1" applyFill="1" applyBorder="1" applyAlignment="1">
      <alignment horizontal="center" vertical="center" wrapText="1"/>
    </xf>
    <xf numFmtId="14" fontId="33" fillId="3" borderId="12" xfId="0" applyNumberFormat="1" applyFont="1" applyFill="1" applyBorder="1" applyAlignment="1">
      <alignment horizontal="center" vertical="center" wrapText="1"/>
    </xf>
    <xf numFmtId="0" fontId="35" fillId="3" borderId="12" xfId="0" applyFont="1" applyFill="1" applyBorder="1" applyAlignment="1">
      <alignment horizontal="center" vertical="center" wrapText="1"/>
    </xf>
    <xf numFmtId="0" fontId="33" fillId="3" borderId="14" xfId="0" applyFont="1" applyFill="1" applyBorder="1" applyAlignment="1">
      <alignment horizontal="center" vertical="center" wrapText="1"/>
    </xf>
    <xf numFmtId="166" fontId="33" fillId="3" borderId="12" xfId="0" applyNumberFormat="1" applyFont="1" applyFill="1" applyBorder="1" applyAlignment="1">
      <alignment horizontal="center" vertical="center" wrapText="1"/>
    </xf>
    <xf numFmtId="166" fontId="35" fillId="3" borderId="12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3" borderId="15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9" fillId="8" borderId="1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4" fontId="1" fillId="2" borderId="12" xfId="0" applyNumberFormat="1" applyFont="1" applyFill="1" applyBorder="1" applyAlignment="1">
      <alignment horizontal="center" vertical="center" wrapText="1"/>
    </xf>
    <xf numFmtId="166" fontId="1" fillId="0" borderId="12" xfId="0" applyNumberFormat="1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4" fontId="1" fillId="3" borderId="12" xfId="0" applyNumberFormat="1" applyFont="1" applyFill="1" applyBorder="1" applyAlignment="1">
      <alignment horizontal="center" vertical="center" wrapText="1"/>
    </xf>
    <xf numFmtId="166" fontId="1" fillId="3" borderId="12" xfId="0" applyNumberFormat="1" applyFont="1" applyFill="1" applyBorder="1" applyAlignment="1">
      <alignment horizontal="center" vertical="center" wrapText="1"/>
    </xf>
    <xf numFmtId="14" fontId="1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4" fontId="1" fillId="0" borderId="12" xfId="0" applyNumberFormat="1" applyFont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39" fillId="7" borderId="12" xfId="0" applyFont="1" applyFill="1" applyBorder="1" applyAlignment="1">
      <alignment horizontal="center" vertical="center" wrapText="1"/>
    </xf>
    <xf numFmtId="14" fontId="40" fillId="0" borderId="12" xfId="0" applyNumberFormat="1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1" fillId="0" borderId="0" xfId="0" applyFont="1"/>
    <xf numFmtId="0" fontId="32" fillId="0" borderId="9" xfId="0" applyFont="1" applyBorder="1" applyAlignment="1">
      <alignment horizontal="center" vertical="center" wrapText="1"/>
    </xf>
    <xf numFmtId="0" fontId="5" fillId="0" borderId="10" xfId="0" applyFont="1" applyBorder="1"/>
    <xf numFmtId="0" fontId="11" fillId="0" borderId="5" xfId="0" applyFont="1" applyBorder="1" applyAlignment="1">
      <alignment wrapText="1"/>
    </xf>
    <xf numFmtId="0" fontId="5" fillId="0" borderId="5" xfId="0" applyFont="1" applyBorder="1"/>
    <xf numFmtId="0" fontId="31" fillId="0" borderId="0" xfId="0" applyFont="1" applyAlignment="1">
      <alignment horizontal="center" wrapText="1"/>
    </xf>
    <xf numFmtId="0" fontId="0" fillId="0" borderId="0" xfId="0"/>
    <xf numFmtId="0" fontId="9" fillId="4" borderId="2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10" fillId="5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 wrapText="1"/>
    </xf>
    <xf numFmtId="164" fontId="8" fillId="5" borderId="2" xfId="0" applyNumberFormat="1" applyFont="1" applyFill="1" applyBorder="1" applyAlignment="1">
      <alignment horizontal="center" wrapText="1"/>
    </xf>
    <xf numFmtId="9" fontId="8" fillId="5" borderId="2" xfId="0" applyNumberFormat="1" applyFont="1" applyFill="1" applyBorder="1" applyAlignment="1">
      <alignment horizontal="center" wrapText="1"/>
    </xf>
    <xf numFmtId="0" fontId="38" fillId="0" borderId="9" xfId="0" applyFont="1" applyBorder="1" applyAlignment="1">
      <alignment horizontal="center" vertical="center" wrapText="1"/>
    </xf>
    <xf numFmtId="0" fontId="5" fillId="0" borderId="11" xfId="0" applyFont="1" applyBorder="1"/>
    <xf numFmtId="14" fontId="33" fillId="9" borderId="12" xfId="0" applyNumberFormat="1" applyFont="1" applyFill="1" applyBorder="1" applyAlignment="1">
      <alignment horizontal="center" vertical="center" wrapText="1"/>
    </xf>
    <xf numFmtId="0" fontId="33" fillId="9" borderId="12" xfId="0" applyFont="1" applyFill="1" applyBorder="1" applyAlignment="1">
      <alignment horizontal="center" vertical="center" wrapText="1"/>
    </xf>
    <xf numFmtId="0" fontId="35" fillId="9" borderId="12" xfId="0" applyFont="1" applyFill="1" applyBorder="1" applyAlignment="1">
      <alignment horizontal="center" vertical="center" wrapText="1"/>
    </xf>
    <xf numFmtId="0" fontId="33" fillId="9" borderId="9" xfId="0" applyFont="1" applyFill="1" applyBorder="1" applyAlignment="1">
      <alignment horizontal="center" vertical="center" wrapText="1"/>
    </xf>
    <xf numFmtId="0" fontId="36" fillId="9" borderId="12" xfId="0" applyFont="1" applyFill="1" applyBorder="1" applyAlignment="1">
      <alignment horizontal="center" vertical="center" wrapText="1"/>
    </xf>
    <xf numFmtId="0" fontId="33" fillId="9" borderId="11" xfId="0" applyFont="1" applyFill="1" applyBorder="1" applyAlignment="1">
      <alignment horizontal="center" vertical="center" wrapText="1"/>
    </xf>
    <xf numFmtId="14" fontId="35" fillId="9" borderId="12" xfId="0" applyNumberFormat="1" applyFont="1" applyFill="1" applyBorder="1" applyAlignment="1">
      <alignment horizontal="center" vertical="center" wrapText="1"/>
    </xf>
    <xf numFmtId="166" fontId="33" fillId="9" borderId="12" xfId="0" applyNumberFormat="1" applyFont="1" applyFill="1" applyBorder="1" applyAlignment="1">
      <alignment horizontal="center" vertical="center" wrapText="1"/>
    </xf>
    <xf numFmtId="166" fontId="35" fillId="9" borderId="12" xfId="0" applyNumberFormat="1" applyFont="1" applyFill="1" applyBorder="1" applyAlignment="1">
      <alignment horizontal="center" vertical="center" wrapText="1"/>
    </xf>
    <xf numFmtId="0" fontId="0" fillId="9" borderId="0" xfId="0" applyFill="1"/>
    <xf numFmtId="166" fontId="33" fillId="9" borderId="0" xfId="0" applyNumberFormat="1" applyFont="1" applyFill="1" applyAlignment="1">
      <alignment horizontal="center" vertical="center" wrapText="1"/>
    </xf>
    <xf numFmtId="0" fontId="33" fillId="9" borderId="0" xfId="0" applyFont="1" applyFill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167" fontId="35" fillId="9" borderId="12" xfId="0" applyNumberFormat="1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wrapText="1"/>
    </xf>
    <xf numFmtId="0" fontId="15" fillId="6" borderId="4" xfId="0" applyFont="1" applyFill="1" applyBorder="1" applyAlignment="1">
      <alignment wrapText="1"/>
    </xf>
    <xf numFmtId="0" fontId="1" fillId="6" borderId="4" xfId="0" applyFont="1" applyFill="1" applyBorder="1" applyAlignment="1">
      <alignment horizontal="center" wrapText="1"/>
    </xf>
    <xf numFmtId="0" fontId="17" fillId="6" borderId="4" xfId="0" applyFont="1" applyFill="1" applyBorder="1" applyAlignment="1">
      <alignment horizontal="center" wrapText="1"/>
    </xf>
    <xf numFmtId="0" fontId="43" fillId="10" borderId="4" xfId="0" applyFont="1" applyFill="1" applyBorder="1" applyAlignment="1">
      <alignment horizontal="center" wrapText="1"/>
    </xf>
    <xf numFmtId="0" fontId="27" fillId="10" borderId="4" xfId="0" applyFont="1" applyFill="1" applyBorder="1" applyAlignment="1">
      <alignment wrapText="1"/>
    </xf>
    <xf numFmtId="3" fontId="27" fillId="10" borderId="4" xfId="0" applyNumberFormat="1" applyFont="1" applyFill="1" applyBorder="1" applyAlignment="1">
      <alignment horizontal="center" wrapText="1"/>
    </xf>
    <xf numFmtId="0" fontId="16" fillId="10" borderId="4" xfId="0" applyFont="1" applyFill="1" applyBorder="1" applyAlignment="1">
      <alignment horizontal="center" wrapText="1"/>
    </xf>
    <xf numFmtId="0" fontId="44" fillId="10" borderId="4" xfId="0" applyFont="1" applyFill="1" applyBorder="1" applyAlignment="1">
      <alignment horizontal="center" wrapText="1"/>
    </xf>
    <xf numFmtId="0" fontId="43" fillId="11" borderId="4" xfId="0" applyFont="1" applyFill="1" applyBorder="1" applyAlignment="1">
      <alignment horizontal="center" wrapText="1"/>
    </xf>
    <xf numFmtId="0" fontId="27" fillId="11" borderId="4" xfId="0" applyFont="1" applyFill="1" applyBorder="1" applyAlignment="1">
      <alignment wrapText="1"/>
    </xf>
    <xf numFmtId="3" fontId="27" fillId="11" borderId="4" xfId="0" applyNumberFormat="1" applyFont="1" applyFill="1" applyBorder="1" applyAlignment="1">
      <alignment horizontal="center" wrapText="1"/>
    </xf>
    <xf numFmtId="0" fontId="16" fillId="11" borderId="4" xfId="0" applyFont="1" applyFill="1" applyBorder="1" applyAlignment="1">
      <alignment horizontal="center" wrapText="1"/>
    </xf>
    <xf numFmtId="0" fontId="44" fillId="11" borderId="4" xfId="0" applyFont="1" applyFill="1" applyBorder="1" applyAlignment="1">
      <alignment horizont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392B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1C2140"/>
                </a:solidFill>
                <a:latin typeface="Avenir Next LT Pro"/>
              </a:defRPr>
            </a:pPr>
            <a:r>
              <a:rPr lang="pt-BR" sz="1100" b="1" i="0">
                <a:solidFill>
                  <a:srgbClr val="1C2140"/>
                </a:solidFill>
                <a:latin typeface="Avenir Next LT Pro"/>
              </a:rPr>
              <a:t>Decisões Favoráveis vs Desfavoráveis por Instância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FAVORÁVEL</c:v>
          </c:tx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DASHBOARD!$B$78:$B$79</c:f>
              <c:strCache>
                <c:ptCount val="2"/>
                <c:pt idx="0">
                  <c:v>1º Grau</c:v>
                </c:pt>
                <c:pt idx="1">
                  <c:v>2º Grau</c:v>
                </c:pt>
              </c:strCache>
            </c:strRef>
          </c:cat>
          <c:val>
            <c:numRef>
              <c:f>DASHBOARD!$C$78:$C$79</c:f>
              <c:numCache>
                <c:formatCode>General</c:formatCode>
                <c:ptCount val="2"/>
                <c:pt idx="0">
                  <c:v>4</c:v>
                </c:pt>
                <c:pt idx="1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FDD-4A3F-89C4-93F1E73000FC}"/>
            </c:ext>
          </c:extLst>
        </c:ser>
        <c:ser>
          <c:idx val="1"/>
          <c:order val="1"/>
          <c:tx>
            <c:v>DESFAVORÁVEL</c:v>
          </c:tx>
          <c:spPr>
            <a:solidFill>
              <a:srgbClr val="C0392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DASHBOARD!$B$78:$B$79</c:f>
              <c:strCache>
                <c:ptCount val="2"/>
                <c:pt idx="0">
                  <c:v>1º Grau</c:v>
                </c:pt>
                <c:pt idx="1">
                  <c:v>2º Grau</c:v>
                </c:pt>
              </c:strCache>
            </c:strRef>
          </c:cat>
          <c:val>
            <c:numRef>
              <c:f>DASHBOARD!$D$78:$D$79</c:f>
              <c:numCache>
                <c:formatCode>General</c:formatCode>
                <c:ptCount val="2"/>
                <c:pt idx="0">
                  <c:v>18</c:v>
                </c:pt>
                <c:pt idx="1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FDD-4A3F-89C4-93F1E7300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1005991"/>
        <c:axId val="147939341"/>
      </c:barChart>
      <c:catAx>
        <c:axId val="3610059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7939341"/>
        <c:crosses val="autoZero"/>
        <c:auto val="1"/>
        <c:lblAlgn val="ctr"/>
        <c:lblOffset val="100"/>
        <c:noMultiLvlLbl val="1"/>
      </c:catAx>
      <c:valAx>
        <c:axId val="1479393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61005991"/>
        <c:crosses val="max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venir Next LT Pro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1C2140"/>
                </a:solidFill>
                <a:latin typeface="Avenir Next LT Pro"/>
              </a:defRPr>
            </a:pPr>
            <a:r>
              <a:rPr lang="pt-BR" sz="1100" b="1" i="0">
                <a:solidFill>
                  <a:srgbClr val="1C2140"/>
                </a:solidFill>
                <a:latin typeface="Avenir Next LT Pro"/>
              </a:rPr>
              <a:t>Evolução Processual — Distribuição por Status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7AE60"/>
              </a:solidFill>
            </c:spPr>
            <c:extLst>
              <c:ext xmlns:c16="http://schemas.microsoft.com/office/drawing/2014/chart" uri="{C3380CC4-5D6E-409C-BE32-E72D297353CC}">
                <c16:uniqueId val="{00000001-CCCF-4FF1-8B34-5D7689DD3D32}"/>
              </c:ext>
            </c:extLst>
          </c:dPt>
          <c:dPt>
            <c:idx val="1"/>
            <c:bubble3D val="0"/>
            <c:spPr>
              <a:solidFill>
                <a:srgbClr val="27AE60"/>
              </a:solidFill>
            </c:spPr>
            <c:extLst>
              <c:ext xmlns:c16="http://schemas.microsoft.com/office/drawing/2014/chart" uri="{C3380CC4-5D6E-409C-BE32-E72D297353CC}">
                <c16:uniqueId val="{00000003-CCCF-4FF1-8B34-5D7689DD3D32}"/>
              </c:ext>
            </c:extLst>
          </c:dPt>
          <c:dPt>
            <c:idx val="2"/>
            <c:bubble3D val="0"/>
            <c:spPr>
              <a:solidFill>
                <a:srgbClr val="E67E22"/>
              </a:solidFill>
            </c:spPr>
            <c:extLst>
              <c:ext xmlns:c16="http://schemas.microsoft.com/office/drawing/2014/chart" uri="{C3380CC4-5D6E-409C-BE32-E72D297353CC}">
                <c16:uniqueId val="{00000005-CCCF-4FF1-8B34-5D7689DD3D32}"/>
              </c:ext>
            </c:extLst>
          </c:dPt>
          <c:dPt>
            <c:idx val="3"/>
            <c:bubble3D val="0"/>
            <c:spPr>
              <a:solidFill>
                <a:srgbClr val="2980B9"/>
              </a:solidFill>
            </c:spPr>
            <c:extLst>
              <c:ext xmlns:c16="http://schemas.microsoft.com/office/drawing/2014/chart" uri="{C3380CC4-5D6E-409C-BE32-E72D297353CC}">
                <c16:uniqueId val="{00000007-CCCF-4FF1-8B34-5D7689DD3D32}"/>
              </c:ext>
            </c:extLst>
          </c:dPt>
          <c:dPt>
            <c:idx val="4"/>
            <c:bubble3D val="0"/>
            <c:spPr>
              <a:solidFill>
                <a:srgbClr val="C0392B"/>
              </a:solidFill>
            </c:spPr>
            <c:extLst>
              <c:ext xmlns:c16="http://schemas.microsoft.com/office/drawing/2014/chart" uri="{C3380CC4-5D6E-409C-BE32-E72D297353CC}">
                <c16:uniqueId val="{00000009-CCCF-4FF1-8B34-5D7689DD3D32}"/>
              </c:ext>
            </c:extLst>
          </c:dPt>
          <c:cat>
            <c:strRef>
              <c:f>DASHBOARD!$J$101:$J$105</c:f>
              <c:strCache>
                <c:ptCount val="5"/>
                <c:pt idx="0">
                  <c:v>Improcedência</c:v>
                </c:pt>
                <c:pt idx="1">
                  <c:v>Extinção c/ Mérito</c:v>
                </c:pt>
                <c:pt idx="2">
                  <c:v>Acordo</c:v>
                </c:pt>
                <c:pt idx="3">
                  <c:v>Em Andamento</c:v>
                </c:pt>
                <c:pt idx="4">
                  <c:v>Condenação</c:v>
                </c:pt>
              </c:strCache>
            </c:strRef>
          </c:cat>
          <c:val>
            <c:numRef>
              <c:f>DASHBOARD!$K$101:$K$105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17</c:v>
                </c:pt>
                <c:pt idx="3">
                  <c:v>34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CF-4FF1-8B34-5D7689DD3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venir Next LT Pro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704850</xdr:colOff>
      <xdr:row>46</xdr:row>
      <xdr:rowOff>66675</xdr:rowOff>
    </xdr:from>
    <xdr:ext cx="14039850" cy="8572500"/>
    <xdr:graphicFrame macro="">
      <xdr:nvGraphicFramePr>
        <xdr:cNvPr id="1946374440" name="Chart 1">
          <a:extLst>
            <a:ext uri="{FF2B5EF4-FFF2-40B4-BE49-F238E27FC236}">
              <a16:creationId xmlns:a16="http://schemas.microsoft.com/office/drawing/2014/main" id="{00000000-0008-0000-0000-000028510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819150</xdr:colOff>
      <xdr:row>82</xdr:row>
      <xdr:rowOff>76200</xdr:rowOff>
    </xdr:from>
    <xdr:ext cx="8458200" cy="5038725"/>
    <xdr:graphicFrame macro="">
      <xdr:nvGraphicFramePr>
        <xdr:cNvPr id="555285368" name="Chart 2">
          <a:extLst>
            <a:ext uri="{FF2B5EF4-FFF2-40B4-BE49-F238E27FC236}">
              <a16:creationId xmlns:a16="http://schemas.microsoft.com/office/drawing/2014/main" id="{00000000-0008-0000-0000-000078FB1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923925" cy="533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923925" cy="5334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923925" cy="5334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57150</xdr:rowOff>
    </xdr:from>
    <xdr:ext cx="800100" cy="4191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38100</xdr:rowOff>
    </xdr:from>
    <xdr:ext cx="838200" cy="4191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65722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F1748C-483C-4D1C-8659-9F7D2CC45C4F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40283bf3-5e4d-4de3-8cf5-1ef097cb53c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C2140"/>
  </sheetPr>
  <dimension ref="A1:Z1005"/>
  <sheetViews>
    <sheetView showGridLines="0" tabSelected="1" zoomScale="55" zoomScaleNormal="55" workbookViewId="0">
      <pane ySplit="3" topLeftCell="A132" activePane="bottomLeft" state="frozen"/>
      <selection pane="bottomLeft" activeCell="K18" sqref="K18"/>
    </sheetView>
  </sheetViews>
  <sheetFormatPr defaultColWidth="12.5703125" defaultRowHeight="15" customHeight="1"/>
  <cols>
    <col min="1" max="1" width="4" customWidth="1"/>
    <col min="2" max="2" width="28" customWidth="1"/>
    <col min="3" max="3" width="40.5703125" customWidth="1"/>
    <col min="4" max="4" width="23" customWidth="1"/>
    <col min="5" max="5" width="16.28515625" customWidth="1"/>
    <col min="6" max="6" width="49.85546875" customWidth="1"/>
    <col min="7" max="8" width="1.85546875" customWidth="1"/>
    <col min="9" max="9" width="2.85546875" customWidth="1"/>
    <col min="10" max="10" width="36.5703125" customWidth="1"/>
    <col min="11" max="11" width="85.140625" customWidth="1"/>
    <col min="12" max="12" width="53.7109375" customWidth="1"/>
    <col min="13" max="13" width="32.28515625" customWidth="1"/>
    <col min="14" max="14" width="26.28515625" customWidth="1"/>
    <col min="15" max="15" width="24.7109375" customWidth="1"/>
    <col min="16" max="18" width="6.7109375" customWidth="1"/>
    <col min="19" max="26" width="8.5703125" customWidth="1"/>
  </cols>
  <sheetData>
    <row r="1" spans="1:2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</row>
    <row r="2" spans="1:26" ht="42.75" customHeight="1">
      <c r="A2" s="4"/>
      <c r="B2" s="134" t="s">
        <v>744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  <c r="N2" s="5"/>
      <c r="O2" s="5"/>
      <c r="P2" s="5"/>
      <c r="Q2" s="5"/>
      <c r="R2" s="3"/>
      <c r="S2" s="3"/>
      <c r="T2" s="3"/>
      <c r="U2" s="3"/>
      <c r="V2" s="3"/>
      <c r="W2" s="3"/>
      <c r="X2" s="3"/>
      <c r="Y2" s="3"/>
      <c r="Z2" s="3"/>
    </row>
    <row r="3" spans="1:26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"/>
      <c r="Q3" s="2"/>
      <c r="R3" s="2"/>
      <c r="S3" s="3"/>
      <c r="T3" s="3"/>
      <c r="U3" s="3"/>
      <c r="V3" s="3"/>
      <c r="W3" s="3"/>
      <c r="X3" s="3"/>
      <c r="Y3" s="3"/>
      <c r="Z3" s="3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  <c r="T4" s="3"/>
      <c r="U4" s="3"/>
      <c r="V4" s="3"/>
      <c r="W4" s="3"/>
      <c r="X4" s="3"/>
      <c r="Y4" s="3"/>
      <c r="Z4" s="3"/>
    </row>
    <row r="5" spans="1:26">
      <c r="A5" s="2"/>
      <c r="B5" s="135" t="s">
        <v>0</v>
      </c>
      <c r="C5" s="131"/>
      <c r="D5" s="132"/>
      <c r="E5" s="136" t="s">
        <v>1</v>
      </c>
      <c r="F5" s="131"/>
      <c r="G5" s="131"/>
      <c r="H5" s="132"/>
      <c r="I5" s="2"/>
      <c r="J5" s="135" t="s">
        <v>2</v>
      </c>
      <c r="K5" s="131"/>
      <c r="L5" s="132"/>
      <c r="M5" s="2"/>
      <c r="N5" s="136" t="s">
        <v>3</v>
      </c>
      <c r="O5" s="132"/>
      <c r="P5" s="2"/>
      <c r="Q5" s="2"/>
      <c r="R5" s="2"/>
      <c r="S5" s="3"/>
      <c r="T5" s="3"/>
      <c r="U5" s="3"/>
      <c r="V5" s="3"/>
      <c r="W5" s="3"/>
      <c r="X5" s="3"/>
      <c r="Y5" s="3"/>
      <c r="Z5" s="3"/>
    </row>
    <row r="6" spans="1:26" ht="36.75" customHeight="1">
      <c r="A6" s="2"/>
      <c r="B6" s="137">
        <f>COUNTA(ATIVOS!C3:C36)</f>
        <v>34</v>
      </c>
      <c r="C6" s="131"/>
      <c r="D6" s="132"/>
      <c r="E6" s="138">
        <f>SUM(ATIVOS!AM3:AM36)</f>
        <v>4908003.42</v>
      </c>
      <c r="F6" s="131"/>
      <c r="G6" s="131"/>
      <c r="H6" s="132"/>
      <c r="I6" s="2"/>
      <c r="J6" s="137">
        <f>COUNTA(ENCERRADOS!B3:B67)</f>
        <v>65</v>
      </c>
      <c r="K6" s="131"/>
      <c r="L6" s="132"/>
      <c r="M6" s="2"/>
      <c r="N6" s="139">
        <f>(COUNTIF(ENCERRADOS!E3:E67,"IMPROCEDÊNCIA")+COUNTIF(ENCERRADOS!E3:E67,"ACORDO ENTRE AS PARTES")+COUNTIF(ENCERRADOS!E3:E67,"EXTINTO SEM RESOLUÇÃO DO MÉRITO")+COUNTIF(ENCERRADOS!E3:E67,"EXCLUSÃO DA FRETE")+COUNTIF(ENCERRADOS!E3:E67,"DESISTÊNCIA DA AÇÃO")+COUNTIF(ENCERRADOS!E3:E67,"DESISTÊNCIA DA AÇÃO EM FASE DA FRETE")+COUNTIF(ENCERRADOS!E3:E67,"AUSÊNCIA DO RECLAMANTE NA AUDIÊNCIA"))/COUNTA(ENCERRADOS!E3:E67)</f>
        <v>0.44615384615384618</v>
      </c>
      <c r="O6" s="132"/>
      <c r="P6" s="2"/>
      <c r="Q6" s="2"/>
      <c r="R6" s="2"/>
      <c r="S6" s="3"/>
      <c r="T6" s="3"/>
      <c r="U6" s="3"/>
      <c r="V6" s="3"/>
      <c r="W6" s="3"/>
      <c r="X6" s="3"/>
      <c r="Y6" s="3"/>
      <c r="Z6" s="3"/>
    </row>
    <row r="7" spans="1:26">
      <c r="A7" s="2"/>
      <c r="B7" s="130" t="s">
        <v>4</v>
      </c>
      <c r="C7" s="131"/>
      <c r="D7" s="132"/>
      <c r="E7" s="133" t="s">
        <v>5</v>
      </c>
      <c r="F7" s="131"/>
      <c r="G7" s="131"/>
      <c r="H7" s="132"/>
      <c r="I7" s="2"/>
      <c r="J7" s="130" t="s">
        <v>6</v>
      </c>
      <c r="K7" s="131"/>
      <c r="L7" s="132"/>
      <c r="M7" s="2"/>
      <c r="N7" s="133" t="s">
        <v>7</v>
      </c>
      <c r="O7" s="132"/>
      <c r="P7" s="2"/>
      <c r="Q7" s="2"/>
      <c r="R7" s="2"/>
      <c r="S7" s="3"/>
      <c r="T7" s="3"/>
      <c r="U7" s="3"/>
      <c r="V7" s="3"/>
      <c r="W7" s="3"/>
      <c r="X7" s="3"/>
      <c r="Y7" s="3"/>
      <c r="Z7" s="3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"/>
      <c r="T8" s="3"/>
      <c r="U8" s="3"/>
      <c r="V8" s="3"/>
      <c r="W8" s="3"/>
      <c r="X8" s="3"/>
      <c r="Y8" s="3"/>
      <c r="Z8" s="3"/>
    </row>
    <row r="9" spans="1:26">
      <c r="A9" s="2"/>
      <c r="B9" s="126" t="s">
        <v>8</v>
      </c>
      <c r="C9" s="127"/>
      <c r="D9" s="127"/>
      <c r="E9" s="127"/>
      <c r="F9" s="127"/>
      <c r="G9" s="2"/>
      <c r="H9" s="2"/>
      <c r="I9" s="2"/>
      <c r="J9" s="126" t="s">
        <v>9</v>
      </c>
      <c r="K9" s="127"/>
      <c r="L9" s="127"/>
      <c r="M9" s="127"/>
      <c r="N9" s="2"/>
      <c r="O9" s="2"/>
      <c r="P9" s="2"/>
      <c r="Q9" s="2"/>
      <c r="R9" s="2"/>
      <c r="S9" s="3"/>
      <c r="T9" s="3"/>
      <c r="U9" s="3"/>
      <c r="V9" s="3"/>
      <c r="W9" s="3"/>
      <c r="X9" s="3"/>
      <c r="Y9" s="3"/>
      <c r="Z9" s="3"/>
    </row>
    <row r="10" spans="1:26">
      <c r="A10" s="2"/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2"/>
      <c r="H10" s="2"/>
      <c r="I10" s="2"/>
      <c r="J10" s="8" t="s">
        <v>15</v>
      </c>
      <c r="K10" s="8" t="s">
        <v>16</v>
      </c>
      <c r="L10" s="8" t="s">
        <v>12</v>
      </c>
      <c r="M10" s="8" t="s">
        <v>17</v>
      </c>
      <c r="N10" s="2"/>
      <c r="O10" s="2"/>
      <c r="P10" s="2"/>
      <c r="Q10" s="2"/>
      <c r="R10" s="2"/>
      <c r="S10" s="3"/>
      <c r="T10" s="3"/>
      <c r="U10" s="3"/>
      <c r="V10" s="3"/>
      <c r="W10" s="3"/>
      <c r="X10" s="3"/>
      <c r="Y10" s="3"/>
      <c r="Z10" s="3"/>
    </row>
    <row r="11" spans="1:26">
      <c r="A11" s="2"/>
      <c r="B11" s="9" t="str">
        <f>ATIVOS!C3</f>
        <v>1001370-57.2020.5.02.0020</v>
      </c>
      <c r="C11" s="10" t="str">
        <f>ATIVOS!D3</f>
        <v>LUCENIR SANTOS MOREIRA</v>
      </c>
      <c r="D11" s="11">
        <f>ATIVOS!AM3</f>
        <v>227780</v>
      </c>
      <c r="E11" s="12" t="str">
        <f>ATIVOS!M3</f>
        <v>PROVÁVEL</v>
      </c>
      <c r="F11" s="13" t="str">
        <f>ATIVOS!K3</f>
        <v>RECURSAL</v>
      </c>
      <c r="G11" s="2"/>
      <c r="H11" s="2"/>
      <c r="I11" s="2"/>
      <c r="J11" s="14" t="s">
        <v>18</v>
      </c>
      <c r="K11" s="12">
        <f>COUNTIF(ATIVOS!M3:M36,"PROVÁVEL")</f>
        <v>16</v>
      </c>
      <c r="L11" s="11">
        <f>SUMIF(ATIVOS!M3:M36,"PROVÁVEL",ATIVOS!AM3:AM36)</f>
        <v>1906370.3099999998</v>
      </c>
      <c r="M11" s="15">
        <f>K11/K14</f>
        <v>0.47058823529411764</v>
      </c>
      <c r="N11" s="2"/>
      <c r="O11" s="2"/>
      <c r="P11" s="2"/>
      <c r="Q11" s="2"/>
      <c r="R11" s="2"/>
      <c r="S11" s="3"/>
      <c r="T11" s="3"/>
      <c r="U11" s="3"/>
      <c r="V11" s="3"/>
      <c r="W11" s="3"/>
      <c r="X11" s="3"/>
      <c r="Y11" s="3"/>
      <c r="Z11" s="3"/>
    </row>
    <row r="12" spans="1:26">
      <c r="A12" s="2"/>
      <c r="B12" s="16" t="str">
        <f>ATIVOS!C4</f>
        <v>1001244-93.2022.5.02.0001</v>
      </c>
      <c r="C12" s="1" t="str">
        <f>ATIVOS!D4</f>
        <v>LEANDRO DE OLIVEIRA SANTOS</v>
      </c>
      <c r="D12" s="17">
        <f>ATIVOS!AM4</f>
        <v>103589</v>
      </c>
      <c r="E12" s="18" t="str">
        <f>ATIVOS!M4</f>
        <v>PROVÁVEL</v>
      </c>
      <c r="F12" s="19" t="str">
        <f>ATIVOS!K4</f>
        <v>RECURSAL</v>
      </c>
      <c r="G12" s="2"/>
      <c r="H12" s="2"/>
      <c r="I12" s="2"/>
      <c r="J12" s="20" t="s">
        <v>19</v>
      </c>
      <c r="K12" s="18">
        <f>COUNTIF(ATIVOS!M3:M36,"POSSÍVEL")</f>
        <v>9</v>
      </c>
      <c r="L12" s="17">
        <f>SUMIF(ATIVOS!M3:M36,"POSSÍVEL",ATIVOS!AM3:AM36)</f>
        <v>1787133.73</v>
      </c>
      <c r="M12" s="21">
        <f>K12/K14</f>
        <v>0.26470588235294118</v>
      </c>
      <c r="N12" s="2"/>
      <c r="O12" s="2"/>
      <c r="P12" s="2"/>
      <c r="Q12" s="2"/>
      <c r="R12" s="2"/>
      <c r="S12" s="3"/>
      <c r="T12" s="3"/>
      <c r="U12" s="3"/>
      <c r="V12" s="3"/>
      <c r="W12" s="3"/>
      <c r="X12" s="3"/>
      <c r="Y12" s="3"/>
      <c r="Z12" s="3"/>
    </row>
    <row r="13" spans="1:26">
      <c r="A13" s="2"/>
      <c r="B13" s="9" t="str">
        <f>ATIVOS!C6</f>
        <v>1000392-52.2023.5.02.0060</v>
      </c>
      <c r="C13" s="10" t="str">
        <f>ATIVOS!D6</f>
        <v>MAYCON DE ARAUJO BIZERRA</v>
      </c>
      <c r="D13" s="11">
        <f>ATIVOS!AM6</f>
        <v>26024.240000000002</v>
      </c>
      <c r="E13" s="12" t="str">
        <f>ATIVOS!M6</f>
        <v>PROVÁVEL</v>
      </c>
      <c r="F13" s="13" t="str">
        <f>ATIVOS!K6</f>
        <v>RECURSAL</v>
      </c>
      <c r="G13" s="2"/>
      <c r="H13" s="2"/>
      <c r="I13" s="2"/>
      <c r="J13" s="22" t="s">
        <v>20</v>
      </c>
      <c r="K13" s="12">
        <f>COUNTIF(ATIVOS!M3:M36,"REMOTO")</f>
        <v>9</v>
      </c>
      <c r="L13" s="11">
        <f>SUMIF(ATIVOS!M3:M36,"REMOTO",ATIVOS!AM3:AM36)</f>
        <v>1214499.3799999999</v>
      </c>
      <c r="M13" s="15">
        <f>K13/K14</f>
        <v>0.26470588235294118</v>
      </c>
      <c r="N13" s="2"/>
      <c r="O13" s="2"/>
      <c r="P13" s="2"/>
      <c r="Q13" s="2"/>
      <c r="R13" s="2"/>
      <c r="S13" s="3"/>
      <c r="T13" s="3"/>
      <c r="U13" s="3"/>
      <c r="V13" s="3"/>
      <c r="W13" s="3"/>
      <c r="X13" s="3"/>
      <c r="Y13" s="3"/>
      <c r="Z13" s="3"/>
    </row>
    <row r="14" spans="1:26">
      <c r="A14" s="2"/>
      <c r="B14" s="16" t="str">
        <f>ATIVOS!C8</f>
        <v>1000637-34.2023.5.02.0005</v>
      </c>
      <c r="C14" s="1" t="str">
        <f>ATIVOS!D8</f>
        <v>GISELE BRITO COSTA</v>
      </c>
      <c r="D14" s="17">
        <f>ATIVOS!AM8</f>
        <v>153000</v>
      </c>
      <c r="E14" s="18" t="str">
        <f>ATIVOS!M8</f>
        <v>PROVÁVEL</v>
      </c>
      <c r="F14" s="19" t="str">
        <f>ATIVOS!K8</f>
        <v>RECURSAL</v>
      </c>
      <c r="G14" s="2"/>
      <c r="H14" s="2"/>
      <c r="I14" s="2"/>
      <c r="J14" s="23" t="s">
        <v>21</v>
      </c>
      <c r="K14" s="8">
        <f t="shared" ref="K14:M14" si="0">SUM(K11:K13)</f>
        <v>34</v>
      </c>
      <c r="L14" s="24">
        <f t="shared" si="0"/>
        <v>4908003.42</v>
      </c>
      <c r="M14" s="25">
        <f t="shared" si="0"/>
        <v>1</v>
      </c>
      <c r="N14" s="2"/>
      <c r="O14" s="2"/>
      <c r="P14" s="2"/>
      <c r="Q14" s="2"/>
      <c r="R14" s="2"/>
      <c r="S14" s="3"/>
      <c r="T14" s="3"/>
      <c r="U14" s="3"/>
      <c r="V14" s="3"/>
      <c r="W14" s="3"/>
      <c r="X14" s="3"/>
      <c r="Y14" s="3"/>
      <c r="Z14" s="3"/>
    </row>
    <row r="15" spans="1:26">
      <c r="A15" s="2"/>
      <c r="B15" s="9" t="str">
        <f>ATIVOS!C12</f>
        <v>1001955-81.2023.5.02.0060</v>
      </c>
      <c r="C15" s="10" t="str">
        <f>ATIVOS!D12</f>
        <v>CAMILA REBEQUI</v>
      </c>
      <c r="D15" s="11">
        <f>ATIVOS!AM12</f>
        <v>204622</v>
      </c>
      <c r="E15" s="12" t="str">
        <f>ATIVOS!M12</f>
        <v>PROVÁVEL</v>
      </c>
      <c r="F15" s="13" t="str">
        <f>ATIVOS!K12</f>
        <v>EXECUÇÃO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3"/>
      <c r="T15" s="3"/>
      <c r="U15" s="3"/>
      <c r="V15" s="3"/>
      <c r="W15" s="3"/>
      <c r="X15" s="3"/>
      <c r="Y15" s="3"/>
      <c r="Z15" s="3"/>
    </row>
    <row r="16" spans="1:26">
      <c r="A16" s="2"/>
      <c r="B16" s="16" t="str">
        <f>ATIVOS!C14</f>
        <v>0016045-64.2024.5.16.0003</v>
      </c>
      <c r="C16" s="1" t="str">
        <f>ATIVOS!D14</f>
        <v>QLIVHYA HADHAYA VIEIRA MOREIRA</v>
      </c>
      <c r="D16" s="17">
        <f>ATIVOS!AM14</f>
        <v>149452.32999999999</v>
      </c>
      <c r="E16" s="18" t="str">
        <f>ATIVOS!M14</f>
        <v>PROVÁVEL</v>
      </c>
      <c r="F16" s="19" t="str">
        <f>ATIVOS!K14</f>
        <v>EXECUÇÃO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"/>
      <c r="T16" s="3"/>
      <c r="U16" s="3"/>
      <c r="V16" s="3"/>
      <c r="W16" s="3"/>
      <c r="X16" s="3"/>
      <c r="Y16" s="3"/>
      <c r="Z16" s="3"/>
    </row>
    <row r="17" spans="1:26">
      <c r="A17" s="2"/>
      <c r="B17" s="9" t="str">
        <f>ATIVOS!C16</f>
        <v>1000938-82.2024.5.02.0057</v>
      </c>
      <c r="C17" s="10" t="str">
        <f>ATIVOS!D16</f>
        <v>MARIA APARECIDA SOLLA</v>
      </c>
      <c r="D17" s="11">
        <f>ATIVOS!AM16</f>
        <v>126957.39</v>
      </c>
      <c r="E17" s="12" t="str">
        <f>ATIVOS!M16</f>
        <v>PROVÁVEL</v>
      </c>
      <c r="F17" s="13" t="str">
        <f>ATIVOS!K16</f>
        <v>EXECUÇÃO</v>
      </c>
      <c r="G17" s="2"/>
      <c r="H17" s="2"/>
      <c r="I17" s="2"/>
      <c r="J17" s="126" t="s">
        <v>22</v>
      </c>
      <c r="K17" s="127"/>
      <c r="L17" s="127"/>
      <c r="M17" s="127"/>
      <c r="N17" s="2"/>
      <c r="O17" s="2"/>
      <c r="P17" s="2"/>
      <c r="Q17" s="2"/>
      <c r="R17" s="2"/>
      <c r="S17" s="3"/>
      <c r="T17" s="3"/>
      <c r="U17" s="3"/>
      <c r="V17" s="3"/>
      <c r="W17" s="3"/>
      <c r="X17" s="3"/>
      <c r="Y17" s="3"/>
      <c r="Z17" s="3"/>
    </row>
    <row r="18" spans="1:26">
      <c r="A18" s="2"/>
      <c r="B18" s="16" t="str">
        <f>ATIVOS!C17</f>
        <v>1002094-96.2024.5.02.0060</v>
      </c>
      <c r="C18" s="1" t="str">
        <f>ATIVOS!D17</f>
        <v>CAMILA REBEQUI</v>
      </c>
      <c r="D18" s="17">
        <f>ATIVOS!AM17</f>
        <v>64589.79</v>
      </c>
      <c r="E18" s="18" t="str">
        <f>ATIVOS!M17</f>
        <v>PROVÁVEL</v>
      </c>
      <c r="F18" s="19" t="str">
        <f>ATIVOS!K17</f>
        <v>RECURSAL</v>
      </c>
      <c r="G18" s="2"/>
      <c r="H18" s="2"/>
      <c r="I18" s="2"/>
      <c r="J18" s="8" t="s">
        <v>10</v>
      </c>
      <c r="K18" s="8" t="s">
        <v>23</v>
      </c>
      <c r="L18" s="8" t="s">
        <v>24</v>
      </c>
      <c r="M18" s="8" t="s">
        <v>25</v>
      </c>
      <c r="N18" s="2"/>
      <c r="O18" s="2"/>
      <c r="P18" s="2"/>
      <c r="Q18" s="2"/>
      <c r="R18" s="2"/>
      <c r="S18" s="3"/>
      <c r="T18" s="3"/>
      <c r="U18" s="3"/>
      <c r="V18" s="3"/>
      <c r="W18" s="3"/>
      <c r="X18" s="3"/>
      <c r="Y18" s="3"/>
      <c r="Z18" s="3"/>
    </row>
    <row r="19" spans="1:26" ht="23.25">
      <c r="A19" s="2"/>
      <c r="B19" s="9" t="str">
        <f>ATIVOS!C19</f>
        <v>1000419-12.2025.5.02.0045</v>
      </c>
      <c r="C19" s="10" t="str">
        <f>ATIVOS!D19</f>
        <v>JESSICA GOUVEIA LUIZ</v>
      </c>
      <c r="D19" s="11">
        <f>ATIVOS!AM19</f>
        <v>48240.89</v>
      </c>
      <c r="E19" s="12" t="str">
        <f>ATIVOS!M19</f>
        <v>PROVÁVEL</v>
      </c>
      <c r="F19" s="13" t="str">
        <f>ATIVOS!K19</f>
        <v>EXECUÇÃO</v>
      </c>
      <c r="G19" s="2"/>
      <c r="H19" s="2"/>
      <c r="I19" s="2"/>
      <c r="J19" s="13" t="str">
        <f>'PROCEDIMENTO ADMINISTRATIVO'!B3</f>
        <v>14152.037968/2022-86</v>
      </c>
      <c r="K19" s="26" t="str">
        <f>'PROCEDIMENTO ADMINISTRATIVO'!H3</f>
        <v>Autuado por deixar de apresentar documentos sujeitos à inspeção do trabalho no dia e hora previamente fixados pelo AFT.</v>
      </c>
      <c r="L19" s="27" t="str">
        <f>'PROCEDIMENTO ADMINISTRATIVO'!I3</f>
        <v>Arquivado</v>
      </c>
      <c r="M19" s="28" t="s">
        <v>26</v>
      </c>
      <c r="N19" s="2"/>
      <c r="O19" s="2"/>
      <c r="P19" s="2"/>
      <c r="Q19" s="2"/>
      <c r="R19" s="2"/>
      <c r="S19" s="3"/>
      <c r="T19" s="3"/>
      <c r="U19" s="3"/>
      <c r="V19" s="3"/>
      <c r="W19" s="3"/>
      <c r="X19" s="3"/>
      <c r="Y19" s="3"/>
      <c r="Z19" s="3"/>
    </row>
    <row r="20" spans="1:26" ht="23.25">
      <c r="A20" s="2"/>
      <c r="B20" s="16" t="str">
        <f>ATIVOS!C20</f>
        <v>1000414-10.2025.5.02.0006</v>
      </c>
      <c r="C20" s="1" t="str">
        <f>ATIVOS!D20</f>
        <v>FERNANDO ROGERIO BARBOSA DE BARROS</v>
      </c>
      <c r="D20" s="17">
        <f>ATIVOS!AM20</f>
        <v>108794.5</v>
      </c>
      <c r="E20" s="18" t="str">
        <f>ATIVOS!M20</f>
        <v>PROVÁVEL</v>
      </c>
      <c r="F20" s="19" t="str">
        <f>ATIVOS!K20</f>
        <v>EXECUÇÃO</v>
      </c>
      <c r="G20" s="2"/>
      <c r="H20" s="2"/>
      <c r="I20" s="2"/>
      <c r="J20" s="19" t="str">
        <f>'PROCEDIMENTO ADMINISTRATIVO'!B4</f>
        <v>14152.037962/2022-17</v>
      </c>
      <c r="K20" s="29" t="str">
        <f>'PROCEDIMENTO ADMINISTRATIVO'!H4</f>
        <v>Autuado por deixar de empregar aprendizes em número equivalente a 5% (cinco por cento), no mínimo, dos empregados existentes em cada estabelecimento, cujas funções demandem formação profissional.</v>
      </c>
      <c r="L20" s="30" t="str">
        <f>'PROCEDIMENTO ADMINISTRATIVO'!I4</f>
        <v>Arquivado</v>
      </c>
      <c r="M20" s="31" t="s">
        <v>26</v>
      </c>
      <c r="N20" s="2"/>
      <c r="O20" s="2"/>
      <c r="P20" s="2"/>
      <c r="Q20" s="2"/>
      <c r="R20" s="2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2"/>
      <c r="B21" s="32" t="str">
        <f>ATIVOS!C28</f>
        <v>1001427-86.2025.5.02.0089</v>
      </c>
      <c r="C21" s="33" t="str">
        <f>ATIVOS!D28</f>
        <v>DIOGO BARBOSA SOARES</v>
      </c>
      <c r="D21" s="34">
        <f>ATIVOS!AM28</f>
        <v>169485.28</v>
      </c>
      <c r="E21" s="35" t="str">
        <f>ATIVOS!M28</f>
        <v>PROVÁVEL</v>
      </c>
      <c r="F21" s="36" t="str">
        <f>ATIVOS!K28</f>
        <v>EXECUÇÃO</v>
      </c>
      <c r="G21" s="2"/>
      <c r="H21" s="2"/>
      <c r="I21" s="2"/>
      <c r="J21" s="13" t="str">
        <f>'PROCEDIMENTO ADMINISTRATIVO'!B5</f>
        <v>3658/2022</v>
      </c>
      <c r="K21" s="26" t="str">
        <f>'PROCEDIMENTO ADMINISTRATIVO'!H5</f>
        <v>Não preenchimento de cota (PCD)</v>
      </c>
      <c r="L21" s="27" t="str">
        <f>'PROCEDIMENTO ADMINISTRATIVO'!I5</f>
        <v>APRESENTAMOS DEFESA - ASSINAMOS TERMO DE COMPROMISSO DE ADEQUAÇÃO DA COTA (PCD).</v>
      </c>
      <c r="M21" s="37" t="s">
        <v>27</v>
      </c>
      <c r="N21" s="2"/>
      <c r="O21" s="2"/>
      <c r="P21" s="2"/>
      <c r="Q21" s="2"/>
      <c r="R21" s="2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2"/>
      <c r="B22" s="160" t="str">
        <f>ATIVOS!C5</f>
        <v>1000255-97.2023.5.02.0051</v>
      </c>
      <c r="C22" s="161" t="str">
        <f>ATIVOS!D5</f>
        <v>GUSTAVO PAROLINI</v>
      </c>
      <c r="D22" s="162">
        <f>ATIVOS!AM5</f>
        <v>94622.09</v>
      </c>
      <c r="E22" s="163" t="str">
        <f>ATIVOS!M5</f>
        <v>PROVÁVEL</v>
      </c>
      <c r="F22" s="164" t="str">
        <f>ATIVOS!K5</f>
        <v>RECURSAL</v>
      </c>
      <c r="G22" s="2"/>
      <c r="H22" s="2"/>
      <c r="I22" s="2"/>
      <c r="J22" s="156"/>
      <c r="K22" s="157"/>
      <c r="L22" s="158"/>
      <c r="M22" s="159"/>
      <c r="N22" s="2"/>
      <c r="O22" s="2"/>
      <c r="P22" s="2"/>
      <c r="Q22" s="2"/>
      <c r="R22" s="2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2"/>
      <c r="B23" s="165" t="str">
        <f>ATIVOS!C9</f>
        <v>1001217-34.2023.5.02.0015</v>
      </c>
      <c r="C23" s="166" t="str">
        <f>ATIVOS!D9</f>
        <v>CICERO RAMON SANTOS ALVES</v>
      </c>
      <c r="D23" s="167">
        <f>ATIVOS!AM9</f>
        <v>188835</v>
      </c>
      <c r="E23" s="168" t="str">
        <f>ATIVOS!M9</f>
        <v>PROVÁVEL</v>
      </c>
      <c r="F23" s="169" t="str">
        <f>ATIVOS!K9</f>
        <v>RECURSAL</v>
      </c>
      <c r="G23" s="2"/>
      <c r="H23" s="2"/>
      <c r="I23" s="2"/>
      <c r="J23" s="156"/>
      <c r="K23" s="157"/>
      <c r="L23" s="158"/>
      <c r="M23" s="159"/>
      <c r="N23" s="2"/>
      <c r="O23" s="2"/>
      <c r="P23" s="2"/>
      <c r="Q23" s="2"/>
      <c r="R23" s="2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2"/>
      <c r="B24" s="160" t="str">
        <f>ATIVOS!C23</f>
        <v>1001267-10.2025.5.02.0203</v>
      </c>
      <c r="C24" s="161" t="str">
        <f>ATIVOS!D23</f>
        <v>DIMITRI FERREIRA DE PAULA E SILVA</v>
      </c>
      <c r="D24" s="162">
        <f>ATIVOS!AM23</f>
        <v>149091.42000000001</v>
      </c>
      <c r="E24" s="163" t="str">
        <f>ATIVOS!M23</f>
        <v>PROVÁVEL</v>
      </c>
      <c r="F24" s="164" t="str">
        <f>ATIVOS!K23</f>
        <v>RECURSAL</v>
      </c>
      <c r="G24" s="2"/>
      <c r="H24" s="2"/>
      <c r="I24" s="2"/>
      <c r="J24" s="156"/>
      <c r="K24" s="157"/>
      <c r="L24" s="158"/>
      <c r="M24" s="159"/>
      <c r="N24" s="2"/>
      <c r="O24" s="2"/>
      <c r="P24" s="2"/>
      <c r="Q24" s="2"/>
      <c r="R24" s="2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2"/>
      <c r="B25" s="165" t="str">
        <f>ATIVOS!C24</f>
        <v>1001038-32.2025.5.02.0015</v>
      </c>
      <c r="C25" s="166" t="str">
        <f>ATIVOS!D24</f>
        <v>CICERO RAMON SANTOS ALVES</v>
      </c>
      <c r="D25" s="167">
        <f>ATIVOS!AM24</f>
        <v>52552.02</v>
      </c>
      <c r="E25" s="168" t="str">
        <f>ATIVOS!M24</f>
        <v>PROVÁVEL</v>
      </c>
      <c r="F25" s="169" t="str">
        <f>ATIVOS!K24</f>
        <v>CONHECIMENTO</v>
      </c>
      <c r="G25" s="2"/>
      <c r="H25" s="2"/>
      <c r="I25" s="2"/>
      <c r="J25" s="156"/>
      <c r="K25" s="157"/>
      <c r="L25" s="158"/>
      <c r="M25" s="159"/>
      <c r="N25" s="2"/>
      <c r="O25" s="2"/>
      <c r="P25" s="2"/>
      <c r="Q25" s="2"/>
      <c r="R25" s="2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2"/>
      <c r="B26" s="160" t="str">
        <f>ATIVOS!C36</f>
        <v>1000294-87.2026.5.02.0084</v>
      </c>
      <c r="C26" s="161" t="str">
        <f>ATIVOS!D36</f>
        <v>SOPHYA SECCHIERO LISBOA</v>
      </c>
      <c r="D26" s="162">
        <f>ATIVOS!AM36</f>
        <v>38734.36</v>
      </c>
      <c r="E26" s="163" t="str">
        <f>ATIVOS!M36</f>
        <v>PROVÁVEL</v>
      </c>
      <c r="F26" s="164" t="str">
        <f>ATIVOS!K36</f>
        <v>EXECUÇÃO</v>
      </c>
      <c r="G26" s="2"/>
      <c r="H26" s="2"/>
      <c r="I26" s="2"/>
      <c r="J26" s="156"/>
      <c r="K26" s="157"/>
      <c r="L26" s="158"/>
      <c r="M26" s="159"/>
      <c r="N26" s="2"/>
      <c r="O26" s="2"/>
      <c r="P26" s="2"/>
      <c r="Q26" s="2"/>
      <c r="R26" s="2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2"/>
      <c r="B27" s="3"/>
      <c r="C27" s="3"/>
      <c r="D27" s="3"/>
      <c r="E27" s="3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2"/>
      <c r="B28" s="3"/>
      <c r="C28" s="3"/>
      <c r="D28" s="3"/>
      <c r="E28" s="3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2"/>
      <c r="B29" s="3"/>
      <c r="C29" s="3"/>
      <c r="D29" s="3"/>
      <c r="E29" s="3"/>
      <c r="F29" s="3"/>
      <c r="G29" s="2"/>
      <c r="H29" s="2"/>
      <c r="I29" s="2"/>
      <c r="J29" s="126" t="s">
        <v>28</v>
      </c>
      <c r="K29" s="127"/>
      <c r="L29" s="127"/>
      <c r="M29" s="127"/>
      <c r="N29" s="127"/>
      <c r="O29" s="127"/>
      <c r="P29" s="2"/>
      <c r="Q29" s="2"/>
      <c r="R29" s="2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2"/>
      <c r="B30" s="3"/>
      <c r="C30" s="3"/>
      <c r="D30" s="3"/>
      <c r="E30" s="3"/>
      <c r="F30" s="3"/>
      <c r="G30" s="2"/>
      <c r="H30" s="2"/>
      <c r="I30" s="2"/>
      <c r="J30" s="8" t="s">
        <v>10</v>
      </c>
      <c r="K30" s="8" t="s">
        <v>11</v>
      </c>
      <c r="L30" s="8" t="s">
        <v>29</v>
      </c>
      <c r="M30" s="8" t="s">
        <v>30</v>
      </c>
      <c r="N30" s="8" t="s">
        <v>31</v>
      </c>
      <c r="O30" s="2"/>
      <c r="P30" s="2"/>
      <c r="Q30" s="2"/>
      <c r="R30" s="2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2"/>
      <c r="B31" s="3"/>
      <c r="C31" s="3"/>
      <c r="D31" s="3"/>
      <c r="E31" s="3"/>
      <c r="F31" s="3"/>
      <c r="G31" s="2"/>
      <c r="H31" s="2"/>
      <c r="I31" s="2"/>
      <c r="J31" s="9" t="str">
        <f>ENCERRADOS!B36</f>
        <v>1001088-37.2022.5.02.0056</v>
      </c>
      <c r="K31" s="26" t="str">
        <f>ENCERRADOS!C36</f>
        <v>EDER ENRIQUE ARRIAGADA BIANCIOTTO</v>
      </c>
      <c r="L31" s="38">
        <f>ENCERRADOS!D36</f>
        <v>45467</v>
      </c>
      <c r="M31" s="13" t="str">
        <f>ENCERRADOS!E36</f>
        <v>IMPROCEDÊNCIA</v>
      </c>
      <c r="N31" s="11">
        <f>ENCERRADOS!F36</f>
        <v>0</v>
      </c>
      <c r="O31" s="2"/>
      <c r="P31" s="2"/>
      <c r="Q31" s="2"/>
      <c r="R31" s="2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2"/>
      <c r="B32" s="3"/>
      <c r="C32" s="3"/>
      <c r="D32" s="3"/>
      <c r="E32" s="3"/>
      <c r="F32" s="3"/>
      <c r="G32" s="2"/>
      <c r="H32" s="2"/>
      <c r="I32" s="2"/>
      <c r="J32" s="16" t="str">
        <f>ENCERRADOS!B41</f>
        <v>1001273-74.2022.5.02.0024</v>
      </c>
      <c r="K32" s="29" t="str">
        <f>ENCERRADOS!C41</f>
        <v>WILLIAN KACZMARECK FITIPALDI</v>
      </c>
      <c r="L32" s="39">
        <f>ENCERRADOS!D41</f>
        <v>45616</v>
      </c>
      <c r="M32" s="19" t="str">
        <f>ENCERRADOS!E41</f>
        <v>IMPROCEDÊNCIA</v>
      </c>
      <c r="N32" s="17">
        <f>ENCERRADOS!F41</f>
        <v>0</v>
      </c>
      <c r="O32" s="2"/>
      <c r="P32" s="2"/>
      <c r="Q32" s="2"/>
      <c r="R32" s="2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2"/>
      <c r="B33" s="3"/>
      <c r="C33" s="3"/>
      <c r="D33" s="3"/>
      <c r="E33" s="3"/>
      <c r="F33" s="3"/>
      <c r="G33" s="2"/>
      <c r="H33" s="2"/>
      <c r="I33" s="2"/>
      <c r="J33" s="9" t="str">
        <f>ENCERRADOS!B44</f>
        <v>1001316-31.2023.5.02.0006</v>
      </c>
      <c r="K33" s="26" t="str">
        <f>ENCERRADOS!C44</f>
        <v>IVAN DE SOUSA AMORIM</v>
      </c>
      <c r="L33" s="38">
        <f>ENCERRADOS!D44</f>
        <v>45664</v>
      </c>
      <c r="M33" s="13" t="str">
        <f>ENCERRADOS!E44</f>
        <v>IMPROCEDÊNCIA</v>
      </c>
      <c r="N33" s="11">
        <f>ENCERRADOS!F44</f>
        <v>0</v>
      </c>
      <c r="O33" s="2"/>
      <c r="P33" s="2"/>
      <c r="Q33" s="2"/>
      <c r="R33" s="2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2"/>
      <c r="B34" s="3"/>
      <c r="C34" s="3"/>
      <c r="D34" s="3"/>
      <c r="E34" s="3"/>
      <c r="F34" s="3"/>
      <c r="G34" s="2"/>
      <c r="H34" s="2"/>
      <c r="I34" s="2"/>
      <c r="J34" s="16" t="str">
        <f>ENCERRADOS!B53</f>
        <v>1000271-48.2024.5.02.0073</v>
      </c>
      <c r="K34" s="29" t="str">
        <f>ENCERRADOS!C53</f>
        <v>MATHEUS ANDRADE DE OLIVEIRA</v>
      </c>
      <c r="L34" s="39">
        <f>ENCERRADOS!D53</f>
        <v>45793</v>
      </c>
      <c r="M34" s="19" t="str">
        <f>ENCERRADOS!E53</f>
        <v>IMPROCEDÊNCIA</v>
      </c>
      <c r="N34" s="17">
        <f>ENCERRADOS!F53</f>
        <v>0</v>
      </c>
      <c r="O34" s="2"/>
      <c r="P34" s="2"/>
      <c r="Q34" s="2"/>
      <c r="R34" s="2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2"/>
      <c r="B35" s="3"/>
      <c r="C35" s="3"/>
      <c r="D35" s="3"/>
      <c r="E35" s="3"/>
      <c r="F35" s="3"/>
      <c r="G35" s="2"/>
      <c r="H35" s="2"/>
      <c r="I35" s="2"/>
      <c r="J35" s="9" t="str">
        <f>ENCERRADOS!B54</f>
        <v>1000964-52.2022.5.02.0089</v>
      </c>
      <c r="K35" s="26" t="str">
        <f>ENCERRADOS!C54</f>
        <v>FRANCISCO CESAR PIRES DOS SANTOS</v>
      </c>
      <c r="L35" s="38">
        <f>ENCERRADOS!D54</f>
        <v>45831</v>
      </c>
      <c r="M35" s="13" t="str">
        <f>ENCERRADOS!E54</f>
        <v>IMPROCEDÊNCIA</v>
      </c>
      <c r="N35" s="11">
        <f>ENCERRADOS!F54</f>
        <v>0</v>
      </c>
      <c r="O35" s="2"/>
      <c r="P35" s="2"/>
      <c r="Q35" s="2"/>
      <c r="R35" s="2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2"/>
      <c r="B36" s="3"/>
      <c r="C36" s="3"/>
      <c r="D36" s="3"/>
      <c r="E36" s="3"/>
      <c r="F36" s="3"/>
      <c r="G36" s="2"/>
      <c r="H36" s="2"/>
      <c r="I36" s="2"/>
      <c r="J36" s="40" t="str">
        <f>ENCERRADOS!B61</f>
        <v>0000617-81.2023.5.09.0129</v>
      </c>
      <c r="K36" s="41" t="str">
        <f>ENCERRADOS!C61</f>
        <v>SIDNEI EIJI NISHIYAMA</v>
      </c>
      <c r="L36" s="42">
        <f>ENCERRADOS!D61</f>
        <v>45967</v>
      </c>
      <c r="M36" s="43" t="str">
        <f>ENCERRADOS!E61</f>
        <v>IMPROCEDÊNCIA</v>
      </c>
      <c r="N36" s="44">
        <f>ENCERRADOS!F61</f>
        <v>0</v>
      </c>
      <c r="O36" s="2"/>
      <c r="P36" s="2"/>
      <c r="Q36" s="2"/>
      <c r="R36" s="2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2"/>
      <c r="B37" s="3"/>
      <c r="C37" s="3"/>
      <c r="D37" s="3"/>
      <c r="E37" s="3"/>
      <c r="F37" s="3"/>
      <c r="G37" s="2"/>
      <c r="H37" s="2"/>
      <c r="I37" s="2"/>
      <c r="J37" s="23" t="s">
        <v>32</v>
      </c>
      <c r="K37" s="8">
        <f>COUNTA(J31:J36)</f>
        <v>6</v>
      </c>
      <c r="L37" s="45"/>
      <c r="M37" s="45"/>
      <c r="N37" s="24">
        <f>SUM(N31:N36)</f>
        <v>0</v>
      </c>
      <c r="O37" s="2"/>
      <c r="P37" s="2"/>
      <c r="Q37" s="2"/>
      <c r="R37" s="2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2"/>
      <c r="B38" s="3"/>
      <c r="C38" s="3"/>
      <c r="D38" s="3"/>
      <c r="E38" s="3"/>
      <c r="F38" s="3"/>
      <c r="G38" s="2"/>
      <c r="H38" s="2"/>
      <c r="I38" s="2"/>
      <c r="J38" s="3"/>
      <c r="K38" s="3"/>
      <c r="L38" s="3"/>
      <c r="M38" s="3"/>
      <c r="N38" s="3"/>
      <c r="O38" s="2"/>
      <c r="P38" s="2"/>
      <c r="Q38" s="2"/>
      <c r="R38" s="2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2"/>
      <c r="B39" s="3"/>
      <c r="C39" s="3"/>
      <c r="D39" s="3"/>
      <c r="E39" s="3"/>
      <c r="F39" s="3"/>
      <c r="G39" s="2"/>
      <c r="H39" s="2"/>
      <c r="I39" s="2"/>
      <c r="J39" s="3"/>
      <c r="K39" s="3"/>
      <c r="L39" s="3"/>
      <c r="M39" s="3"/>
      <c r="N39" s="3"/>
      <c r="O39" s="2"/>
      <c r="P39" s="2"/>
      <c r="Q39" s="2"/>
      <c r="R39" s="2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2"/>
      <c r="B40" s="3"/>
      <c r="C40" s="3"/>
      <c r="D40" s="3"/>
      <c r="E40" s="3"/>
      <c r="F40" s="3"/>
      <c r="G40" s="2"/>
      <c r="H40" s="2"/>
      <c r="I40" s="2"/>
      <c r="J40" s="3"/>
      <c r="K40" s="3"/>
      <c r="L40" s="3"/>
      <c r="M40" s="3"/>
      <c r="N40" s="3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2"/>
      <c r="B41" s="3"/>
      <c r="C41" s="3"/>
      <c r="D41" s="3"/>
      <c r="E41" s="3"/>
      <c r="F41" s="3"/>
      <c r="G41" s="2"/>
      <c r="H41" s="2"/>
      <c r="I41" s="2"/>
      <c r="J41" s="3"/>
      <c r="K41" s="3"/>
      <c r="L41" s="3"/>
      <c r="M41" s="3"/>
      <c r="N41" s="3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2"/>
      <c r="B42" s="3"/>
      <c r="C42" s="3"/>
      <c r="D42" s="3"/>
      <c r="E42" s="3"/>
      <c r="F42" s="3"/>
      <c r="G42" s="2"/>
      <c r="H42" s="2"/>
      <c r="I42" s="2"/>
      <c r="J42" s="3"/>
      <c r="K42" s="3"/>
      <c r="L42" s="3"/>
      <c r="M42" s="3"/>
      <c r="N42" s="3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2"/>
      <c r="B43" s="3"/>
      <c r="C43" s="3"/>
      <c r="D43" s="3"/>
      <c r="E43" s="3"/>
      <c r="F43" s="3"/>
      <c r="G43" s="2"/>
      <c r="H43" s="2"/>
      <c r="I43" s="2"/>
      <c r="J43" s="3"/>
      <c r="K43" s="3"/>
      <c r="L43" s="3"/>
      <c r="M43" s="3"/>
      <c r="N43" s="3"/>
      <c r="O43" s="2"/>
      <c r="P43" s="2"/>
      <c r="Q43" s="2"/>
      <c r="R43" s="2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2"/>
      <c r="B44" s="3"/>
      <c r="C44" s="3"/>
      <c r="D44" s="3"/>
      <c r="E44" s="3"/>
      <c r="F44" s="3"/>
      <c r="G44" s="2"/>
      <c r="H44" s="2"/>
      <c r="I44" s="2"/>
      <c r="J44" s="3"/>
      <c r="K44" s="3"/>
      <c r="L44" s="3"/>
      <c r="M44" s="3"/>
      <c r="N44" s="3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2"/>
      <c r="B45" s="3"/>
      <c r="C45" s="3"/>
      <c r="D45" s="3"/>
      <c r="E45" s="3"/>
      <c r="F45" s="3"/>
      <c r="G45" s="2"/>
      <c r="H45" s="2"/>
      <c r="I45" s="2"/>
      <c r="J45" s="3"/>
      <c r="K45" s="3"/>
      <c r="L45" s="3"/>
      <c r="M45" s="3"/>
      <c r="N45" s="3"/>
      <c r="O45" s="2"/>
      <c r="P45" s="2"/>
      <c r="Q45" s="2"/>
      <c r="R45" s="2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2"/>
      <c r="B46" s="3"/>
      <c r="C46" s="3"/>
      <c r="D46" s="3"/>
      <c r="E46" s="3"/>
      <c r="F46" s="3"/>
      <c r="G46" s="2"/>
      <c r="H46" s="2"/>
      <c r="I46" s="2"/>
      <c r="J46" s="3"/>
      <c r="K46" s="3"/>
      <c r="L46" s="3"/>
      <c r="M46" s="3"/>
      <c r="N46" s="3"/>
      <c r="O46" s="2"/>
      <c r="P46" s="2"/>
      <c r="Q46" s="2"/>
      <c r="R46" s="2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2"/>
      <c r="B47" s="3"/>
      <c r="C47" s="3"/>
      <c r="D47" s="3"/>
      <c r="E47" s="3"/>
      <c r="F47" s="3"/>
      <c r="G47" s="2"/>
      <c r="H47" s="2"/>
      <c r="I47" s="2"/>
      <c r="J47" s="3"/>
      <c r="K47" s="3"/>
      <c r="L47" s="3"/>
      <c r="M47" s="3"/>
      <c r="N47" s="3"/>
      <c r="O47" s="2"/>
      <c r="P47" s="2"/>
      <c r="Q47" s="2"/>
      <c r="R47" s="2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3"/>
      <c r="K48" s="3"/>
      <c r="L48" s="3"/>
      <c r="M48" s="3"/>
      <c r="N48" s="3"/>
      <c r="O48" s="2"/>
      <c r="P48" s="2"/>
      <c r="Q48" s="2"/>
      <c r="R48" s="2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2"/>
      <c r="B49" s="126" t="s">
        <v>33</v>
      </c>
      <c r="C49" s="127"/>
      <c r="D49" s="127"/>
      <c r="E49" s="127"/>
      <c r="F49" s="127"/>
      <c r="G49" s="2"/>
      <c r="H49" s="2"/>
      <c r="I49" s="2"/>
      <c r="J49" s="3"/>
      <c r="K49" s="3"/>
      <c r="L49" s="3"/>
      <c r="M49" s="3"/>
      <c r="N49" s="3"/>
      <c r="O49" s="2"/>
      <c r="P49" s="2"/>
      <c r="Q49" s="2"/>
      <c r="R49" s="2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2"/>
      <c r="B50" s="46" t="s">
        <v>34</v>
      </c>
      <c r="C50" s="2"/>
      <c r="D50" s="2"/>
      <c r="E50" s="2"/>
      <c r="F50" s="2"/>
      <c r="G50" s="2"/>
      <c r="H50" s="2"/>
      <c r="I50" s="2"/>
      <c r="J50" s="3"/>
      <c r="K50" s="3"/>
      <c r="L50" s="3"/>
      <c r="M50" s="3"/>
      <c r="N50" s="3"/>
      <c r="O50" s="2"/>
      <c r="P50" s="2"/>
      <c r="Q50" s="2"/>
      <c r="R50" s="2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2"/>
      <c r="B51" s="47">
        <f>B6+J6</f>
        <v>99</v>
      </c>
      <c r="C51" s="48" t="s">
        <v>35</v>
      </c>
      <c r="D51" s="2"/>
      <c r="E51" s="2"/>
      <c r="F51" s="2"/>
      <c r="G51" s="2"/>
      <c r="H51" s="2"/>
      <c r="I51" s="2"/>
      <c r="J51" s="3"/>
      <c r="K51" s="3"/>
      <c r="L51" s="3"/>
      <c r="M51" s="3"/>
      <c r="N51" s="3"/>
      <c r="O51" s="2"/>
      <c r="P51" s="2"/>
      <c r="Q51" s="2"/>
      <c r="R51" s="2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3"/>
      <c r="K52" s="3"/>
      <c r="L52" s="3"/>
      <c r="M52" s="3"/>
      <c r="N52" s="3"/>
      <c r="O52" s="2"/>
      <c r="P52" s="2"/>
      <c r="Q52" s="2"/>
      <c r="R52" s="2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2"/>
      <c r="B53" s="49" t="s">
        <v>36</v>
      </c>
      <c r="C53" s="50"/>
      <c r="D53" s="2"/>
      <c r="E53" s="2"/>
      <c r="F53" s="2"/>
      <c r="G53" s="2"/>
      <c r="H53" s="2"/>
      <c r="I53" s="2"/>
      <c r="J53" s="3"/>
      <c r="K53" s="3"/>
      <c r="L53" s="3"/>
      <c r="M53" s="3"/>
      <c r="N53" s="3"/>
      <c r="O53" s="2"/>
      <c r="P53" s="2"/>
      <c r="Q53" s="2"/>
      <c r="R53" s="2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2"/>
      <c r="B54" s="51">
        <f>SUMIF(ENCERRADOS!E3:E67,"ACORDO ENTRE AS PARTES",ENCERRADOS!F3:F67)+SUM(ATIVOS!AQ3:AQ36)</f>
        <v>612443</v>
      </c>
      <c r="C54" s="48" t="s">
        <v>37</v>
      </c>
      <c r="D54" s="2"/>
      <c r="E54" s="2"/>
      <c r="F54" s="2"/>
      <c r="G54" s="2"/>
      <c r="H54" s="2"/>
      <c r="I54" s="2"/>
      <c r="J54" s="3"/>
      <c r="K54" s="3"/>
      <c r="L54" s="3"/>
      <c r="M54" s="3"/>
      <c r="N54" s="3"/>
      <c r="O54" s="2"/>
      <c r="P54" s="2"/>
      <c r="Q54" s="2"/>
      <c r="R54" s="2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3"/>
      <c r="K55" s="3"/>
      <c r="L55" s="3"/>
      <c r="M55" s="3"/>
      <c r="N55" s="3"/>
      <c r="O55" s="2"/>
      <c r="P55" s="2"/>
      <c r="Q55" s="2"/>
      <c r="R55" s="2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2"/>
      <c r="B56" s="49" t="s">
        <v>38</v>
      </c>
      <c r="C56" s="50"/>
      <c r="D56" s="2"/>
      <c r="E56" s="2"/>
      <c r="F56" s="2"/>
      <c r="G56" s="2"/>
      <c r="H56" s="2"/>
      <c r="I56" s="2"/>
      <c r="J56" s="3"/>
      <c r="K56" s="3"/>
      <c r="L56" s="3"/>
      <c r="M56" s="3"/>
      <c r="N56" s="3"/>
      <c r="O56" s="2"/>
      <c r="P56" s="2"/>
      <c r="Q56" s="2"/>
      <c r="R56" s="2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2"/>
      <c r="B57" s="47" t="s">
        <v>39</v>
      </c>
      <c r="C57" s="48" t="s">
        <v>40</v>
      </c>
      <c r="D57" s="2"/>
      <c r="E57" s="2"/>
      <c r="F57" s="2"/>
      <c r="G57" s="2"/>
      <c r="H57" s="2"/>
      <c r="I57" s="2"/>
      <c r="J57" s="3"/>
      <c r="K57" s="3"/>
      <c r="L57" s="3"/>
      <c r="M57" s="3"/>
      <c r="N57" s="3"/>
      <c r="O57" s="2"/>
      <c r="P57" s="2"/>
      <c r="Q57" s="2"/>
      <c r="R57" s="2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3"/>
      <c r="K58" s="3"/>
      <c r="L58" s="3"/>
      <c r="M58" s="3"/>
      <c r="N58" s="3"/>
      <c r="O58" s="2"/>
      <c r="P58" s="2"/>
      <c r="Q58" s="2"/>
      <c r="R58" s="2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2"/>
      <c r="B59" s="49" t="s">
        <v>41</v>
      </c>
      <c r="C59" s="50"/>
      <c r="D59" s="2"/>
      <c r="E59" s="2"/>
      <c r="F59" s="2"/>
      <c r="G59" s="2"/>
      <c r="H59" s="2"/>
      <c r="I59" s="2"/>
      <c r="J59" s="3"/>
      <c r="K59" s="3"/>
      <c r="L59" s="3"/>
      <c r="M59" s="3"/>
      <c r="N59" s="3"/>
      <c r="O59" s="2"/>
      <c r="P59" s="2"/>
      <c r="Q59" s="2"/>
      <c r="R59" s="2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2"/>
      <c r="B60" s="52" t="str">
        <f>IF(K11&gt;=K12,IF(K11&gt;=K13,"PROVÁVEL","REMOTO"),IF(K12&gt;=K13,"POSSÍVEL","REMOTO"))</f>
        <v>PROVÁVEL</v>
      </c>
      <c r="C60" s="48" t="s">
        <v>42</v>
      </c>
      <c r="D60" s="2"/>
      <c r="E60" s="2"/>
      <c r="F60" s="2"/>
      <c r="G60" s="2"/>
      <c r="H60" s="2"/>
      <c r="I60" s="2"/>
      <c r="J60" s="3"/>
      <c r="K60" s="3"/>
      <c r="L60" s="3"/>
      <c r="M60" s="3"/>
      <c r="N60" s="3"/>
      <c r="O60" s="2"/>
      <c r="P60" s="2"/>
      <c r="Q60" s="2"/>
      <c r="R60" s="2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3"/>
      <c r="K61" s="3"/>
      <c r="L61" s="3"/>
      <c r="M61" s="3"/>
      <c r="N61" s="3"/>
      <c r="O61" s="2"/>
      <c r="P61" s="2"/>
      <c r="Q61" s="2"/>
      <c r="R61" s="2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2"/>
      <c r="B62" s="49" t="s">
        <v>43</v>
      </c>
      <c r="C62" s="50"/>
      <c r="D62" s="2"/>
      <c r="E62" s="2"/>
      <c r="F62" s="2"/>
      <c r="G62" s="2"/>
      <c r="H62" s="2"/>
      <c r="I62" s="2"/>
      <c r="J62" s="3"/>
      <c r="K62" s="3"/>
      <c r="L62" s="3"/>
      <c r="M62" s="3"/>
      <c r="N62" s="3"/>
      <c r="O62" s="2"/>
      <c r="P62" s="2"/>
      <c r="Q62" s="2"/>
      <c r="R62" s="2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2"/>
      <c r="B63" s="53">
        <f>COUNTIF(ATIVOS!Y3:Y36,"DESFAVORÁVEL")</f>
        <v>18</v>
      </c>
      <c r="C63" s="48" t="s">
        <v>44</v>
      </c>
      <c r="D63" s="2"/>
      <c r="E63" s="2"/>
      <c r="F63" s="2"/>
      <c r="G63" s="2"/>
      <c r="H63" s="2"/>
      <c r="I63" s="2"/>
      <c r="J63" s="3"/>
      <c r="K63" s="3"/>
      <c r="L63" s="3"/>
      <c r="M63" s="3"/>
      <c r="N63" s="3"/>
      <c r="O63" s="2"/>
      <c r="P63" s="2"/>
      <c r="Q63" s="2"/>
      <c r="R63" s="2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3"/>
      <c r="K64" s="3"/>
      <c r="L64" s="3"/>
      <c r="M64" s="3"/>
      <c r="N64" s="3"/>
      <c r="O64" s="2"/>
      <c r="P64" s="2"/>
      <c r="Q64" s="2"/>
      <c r="R64" s="2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2"/>
      <c r="B65" s="126" t="s">
        <v>45</v>
      </c>
      <c r="C65" s="127"/>
      <c r="D65" s="127"/>
      <c r="E65" s="126" t="s">
        <v>46</v>
      </c>
      <c r="F65" s="127"/>
      <c r="G65" s="2"/>
      <c r="H65" s="2"/>
      <c r="I65" s="2"/>
      <c r="J65" s="3"/>
      <c r="K65" s="3"/>
      <c r="L65" s="3"/>
      <c r="M65" s="3"/>
      <c r="N65" s="3"/>
      <c r="O65" s="2"/>
      <c r="P65" s="2"/>
      <c r="Q65" s="2"/>
      <c r="R65" s="2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2"/>
      <c r="B66" s="8" t="s">
        <v>47</v>
      </c>
      <c r="C66" s="8" t="s">
        <v>48</v>
      </c>
      <c r="D66" s="8" t="s">
        <v>49</v>
      </c>
      <c r="E66" s="8"/>
      <c r="F66" s="8" t="s">
        <v>50</v>
      </c>
      <c r="G66" s="2"/>
      <c r="H66" s="2"/>
      <c r="I66" s="2"/>
      <c r="J66" s="3"/>
      <c r="K66" s="3"/>
      <c r="L66" s="3"/>
      <c r="M66" s="3"/>
      <c r="N66" s="3"/>
      <c r="O66" s="2"/>
      <c r="P66" s="2"/>
      <c r="Q66" s="2"/>
      <c r="R66" s="2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2"/>
      <c r="B67" s="10" t="s">
        <v>51</v>
      </c>
      <c r="C67" s="54">
        <f>COUNTIF(ATIVOS!Q3:Q36,"*Horas extras*")</f>
        <v>16</v>
      </c>
      <c r="D67" s="55">
        <f>C67/COUNTA(ATIVOS!C3:C36)</f>
        <v>0.47058823529411764</v>
      </c>
      <c r="E67" s="27" t="s">
        <v>52</v>
      </c>
      <c r="F67" s="26" t="str">
        <f>ATIVOS!L3</f>
        <v>AGUARDANDO JULGAMENTO DO AGRAVO DE INSTRUMENTO</v>
      </c>
      <c r="G67" s="2"/>
      <c r="H67" s="2"/>
      <c r="I67" s="2"/>
      <c r="J67" s="3"/>
      <c r="K67" s="3"/>
      <c r="L67" s="3"/>
      <c r="M67" s="3"/>
      <c r="N67" s="3"/>
      <c r="O67" s="2"/>
      <c r="P67" s="2"/>
      <c r="Q67" s="2"/>
      <c r="R67" s="2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2"/>
      <c r="B68" s="1" t="s">
        <v>53</v>
      </c>
      <c r="C68" s="56">
        <f>COUNTIF(ATIVOS!Q3:Q36,"*Equiparação*")</f>
        <v>7</v>
      </c>
      <c r="D68" s="57">
        <f>C68/COUNTA(ATIVOS!C3:C36)</f>
        <v>0.20588235294117646</v>
      </c>
      <c r="E68" s="30" t="s">
        <v>52</v>
      </c>
      <c r="F68" s="29" t="str">
        <f>ATIVOS!L4</f>
        <v>AGUARDANDO JULGAMENTO DO AGRAVO DE INSTRUMENTO</v>
      </c>
      <c r="G68" s="2"/>
      <c r="H68" s="2"/>
      <c r="I68" s="2"/>
      <c r="J68" s="3"/>
      <c r="K68" s="3"/>
      <c r="L68" s="3"/>
      <c r="M68" s="3"/>
      <c r="N68" s="3"/>
      <c r="O68" s="2"/>
      <c r="P68" s="2"/>
      <c r="Q68" s="2"/>
      <c r="R68" s="2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2"/>
      <c r="B69" s="10" t="s">
        <v>54</v>
      </c>
      <c r="C69" s="54">
        <f>COUNTIF(ATIVOS!Q3:Q36,"*Intervalo intrajornada*")</f>
        <v>10</v>
      </c>
      <c r="D69" s="55">
        <f>C69/COUNTA(ATIVOS!C3:C36)</f>
        <v>0.29411764705882354</v>
      </c>
      <c r="E69" s="27" t="s">
        <v>52</v>
      </c>
      <c r="F69" s="26" t="str">
        <f>ATIVOS!L5</f>
        <v>AGUARDANDO JULGAMENTO DO AGRAVO INTERNO</v>
      </c>
      <c r="G69" s="2"/>
      <c r="H69" s="2"/>
      <c r="I69" s="2"/>
      <c r="J69" s="3"/>
      <c r="K69" s="3"/>
      <c r="L69" s="3"/>
      <c r="M69" s="3"/>
      <c r="N69" s="3"/>
      <c r="O69" s="2"/>
      <c r="P69" s="2"/>
      <c r="Q69" s="2"/>
      <c r="R69" s="2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2"/>
      <c r="B70" s="1" t="s">
        <v>55</v>
      </c>
      <c r="C70" s="56">
        <f>COUNTIF(ATIVOS!Q3:Q36,"*Honorários*")</f>
        <v>28</v>
      </c>
      <c r="D70" s="57">
        <f>C70/COUNTA(ATIVOS!C3:C36)</f>
        <v>0.82352941176470584</v>
      </c>
      <c r="E70" s="30" t="s">
        <v>52</v>
      </c>
      <c r="F70" s="29" t="str">
        <f>ATIVOS!L6</f>
        <v>AGUARDANDO JULGAMENTO DO AGRAVO INTERNO</v>
      </c>
      <c r="G70" s="2"/>
      <c r="H70" s="2"/>
      <c r="I70" s="2"/>
      <c r="J70" s="3"/>
      <c r="K70" s="3"/>
      <c r="L70" s="3"/>
      <c r="M70" s="3"/>
      <c r="N70" s="3"/>
      <c r="O70" s="2"/>
      <c r="P70" s="2"/>
      <c r="Q70" s="2"/>
      <c r="R70" s="2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2"/>
      <c r="B71" s="10" t="s">
        <v>56</v>
      </c>
      <c r="C71" s="54">
        <f>COUNTIF(ATIVOS!Q3:Q36,"*dano moral*")</f>
        <v>15</v>
      </c>
      <c r="D71" s="55">
        <f>C71/COUNTA(ATIVOS!C3:C36)</f>
        <v>0.44117647058823528</v>
      </c>
      <c r="E71" s="27" t="s">
        <v>52</v>
      </c>
      <c r="F71" s="26" t="str">
        <f>ATIVOS!L7</f>
        <v>AGUARDANDO JULGAMENTO DO AGRAVO INTERNO</v>
      </c>
      <c r="G71" s="2"/>
      <c r="H71" s="2"/>
      <c r="I71" s="2"/>
      <c r="J71" s="3"/>
      <c r="K71" s="3"/>
      <c r="L71" s="3"/>
      <c r="M71" s="3"/>
      <c r="N71" s="3"/>
      <c r="O71" s="2"/>
      <c r="P71" s="2"/>
      <c r="Q71" s="2"/>
      <c r="R71" s="2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2"/>
      <c r="B72" s="1" t="s">
        <v>57</v>
      </c>
      <c r="C72" s="56">
        <f>COUNTIF(ATIVOS!Q3:Q36,"*Verbas rescisórias*")</f>
        <v>9</v>
      </c>
      <c r="D72" s="57">
        <f>C72/COUNTA(ATIVOS!C3:C36)</f>
        <v>0.26470588235294118</v>
      </c>
      <c r="E72" s="30" t="s">
        <v>52</v>
      </c>
      <c r="F72" s="29" t="str">
        <f>ATIVOS!L8</f>
        <v>AGUARDANDO JULGAMENTO DO AGRAVO DE PETIÇÃO</v>
      </c>
      <c r="G72" s="2"/>
      <c r="H72" s="2"/>
      <c r="I72" s="2"/>
      <c r="J72" s="3"/>
      <c r="K72" s="3"/>
      <c r="L72" s="3"/>
      <c r="M72" s="3"/>
      <c r="N72" s="3"/>
      <c r="O72" s="2"/>
      <c r="P72" s="2"/>
      <c r="Q72" s="2"/>
      <c r="R72" s="2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2"/>
      <c r="B73" s="10" t="s">
        <v>58</v>
      </c>
      <c r="C73" s="54">
        <f>COUNTIF(ATIVOS!Q3:Q36,"*DSR*")+COUNTIF(ATIVOS!Q3:Q36,"*Comiss*")</f>
        <v>13</v>
      </c>
      <c r="D73" s="55">
        <f>C73/COUNTA(ATIVOS!C3:C36)</f>
        <v>0.38235294117647056</v>
      </c>
      <c r="E73" s="27" t="s">
        <v>52</v>
      </c>
      <c r="F73" s="26" t="str">
        <f>ATIVOS!L9</f>
        <v>AGUARDANDO JULGAMENTO DO AGRAVO DE INSTRUMENTO</v>
      </c>
      <c r="G73" s="2"/>
      <c r="H73" s="2"/>
      <c r="I73" s="2"/>
      <c r="J73" s="3"/>
      <c r="K73" s="3"/>
      <c r="L73" s="3"/>
      <c r="M73" s="3"/>
      <c r="N73" s="3"/>
      <c r="O73" s="2"/>
      <c r="P73" s="2"/>
      <c r="Q73" s="2"/>
      <c r="R73" s="2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2"/>
      <c r="B74" s="1" t="s">
        <v>59</v>
      </c>
      <c r="C74" s="56">
        <f>COUNTIF(ATIVOS!Q3:Q36,"*FGTS*")</f>
        <v>10</v>
      </c>
      <c r="D74" s="57">
        <f>C74/COUNTA(ATIVOS!C3:C36)</f>
        <v>0.29411764705882354</v>
      </c>
      <c r="E74" s="30" t="s">
        <v>52</v>
      </c>
      <c r="F74" s="29" t="str">
        <f>ATIVOS!L10</f>
        <v>INÍCIO DA EXECUÇÃO</v>
      </c>
      <c r="G74" s="2"/>
      <c r="H74" s="2"/>
      <c r="I74" s="2"/>
      <c r="J74" s="3"/>
      <c r="K74" s="3"/>
      <c r="L74" s="3"/>
      <c r="M74" s="3"/>
      <c r="N74" s="3"/>
      <c r="O74" s="2"/>
      <c r="P74" s="2"/>
      <c r="Q74" s="2"/>
      <c r="R74" s="2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3"/>
      <c r="K75" s="3"/>
      <c r="L75" s="3"/>
      <c r="M75" s="3"/>
      <c r="N75" s="3"/>
      <c r="O75" s="2"/>
      <c r="P75" s="2"/>
      <c r="Q75" s="2"/>
      <c r="R75" s="2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2"/>
      <c r="B76" s="126" t="s">
        <v>60</v>
      </c>
      <c r="C76" s="127"/>
      <c r="D76" s="127"/>
      <c r="E76" s="127"/>
      <c r="F76" s="2"/>
      <c r="G76" s="2"/>
      <c r="H76" s="2"/>
      <c r="I76" s="2"/>
      <c r="J76" s="3"/>
      <c r="K76" s="3"/>
      <c r="L76" s="3"/>
      <c r="M76" s="3"/>
      <c r="N76" s="3"/>
      <c r="O76" s="2"/>
      <c r="P76" s="2"/>
      <c r="Q76" s="2"/>
      <c r="R76" s="2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2"/>
      <c r="B77" s="8" t="s">
        <v>61</v>
      </c>
      <c r="C77" s="8" t="s">
        <v>62</v>
      </c>
      <c r="D77" s="8" t="s">
        <v>63</v>
      </c>
      <c r="E77" s="8" t="s">
        <v>21</v>
      </c>
      <c r="F77" s="2"/>
      <c r="G77" s="2"/>
      <c r="H77" s="2"/>
      <c r="I77" s="2"/>
      <c r="J77" s="3"/>
      <c r="K77" s="3"/>
      <c r="L77" s="3"/>
      <c r="M77" s="3"/>
      <c r="N77" s="3"/>
      <c r="O77" s="2"/>
      <c r="P77" s="2"/>
      <c r="Q77" s="2"/>
      <c r="R77" s="2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2"/>
      <c r="B78" s="58" t="s">
        <v>64</v>
      </c>
      <c r="C78" s="28">
        <f>COUNTIF(ATIVOS!Y3:Y36,"FAVORÁVEL")</f>
        <v>4</v>
      </c>
      <c r="D78" s="59">
        <f>COUNTIF(ATIVOS!Y3:Y36,"DESFAVORÁVEL")</f>
        <v>18</v>
      </c>
      <c r="E78" s="12">
        <f t="shared" ref="E78:E79" si="1">C78+D78</f>
        <v>22</v>
      </c>
      <c r="F78" s="2"/>
      <c r="G78" s="2"/>
      <c r="H78" s="2"/>
      <c r="I78" s="2"/>
      <c r="J78" s="3"/>
      <c r="K78" s="3"/>
      <c r="L78" s="3"/>
      <c r="M78" s="3"/>
      <c r="N78" s="3"/>
      <c r="O78" s="2"/>
      <c r="P78" s="2"/>
      <c r="Q78" s="2"/>
      <c r="R78" s="2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2"/>
      <c r="B79" s="60" t="s">
        <v>65</v>
      </c>
      <c r="C79" s="31">
        <f>COUNTIF(ATIVOS!AC3:AC36,"FAVORÁVEL")</f>
        <v>7</v>
      </c>
      <c r="D79" s="61">
        <f>COUNTIF(ATIVOS!AC3:AC36,"DESFAVORÁVEL")</f>
        <v>11</v>
      </c>
      <c r="E79" s="18">
        <f t="shared" si="1"/>
        <v>18</v>
      </c>
      <c r="F79" s="2"/>
      <c r="G79" s="2"/>
      <c r="H79" s="2"/>
      <c r="I79" s="2"/>
      <c r="J79" s="3"/>
      <c r="K79" s="3"/>
      <c r="L79" s="3"/>
      <c r="M79" s="3"/>
      <c r="N79" s="3"/>
      <c r="O79" s="2"/>
      <c r="P79" s="2"/>
      <c r="Q79" s="2"/>
      <c r="R79" s="2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2"/>
      <c r="B80" s="23" t="s">
        <v>21</v>
      </c>
      <c r="C80" s="8">
        <f t="shared" ref="C80:E80" si="2">SUM(C78:C79)</f>
        <v>11</v>
      </c>
      <c r="D80" s="8">
        <f t="shared" si="2"/>
        <v>29</v>
      </c>
      <c r="E80" s="8">
        <f t="shared" si="2"/>
        <v>40</v>
      </c>
      <c r="F80" s="2"/>
      <c r="G80" s="2"/>
      <c r="H80" s="2"/>
      <c r="I80" s="2"/>
      <c r="J80" s="3"/>
      <c r="K80" s="3"/>
      <c r="L80" s="3"/>
      <c r="M80" s="3"/>
      <c r="N80" s="3"/>
      <c r="O80" s="2"/>
      <c r="P80" s="2"/>
      <c r="Q80" s="2"/>
      <c r="R80" s="2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3"/>
      <c r="K81" s="3"/>
      <c r="L81" s="3"/>
      <c r="M81" s="3"/>
      <c r="N81" s="3"/>
      <c r="O81" s="2"/>
      <c r="P81" s="2"/>
      <c r="Q81" s="2"/>
      <c r="R81" s="2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3"/>
      <c r="K82" s="3"/>
      <c r="L82" s="3"/>
      <c r="M82" s="3"/>
      <c r="N82" s="3"/>
      <c r="O82" s="2"/>
      <c r="P82" s="2"/>
      <c r="Q82" s="2"/>
      <c r="R82" s="2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3"/>
      <c r="K83" s="3"/>
      <c r="L83" s="3"/>
      <c r="M83" s="3"/>
      <c r="N83" s="3"/>
      <c r="O83" s="2"/>
      <c r="P83" s="2"/>
      <c r="Q83" s="2"/>
      <c r="R83" s="2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3"/>
      <c r="K84" s="3"/>
      <c r="L84" s="3"/>
      <c r="M84" s="3"/>
      <c r="N84" s="3"/>
      <c r="O84" s="2"/>
      <c r="P84" s="2"/>
      <c r="Q84" s="2"/>
      <c r="R84" s="2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3"/>
      <c r="K85" s="3"/>
      <c r="L85" s="3"/>
      <c r="M85" s="3"/>
      <c r="N85" s="3"/>
      <c r="O85" s="2"/>
      <c r="P85" s="2"/>
      <c r="Q85" s="2"/>
      <c r="R85" s="2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126" t="s">
        <v>66</v>
      </c>
      <c r="K99" s="127"/>
      <c r="L99" s="127"/>
      <c r="M99" s="127"/>
      <c r="N99" s="127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8" t="s">
        <v>24</v>
      </c>
      <c r="K100" s="8" t="s">
        <v>16</v>
      </c>
      <c r="L100" s="8" t="s">
        <v>17</v>
      </c>
      <c r="M100" s="8" t="s">
        <v>30</v>
      </c>
      <c r="N100" s="8" t="s">
        <v>67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22" t="s">
        <v>68</v>
      </c>
      <c r="K101" s="27">
        <f>COUNTIF(ENCERRADOS!E3:E67,"IMPROCEDÊNCIA")</f>
        <v>6</v>
      </c>
      <c r="L101" s="62">
        <f>K101/K106</f>
        <v>6.4516129032258063E-2</v>
      </c>
      <c r="M101" s="28" t="s">
        <v>69</v>
      </c>
      <c r="N101" s="11">
        <f>SUMIF(ENCERRADOS!E3:E67,"IMPROCEDÊNCIA",ENCERRADOS!F3:F67)</f>
        <v>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63" t="s">
        <v>70</v>
      </c>
      <c r="K102" s="30">
        <f>COUNTIF(ENCERRADOS!E3:E67,"EXTINTO SEM RESOLUÇÃO DO MÉRITO")+COUNTIF(ENCERRADOS!E3:E67,"DESISTÊNCIA DA AÇÃO")+COUNTIF(ENCERRADOS!E3:E67,"DESISTÊNCIA DA AÇÃO EM FASE DA FRETE")+COUNTIF(ENCERRADOS!E3:E67,"EXCLUSÃO DA FRETE")+COUNTIF(ENCERRADOS!E3:E67,"AUSÊNCIA DO RECLAMANTE NA AUDIÊNCIA")</f>
        <v>6</v>
      </c>
      <c r="L102" s="64">
        <f>K102/K106</f>
        <v>6.4516129032258063E-2</v>
      </c>
      <c r="M102" s="31" t="s">
        <v>69</v>
      </c>
      <c r="N102" s="1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65" t="s">
        <v>71</v>
      </c>
      <c r="K103" s="27">
        <f>COUNTIF(ENCERRADOS!E3:E67,"ACORDO ENTRE AS PARTES")</f>
        <v>17</v>
      </c>
      <c r="L103" s="62">
        <f>K103/K106</f>
        <v>0.18279569892473119</v>
      </c>
      <c r="M103" s="37" t="s">
        <v>71</v>
      </c>
      <c r="N103" s="11">
        <f>SUMIF(ENCERRADOS!E3:E67,"ACORDO ENTRE AS PARTES",ENCERRADOS!F3:F67)</f>
        <v>587443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66" t="s">
        <v>72</v>
      </c>
      <c r="K104" s="30">
        <f>B6</f>
        <v>34</v>
      </c>
      <c r="L104" s="64">
        <f>K104/K106</f>
        <v>0.36559139784946237</v>
      </c>
      <c r="M104" s="67" t="s">
        <v>73</v>
      </c>
      <c r="N104" s="30" t="s">
        <v>74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14" t="s">
        <v>75</v>
      </c>
      <c r="K105" s="27">
        <f>COUNTIF(ENCERRADOS!E3:E67,"EXECUÇÃO FINALIZADA")</f>
        <v>30</v>
      </c>
      <c r="L105" s="62">
        <f>K105/K106</f>
        <v>0.32258064516129031</v>
      </c>
      <c r="M105" s="59" t="s">
        <v>76</v>
      </c>
      <c r="N105" s="11">
        <f>SUMIF(ENCERRADOS!E3:E67,"EXECUÇÃO FINALIZADA",ENCERRADOS!F3:F67)</f>
        <v>378351.11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23" t="s">
        <v>21</v>
      </c>
      <c r="K106" s="8">
        <f t="shared" ref="K106:L106" si="3">SUM(K101:K105)</f>
        <v>93</v>
      </c>
      <c r="L106" s="25">
        <f t="shared" si="3"/>
        <v>1</v>
      </c>
      <c r="M106" s="45"/>
      <c r="N106" s="24">
        <f>SUM(N101:N105)</f>
        <v>965794.11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68" t="s">
        <v>77</v>
      </c>
      <c r="C110" s="69"/>
      <c r="D110" s="69"/>
      <c r="E110" s="69"/>
      <c r="F110" s="69"/>
      <c r="G110" s="3"/>
      <c r="H110" s="3"/>
      <c r="I110" s="3"/>
      <c r="J110" s="68" t="s">
        <v>78</v>
      </c>
      <c r="K110" s="69"/>
      <c r="L110" s="69"/>
      <c r="M110" s="69"/>
      <c r="N110" s="69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70" t="s">
        <v>79</v>
      </c>
      <c r="C111" s="70" t="s">
        <v>61</v>
      </c>
      <c r="D111" s="70" t="s">
        <v>80</v>
      </c>
      <c r="E111" s="70" t="s">
        <v>21</v>
      </c>
      <c r="F111" s="70" t="s">
        <v>81</v>
      </c>
      <c r="G111" s="3"/>
      <c r="H111" s="3"/>
      <c r="I111" s="3"/>
      <c r="J111" s="70" t="s">
        <v>79</v>
      </c>
      <c r="K111" s="70" t="s">
        <v>61</v>
      </c>
      <c r="L111" s="70" t="s">
        <v>82</v>
      </c>
      <c r="M111" s="70" t="s">
        <v>21</v>
      </c>
      <c r="N111" s="70" t="s">
        <v>83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22" t="s">
        <v>84</v>
      </c>
      <c r="C112" s="71" t="s">
        <v>85</v>
      </c>
      <c r="D112" s="71">
        <v>3</v>
      </c>
      <c r="E112" s="71">
        <v>3</v>
      </c>
      <c r="F112" s="72">
        <v>1</v>
      </c>
      <c r="G112" s="3"/>
      <c r="H112" s="3"/>
      <c r="I112" s="3"/>
      <c r="J112" s="14" t="s">
        <v>86</v>
      </c>
      <c r="K112" s="71" t="s">
        <v>64</v>
      </c>
      <c r="L112" s="71">
        <v>2</v>
      </c>
      <c r="M112" s="71">
        <v>2</v>
      </c>
      <c r="N112" s="73">
        <v>1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63" t="s">
        <v>87</v>
      </c>
      <c r="C113" s="74" t="s">
        <v>64</v>
      </c>
      <c r="D113" s="74">
        <v>1</v>
      </c>
      <c r="E113" s="74">
        <v>1</v>
      </c>
      <c r="F113" s="75">
        <v>1</v>
      </c>
      <c r="G113" s="3"/>
      <c r="H113" s="3"/>
      <c r="I113" s="3"/>
      <c r="J113" s="76" t="s">
        <v>88</v>
      </c>
      <c r="K113" s="74" t="s">
        <v>64</v>
      </c>
      <c r="L113" s="74">
        <v>1</v>
      </c>
      <c r="M113" s="74">
        <v>1</v>
      </c>
      <c r="N113" s="77">
        <v>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22" t="s">
        <v>89</v>
      </c>
      <c r="C114" s="71" t="s">
        <v>64</v>
      </c>
      <c r="D114" s="71">
        <v>1</v>
      </c>
      <c r="E114" s="71">
        <v>1</v>
      </c>
      <c r="F114" s="72">
        <v>1</v>
      </c>
      <c r="G114" s="3"/>
      <c r="H114" s="3"/>
      <c r="I114" s="3"/>
      <c r="J114" s="14" t="s">
        <v>90</v>
      </c>
      <c r="K114" s="71" t="s">
        <v>64</v>
      </c>
      <c r="L114" s="71">
        <v>1</v>
      </c>
      <c r="M114" s="71">
        <v>1</v>
      </c>
      <c r="N114" s="73">
        <v>1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63" t="s">
        <v>91</v>
      </c>
      <c r="C115" s="74" t="s">
        <v>64</v>
      </c>
      <c r="D115" s="74">
        <v>1</v>
      </c>
      <c r="E115" s="74">
        <v>1</v>
      </c>
      <c r="F115" s="75">
        <v>1</v>
      </c>
      <c r="G115" s="3"/>
      <c r="H115" s="3"/>
      <c r="I115" s="3"/>
      <c r="J115" s="76" t="s">
        <v>92</v>
      </c>
      <c r="K115" s="74" t="s">
        <v>64</v>
      </c>
      <c r="L115" s="74">
        <v>1</v>
      </c>
      <c r="M115" s="74">
        <v>1</v>
      </c>
      <c r="N115" s="77">
        <v>1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22" t="s">
        <v>93</v>
      </c>
      <c r="C116" s="71" t="s">
        <v>64</v>
      </c>
      <c r="D116" s="71">
        <v>1</v>
      </c>
      <c r="E116" s="71">
        <v>1</v>
      </c>
      <c r="F116" s="72">
        <v>1</v>
      </c>
      <c r="G116" s="3"/>
      <c r="H116" s="3"/>
      <c r="I116" s="3"/>
      <c r="J116" s="14" t="s">
        <v>94</v>
      </c>
      <c r="K116" s="71" t="s">
        <v>64</v>
      </c>
      <c r="L116" s="71">
        <v>1</v>
      </c>
      <c r="M116" s="71">
        <v>1</v>
      </c>
      <c r="N116" s="73">
        <v>1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63" t="s">
        <v>95</v>
      </c>
      <c r="C117" s="74" t="s">
        <v>65</v>
      </c>
      <c r="D117" s="74">
        <v>1</v>
      </c>
      <c r="E117" s="74">
        <v>1</v>
      </c>
      <c r="F117" s="75">
        <v>1</v>
      </c>
      <c r="G117" s="3"/>
      <c r="H117" s="3"/>
      <c r="I117" s="3"/>
      <c r="J117" s="76" t="s">
        <v>96</v>
      </c>
      <c r="K117" s="74" t="s">
        <v>64</v>
      </c>
      <c r="L117" s="74">
        <v>1</v>
      </c>
      <c r="M117" s="74">
        <v>1</v>
      </c>
      <c r="N117" s="77">
        <v>1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22" t="s">
        <v>97</v>
      </c>
      <c r="C118" s="71" t="s">
        <v>65</v>
      </c>
      <c r="D118" s="71">
        <v>1</v>
      </c>
      <c r="E118" s="71">
        <v>1</v>
      </c>
      <c r="F118" s="72">
        <v>1</v>
      </c>
      <c r="G118" s="3"/>
      <c r="H118" s="3"/>
      <c r="I118" s="3"/>
      <c r="J118" s="14" t="s">
        <v>98</v>
      </c>
      <c r="K118" s="71" t="s">
        <v>64</v>
      </c>
      <c r="L118" s="71">
        <v>1</v>
      </c>
      <c r="M118" s="71">
        <v>1</v>
      </c>
      <c r="N118" s="73">
        <v>1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63" t="s">
        <v>99</v>
      </c>
      <c r="C119" s="74" t="s">
        <v>65</v>
      </c>
      <c r="D119" s="74">
        <v>1</v>
      </c>
      <c r="E119" s="74">
        <v>1</v>
      </c>
      <c r="F119" s="75">
        <v>1</v>
      </c>
      <c r="G119" s="3"/>
      <c r="H119" s="3"/>
      <c r="I119" s="3"/>
      <c r="J119" s="76" t="s">
        <v>100</v>
      </c>
      <c r="K119" s="74" t="s">
        <v>65</v>
      </c>
      <c r="L119" s="74">
        <v>1</v>
      </c>
      <c r="M119" s="74">
        <v>1</v>
      </c>
      <c r="N119" s="77">
        <v>1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22" t="s">
        <v>101</v>
      </c>
      <c r="C120" s="71" t="s">
        <v>65</v>
      </c>
      <c r="D120" s="71">
        <v>1</v>
      </c>
      <c r="E120" s="71">
        <v>1</v>
      </c>
      <c r="F120" s="72">
        <v>1</v>
      </c>
      <c r="G120" s="3"/>
      <c r="H120" s="3"/>
      <c r="I120" s="3"/>
      <c r="J120" s="14" t="s">
        <v>102</v>
      </c>
      <c r="K120" s="71" t="s">
        <v>65</v>
      </c>
      <c r="L120" s="71">
        <v>1</v>
      </c>
      <c r="M120" s="71">
        <v>1</v>
      </c>
      <c r="N120" s="73">
        <v>1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63" t="s">
        <v>103</v>
      </c>
      <c r="C121" s="74" t="s">
        <v>65</v>
      </c>
      <c r="D121" s="74">
        <v>1</v>
      </c>
      <c r="E121" s="74">
        <v>1</v>
      </c>
      <c r="F121" s="75">
        <v>1</v>
      </c>
      <c r="G121" s="3"/>
      <c r="H121" s="3"/>
      <c r="I121" s="3"/>
      <c r="J121" s="76" t="s">
        <v>104</v>
      </c>
      <c r="K121" s="74" t="s">
        <v>65</v>
      </c>
      <c r="L121" s="74">
        <v>1</v>
      </c>
      <c r="M121" s="74">
        <v>1</v>
      </c>
      <c r="N121" s="77">
        <v>1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22" t="s">
        <v>105</v>
      </c>
      <c r="C122" s="71" t="s">
        <v>65</v>
      </c>
      <c r="D122" s="71">
        <v>1</v>
      </c>
      <c r="E122" s="71">
        <v>1</v>
      </c>
      <c r="F122" s="72">
        <v>1</v>
      </c>
      <c r="G122" s="3"/>
      <c r="H122" s="3"/>
      <c r="I122" s="3"/>
      <c r="J122" s="14" t="s">
        <v>106</v>
      </c>
      <c r="K122" s="71" t="s">
        <v>65</v>
      </c>
      <c r="L122" s="71">
        <v>1</v>
      </c>
      <c r="M122" s="71">
        <v>1</v>
      </c>
      <c r="N122" s="73">
        <v>1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63" t="s">
        <v>107</v>
      </c>
      <c r="C123" s="74" t="s">
        <v>65</v>
      </c>
      <c r="D123" s="74">
        <v>1</v>
      </c>
      <c r="E123" s="74">
        <v>1</v>
      </c>
      <c r="F123" s="75">
        <v>1</v>
      </c>
      <c r="G123" s="3"/>
      <c r="H123" s="3"/>
      <c r="I123" s="3"/>
      <c r="J123" s="76" t="s">
        <v>108</v>
      </c>
      <c r="K123" s="74" t="s">
        <v>85</v>
      </c>
      <c r="L123" s="74">
        <v>1</v>
      </c>
      <c r="M123" s="74">
        <v>1</v>
      </c>
      <c r="N123" s="77">
        <v>1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68" t="s">
        <v>109</v>
      </c>
      <c r="C126" s="69"/>
      <c r="D126" s="69"/>
      <c r="E126" s="69"/>
      <c r="F126" s="69"/>
      <c r="G126" s="3"/>
      <c r="H126" s="3"/>
      <c r="I126" s="3"/>
      <c r="J126" s="68" t="s">
        <v>110</v>
      </c>
      <c r="K126" s="69"/>
      <c r="L126" s="69"/>
      <c r="M126" s="69"/>
      <c r="N126" s="69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70" t="s">
        <v>111</v>
      </c>
      <c r="C127" s="70" t="s">
        <v>112</v>
      </c>
      <c r="D127" s="70" t="s">
        <v>17</v>
      </c>
      <c r="E127" s="70" t="s">
        <v>113</v>
      </c>
      <c r="F127" s="78"/>
      <c r="G127" s="3"/>
      <c r="H127" s="3"/>
      <c r="I127" s="3"/>
      <c r="J127" s="70" t="s">
        <v>114</v>
      </c>
      <c r="K127" s="78"/>
      <c r="L127" s="70" t="s">
        <v>115</v>
      </c>
      <c r="M127" s="70" t="s">
        <v>116</v>
      </c>
      <c r="N127" s="70" t="s">
        <v>13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14" t="s">
        <v>117</v>
      </c>
      <c r="C128" s="71">
        <v>9</v>
      </c>
      <c r="D128" s="79">
        <f>C128/C137</f>
        <v>0.26470588235294118</v>
      </c>
      <c r="E128" s="37" t="s">
        <v>118</v>
      </c>
      <c r="F128" s="80"/>
      <c r="G128" s="3"/>
      <c r="H128" s="3"/>
      <c r="I128" s="3"/>
      <c r="J128" s="14" t="s">
        <v>119</v>
      </c>
      <c r="K128" s="10"/>
      <c r="L128" s="71">
        <v>9</v>
      </c>
      <c r="M128" s="79">
        <f>L128/C137</f>
        <v>0.26470588235294118</v>
      </c>
      <c r="N128" s="59" t="s">
        <v>120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81" t="s">
        <v>121</v>
      </c>
      <c r="C129" s="74">
        <v>3</v>
      </c>
      <c r="D129" s="82">
        <f>C129/C137</f>
        <v>8.8235294117647065E-2</v>
      </c>
      <c r="E129" s="74"/>
      <c r="F129" s="69"/>
      <c r="G129" s="3"/>
      <c r="H129" s="3"/>
      <c r="I129" s="3"/>
      <c r="J129" s="20" t="s">
        <v>122</v>
      </c>
      <c r="K129" s="1"/>
      <c r="L129" s="74">
        <v>3</v>
      </c>
      <c r="M129" s="82">
        <f>L129/C137</f>
        <v>8.8235294117647065E-2</v>
      </c>
      <c r="N129" s="83" t="s">
        <v>123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84" t="s">
        <v>124</v>
      </c>
      <c r="C130" s="71">
        <v>2</v>
      </c>
      <c r="D130" s="79">
        <f>C130/C137</f>
        <v>5.8823529411764705E-2</v>
      </c>
      <c r="E130" s="71"/>
      <c r="F130" s="80"/>
      <c r="G130" s="3"/>
      <c r="H130" s="3"/>
      <c r="I130" s="3"/>
      <c r="J130" s="85" t="s">
        <v>125</v>
      </c>
      <c r="K130" s="10"/>
      <c r="L130" s="71">
        <v>6</v>
      </c>
      <c r="M130" s="79">
        <f>L130/C137</f>
        <v>0.17647058823529413</v>
      </c>
      <c r="N130" s="86" t="s">
        <v>126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81" t="s">
        <v>127</v>
      </c>
      <c r="C131" s="74">
        <v>2</v>
      </c>
      <c r="D131" s="82">
        <f>C131/C137</f>
        <v>5.8823529411764705E-2</v>
      </c>
      <c r="E131" s="74"/>
      <c r="F131" s="69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84" t="s">
        <v>128</v>
      </c>
      <c r="C132" s="71">
        <v>2</v>
      </c>
      <c r="D132" s="79">
        <f>C132/C137</f>
        <v>5.8823529411764705E-2</v>
      </c>
      <c r="E132" s="71"/>
      <c r="F132" s="80"/>
      <c r="G132" s="3"/>
      <c r="H132" s="3"/>
      <c r="I132" s="3"/>
      <c r="J132" s="81" t="s">
        <v>129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81" t="s">
        <v>130</v>
      </c>
      <c r="C133" s="74">
        <v>1</v>
      </c>
      <c r="D133" s="82">
        <f>C133/C137</f>
        <v>2.9411764705882353E-2</v>
      </c>
      <c r="E133" s="74"/>
      <c r="F133" s="69"/>
      <c r="G133" s="3"/>
      <c r="H133" s="3"/>
      <c r="I133" s="3"/>
      <c r="J133" s="87" t="s">
        <v>131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84" t="s">
        <v>132</v>
      </c>
      <c r="C134" s="71">
        <v>1</v>
      </c>
      <c r="D134" s="79">
        <f>C134/C137</f>
        <v>2.9411764705882353E-2</v>
      </c>
      <c r="E134" s="71"/>
      <c r="F134" s="80"/>
      <c r="G134" s="3"/>
      <c r="H134" s="3"/>
      <c r="I134" s="3"/>
      <c r="J134" s="87" t="s">
        <v>769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81" t="s">
        <v>133</v>
      </c>
      <c r="C135" s="74">
        <v>1</v>
      </c>
      <c r="D135" s="82">
        <f>C135/C137</f>
        <v>2.9411764705882353E-2</v>
      </c>
      <c r="E135" s="74"/>
      <c r="F135" s="69"/>
      <c r="G135" s="3"/>
      <c r="H135" s="3"/>
      <c r="I135" s="3"/>
      <c r="J135" s="87" t="s">
        <v>134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88" t="s">
        <v>135</v>
      </c>
      <c r="C136" s="89">
        <v>13</v>
      </c>
      <c r="D136" s="90">
        <f>C136/C137</f>
        <v>0.38235294117647056</v>
      </c>
      <c r="E136" s="89"/>
      <c r="F136" s="80"/>
      <c r="G136" s="3"/>
      <c r="H136" s="3"/>
      <c r="I136" s="3"/>
      <c r="J136" s="76" t="s">
        <v>770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23" t="s">
        <v>21</v>
      </c>
      <c r="C137" s="8">
        <f>SUM(C128:C136)</f>
        <v>34</v>
      </c>
      <c r="D137" s="25">
        <f>SUM(D128:D136)</f>
        <v>1</v>
      </c>
      <c r="E137" s="8"/>
      <c r="F137" s="2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128" t="s">
        <v>771</v>
      </c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23">
    <mergeCell ref="N5:O5"/>
    <mergeCell ref="N6:O6"/>
    <mergeCell ref="N7:O7"/>
    <mergeCell ref="J17:M17"/>
    <mergeCell ref="J29:O29"/>
    <mergeCell ref="B2:M2"/>
    <mergeCell ref="B5:D5"/>
    <mergeCell ref="E5:H5"/>
    <mergeCell ref="J5:L5"/>
    <mergeCell ref="B6:D6"/>
    <mergeCell ref="E6:H6"/>
    <mergeCell ref="J6:L6"/>
    <mergeCell ref="B65:D65"/>
    <mergeCell ref="B76:E76"/>
    <mergeCell ref="J99:N99"/>
    <mergeCell ref="B153:O153"/>
    <mergeCell ref="B7:D7"/>
    <mergeCell ref="E7:H7"/>
    <mergeCell ref="J7:L7"/>
    <mergeCell ref="B9:F9"/>
    <mergeCell ref="J9:M9"/>
    <mergeCell ref="B49:F49"/>
    <mergeCell ref="E65:F65"/>
  </mergeCells>
  <conditionalFormatting sqref="E11:E26">
    <cfRule type="containsText" dxfId="3" priority="1" operator="containsText" text="PROVÁVEL">
      <formula>NOT(ISERROR(SEARCH(("PROVÁVEL"),(E11))))</formula>
    </cfRule>
  </conditionalFormatting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967"/>
  <sheetViews>
    <sheetView zoomScale="55" zoomScaleNormal="55" workbookViewId="0">
      <pane ySplit="2" topLeftCell="A33" activePane="bottomLeft" state="frozen"/>
      <selection pane="bottomLeft" activeCell="C3" sqref="C3:C36"/>
    </sheetView>
  </sheetViews>
  <sheetFormatPr defaultColWidth="12.5703125" defaultRowHeight="15"/>
  <cols>
    <col min="1" max="1" width="32.140625" customWidth="1"/>
    <col min="2" max="2" width="12.140625" customWidth="1"/>
    <col min="3" max="3" width="32" customWidth="1"/>
    <col min="4" max="4" width="34.85546875" customWidth="1"/>
    <col min="5" max="5" width="38.28515625" customWidth="1"/>
    <col min="6" max="6" width="48.7109375" customWidth="1"/>
    <col min="7" max="7" width="33.5703125" customWidth="1"/>
    <col min="8" max="8" width="22" customWidth="1"/>
    <col min="9" max="9" width="28.5703125" customWidth="1"/>
    <col min="10" max="10" width="24.42578125" customWidth="1"/>
    <col min="11" max="11" width="15.42578125" customWidth="1"/>
    <col min="12" max="12" width="24" customWidth="1"/>
    <col min="13" max="13" width="14.42578125" customWidth="1"/>
    <col min="14" max="14" width="35.28515625" customWidth="1"/>
    <col min="15" max="15" width="18.85546875" customWidth="1"/>
    <col min="16" max="16" width="19.28515625" customWidth="1"/>
    <col min="17" max="17" width="44.85546875" customWidth="1"/>
    <col min="18" max="18" width="36.7109375" customWidth="1"/>
    <col min="19" max="19" width="29.140625" customWidth="1"/>
    <col min="20" max="20" width="25" customWidth="1"/>
    <col min="21" max="21" width="32.140625" customWidth="1"/>
    <col min="22" max="22" width="40.28515625" customWidth="1"/>
    <col min="23" max="23" width="24.85546875" customWidth="1"/>
    <col min="24" max="24" width="27" customWidth="1"/>
    <col min="25" max="25" width="18.5703125" customWidth="1"/>
    <col min="26" max="26" width="31" customWidth="1"/>
    <col min="27" max="27" width="23.140625" customWidth="1"/>
    <col min="28" max="28" width="46.85546875" customWidth="1"/>
    <col min="29" max="29" width="18.140625" customWidth="1"/>
    <col min="30" max="30" width="31.42578125" customWidth="1"/>
    <col min="31" max="31" width="15.7109375" customWidth="1"/>
    <col min="32" max="32" width="18.140625" customWidth="1"/>
    <col min="33" max="33" width="43" customWidth="1"/>
    <col min="34" max="34" width="24.85546875" customWidth="1"/>
    <col min="35" max="35" width="31.5703125" customWidth="1"/>
    <col min="36" max="36" width="15.7109375" customWidth="1"/>
    <col min="37" max="37" width="26.7109375" customWidth="1"/>
    <col min="38" max="38" width="42.5703125" customWidth="1"/>
    <col min="39" max="39" width="26.28515625" customWidth="1"/>
    <col min="40" max="42" width="22" customWidth="1"/>
    <col min="43" max="43" width="28.140625" customWidth="1"/>
    <col min="44" max="44" width="25.5703125" customWidth="1"/>
    <col min="45" max="45" width="18.85546875" customWidth="1"/>
    <col min="46" max="46" width="28.28515625" customWidth="1"/>
    <col min="47" max="47" width="29.140625" customWidth="1"/>
    <col min="48" max="48" width="26.7109375" customWidth="1"/>
    <col min="49" max="49" width="16.7109375" customWidth="1"/>
    <col min="50" max="50" width="25.42578125" customWidth="1"/>
    <col min="51" max="51" width="43.5703125" customWidth="1"/>
  </cols>
  <sheetData>
    <row r="1" spans="1:51" ht="42" customHeight="1">
      <c r="A1" s="124" t="s">
        <v>745</v>
      </c>
      <c r="B1" s="125"/>
      <c r="C1" s="125"/>
      <c r="D1" s="125"/>
      <c r="E1" s="125"/>
      <c r="F1" s="125"/>
      <c r="G1" s="125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2"/>
    </row>
    <row r="2" spans="1:51" ht="24">
      <c r="A2" s="93" t="s">
        <v>136</v>
      </c>
      <c r="B2" s="93" t="s">
        <v>137</v>
      </c>
      <c r="C2" s="93" t="s">
        <v>138</v>
      </c>
      <c r="D2" s="93" t="s">
        <v>139</v>
      </c>
      <c r="E2" s="93" t="s">
        <v>140</v>
      </c>
      <c r="F2" s="93" t="s">
        <v>141</v>
      </c>
      <c r="G2" s="93" t="s">
        <v>142</v>
      </c>
      <c r="H2" s="93" t="s">
        <v>143</v>
      </c>
      <c r="I2" s="94" t="s">
        <v>144</v>
      </c>
      <c r="J2" s="93" t="s">
        <v>145</v>
      </c>
      <c r="K2" s="93" t="s">
        <v>146</v>
      </c>
      <c r="L2" s="93" t="s">
        <v>147</v>
      </c>
      <c r="M2" s="93" t="s">
        <v>13</v>
      </c>
      <c r="N2" s="93" t="s">
        <v>148</v>
      </c>
      <c r="O2" s="93" t="s">
        <v>61</v>
      </c>
      <c r="P2" s="93" t="s">
        <v>149</v>
      </c>
      <c r="Q2" s="93" t="s">
        <v>150</v>
      </c>
      <c r="R2" s="93" t="s">
        <v>151</v>
      </c>
      <c r="S2" s="93" t="s">
        <v>152</v>
      </c>
      <c r="T2" s="93" t="s">
        <v>153</v>
      </c>
      <c r="U2" s="93" t="s">
        <v>154</v>
      </c>
      <c r="V2" s="93" t="s">
        <v>155</v>
      </c>
      <c r="W2" s="93" t="s">
        <v>156</v>
      </c>
      <c r="X2" s="93" t="s">
        <v>157</v>
      </c>
      <c r="Y2" s="93" t="s">
        <v>158</v>
      </c>
      <c r="Z2" s="93" t="s">
        <v>159</v>
      </c>
      <c r="AA2" s="93" t="s">
        <v>160</v>
      </c>
      <c r="AB2" s="93" t="s">
        <v>161</v>
      </c>
      <c r="AC2" s="93" t="s">
        <v>162</v>
      </c>
      <c r="AD2" s="93" t="s">
        <v>163</v>
      </c>
      <c r="AE2" s="93" t="s">
        <v>164</v>
      </c>
      <c r="AF2" s="93" t="s">
        <v>165</v>
      </c>
      <c r="AG2" s="93" t="s">
        <v>166</v>
      </c>
      <c r="AH2" s="93" t="s">
        <v>167</v>
      </c>
      <c r="AI2" s="93" t="s">
        <v>168</v>
      </c>
      <c r="AJ2" s="93" t="s">
        <v>164</v>
      </c>
      <c r="AK2" s="93" t="s">
        <v>169</v>
      </c>
      <c r="AL2" s="93" t="s">
        <v>170</v>
      </c>
      <c r="AM2" s="93" t="s">
        <v>171</v>
      </c>
      <c r="AN2" s="93" t="s">
        <v>172</v>
      </c>
      <c r="AO2" s="93" t="s">
        <v>173</v>
      </c>
      <c r="AP2" s="93" t="s">
        <v>174</v>
      </c>
      <c r="AQ2" s="93" t="s">
        <v>175</v>
      </c>
      <c r="AR2" s="93" t="s">
        <v>176</v>
      </c>
      <c r="AS2" s="93" t="s">
        <v>177</v>
      </c>
      <c r="AT2" s="93" t="s">
        <v>178</v>
      </c>
      <c r="AU2" s="93" t="s">
        <v>179</v>
      </c>
      <c r="AV2" s="93" t="s">
        <v>180</v>
      </c>
      <c r="AW2" s="93" t="s">
        <v>181</v>
      </c>
      <c r="AX2" s="93" t="s">
        <v>182</v>
      </c>
      <c r="AY2" s="93" t="s">
        <v>183</v>
      </c>
    </row>
    <row r="3" spans="1:51" s="151" customFormat="1" ht="228">
      <c r="A3" s="142">
        <v>44176</v>
      </c>
      <c r="B3" s="143">
        <v>2</v>
      </c>
      <c r="C3" s="144" t="s">
        <v>184</v>
      </c>
      <c r="D3" s="143" t="s">
        <v>185</v>
      </c>
      <c r="E3" s="143" t="s">
        <v>186</v>
      </c>
      <c r="F3" s="143" t="s">
        <v>187</v>
      </c>
      <c r="G3" s="143" t="s">
        <v>188</v>
      </c>
      <c r="H3" s="145" t="s">
        <v>189</v>
      </c>
      <c r="I3" s="146" t="s">
        <v>190</v>
      </c>
      <c r="J3" s="147" t="s">
        <v>191</v>
      </c>
      <c r="K3" s="143" t="s">
        <v>192</v>
      </c>
      <c r="L3" s="143" t="s">
        <v>193</v>
      </c>
      <c r="M3" s="143" t="s">
        <v>194</v>
      </c>
      <c r="N3" s="143" t="s">
        <v>195</v>
      </c>
      <c r="O3" s="143" t="s">
        <v>85</v>
      </c>
      <c r="P3" s="143" t="s">
        <v>196</v>
      </c>
      <c r="Q3" s="143" t="s">
        <v>197</v>
      </c>
      <c r="R3" s="143" t="s">
        <v>198</v>
      </c>
      <c r="S3" s="142">
        <v>44782</v>
      </c>
      <c r="T3" s="143" t="s">
        <v>199</v>
      </c>
      <c r="U3" s="143" t="s">
        <v>200</v>
      </c>
      <c r="V3" s="143" t="s">
        <v>201</v>
      </c>
      <c r="W3" s="96" t="s">
        <v>202</v>
      </c>
      <c r="X3" s="143" t="s">
        <v>188</v>
      </c>
      <c r="Y3" s="96" t="s">
        <v>63</v>
      </c>
      <c r="Z3" s="143" t="s">
        <v>203</v>
      </c>
      <c r="AA3" s="148">
        <v>45257</v>
      </c>
      <c r="AB3" s="143" t="s">
        <v>204</v>
      </c>
      <c r="AC3" s="143" t="s">
        <v>63</v>
      </c>
      <c r="AD3" s="143" t="s">
        <v>205</v>
      </c>
      <c r="AE3" s="143" t="s">
        <v>206</v>
      </c>
      <c r="AF3" s="142">
        <v>45502</v>
      </c>
      <c r="AG3" s="143" t="s">
        <v>207</v>
      </c>
      <c r="AH3" s="143" t="s">
        <v>208</v>
      </c>
      <c r="AI3" s="143" t="s">
        <v>209</v>
      </c>
      <c r="AJ3" s="143" t="s">
        <v>210</v>
      </c>
      <c r="AK3" s="143" t="s">
        <v>188</v>
      </c>
      <c r="AL3" s="143" t="s">
        <v>188</v>
      </c>
      <c r="AM3" s="149">
        <v>227780</v>
      </c>
      <c r="AN3" s="149">
        <v>100000</v>
      </c>
      <c r="AO3" s="149">
        <v>0</v>
      </c>
      <c r="AP3" s="149">
        <v>0</v>
      </c>
      <c r="AQ3" s="149">
        <v>0</v>
      </c>
      <c r="AR3" s="142" t="s">
        <v>188</v>
      </c>
      <c r="AS3" s="150">
        <v>64361.9</v>
      </c>
      <c r="AT3" s="149">
        <v>0</v>
      </c>
      <c r="AU3" s="143" t="s">
        <v>188</v>
      </c>
      <c r="AV3" s="149">
        <v>0</v>
      </c>
      <c r="AW3" s="143" t="s">
        <v>188</v>
      </c>
      <c r="AX3" s="142">
        <v>45961</v>
      </c>
      <c r="AY3" s="143" t="s">
        <v>211</v>
      </c>
    </row>
    <row r="4" spans="1:51" s="151" customFormat="1" ht="72">
      <c r="A4" s="142">
        <v>44805</v>
      </c>
      <c r="B4" s="143">
        <v>2</v>
      </c>
      <c r="C4" s="144" t="s">
        <v>212</v>
      </c>
      <c r="D4" s="143" t="s">
        <v>213</v>
      </c>
      <c r="E4" s="143" t="s">
        <v>186</v>
      </c>
      <c r="F4" s="143" t="s">
        <v>187</v>
      </c>
      <c r="G4" s="143" t="s">
        <v>188</v>
      </c>
      <c r="H4" s="145" t="s">
        <v>189</v>
      </c>
      <c r="I4" s="146" t="s">
        <v>190</v>
      </c>
      <c r="J4" s="147" t="s">
        <v>214</v>
      </c>
      <c r="K4" s="143" t="s">
        <v>192</v>
      </c>
      <c r="L4" s="96" t="s">
        <v>193</v>
      </c>
      <c r="M4" s="143" t="s">
        <v>194</v>
      </c>
      <c r="N4" s="96" t="s">
        <v>215</v>
      </c>
      <c r="O4" s="143" t="s">
        <v>85</v>
      </c>
      <c r="P4" s="143" t="s">
        <v>196</v>
      </c>
      <c r="Q4" s="143" t="s">
        <v>216</v>
      </c>
      <c r="R4" s="143" t="s">
        <v>217</v>
      </c>
      <c r="S4" s="142">
        <v>45119</v>
      </c>
      <c r="T4" s="143" t="s">
        <v>218</v>
      </c>
      <c r="U4" s="143" t="s">
        <v>219</v>
      </c>
      <c r="V4" s="143" t="s">
        <v>220</v>
      </c>
      <c r="W4" s="96" t="s">
        <v>202</v>
      </c>
      <c r="X4" s="96" t="s">
        <v>188</v>
      </c>
      <c r="Y4" s="96" t="s">
        <v>63</v>
      </c>
      <c r="Z4" s="143" t="s">
        <v>221</v>
      </c>
      <c r="AA4" s="142">
        <v>45163</v>
      </c>
      <c r="AB4" s="143" t="s">
        <v>222</v>
      </c>
      <c r="AC4" s="143" t="s">
        <v>63</v>
      </c>
      <c r="AD4" s="143" t="s">
        <v>223</v>
      </c>
      <c r="AE4" s="143" t="s">
        <v>224</v>
      </c>
      <c r="AF4" s="142">
        <v>45376</v>
      </c>
      <c r="AG4" s="143" t="s">
        <v>225</v>
      </c>
      <c r="AH4" s="143" t="s">
        <v>208</v>
      </c>
      <c r="AI4" s="143" t="s">
        <v>226</v>
      </c>
      <c r="AJ4" s="143" t="s">
        <v>227</v>
      </c>
      <c r="AK4" s="143" t="s">
        <v>188</v>
      </c>
      <c r="AL4" s="143" t="s">
        <v>188</v>
      </c>
      <c r="AM4" s="149">
        <v>103589</v>
      </c>
      <c r="AN4" s="149">
        <v>100000</v>
      </c>
      <c r="AO4" s="149">
        <v>0</v>
      </c>
      <c r="AP4" s="149">
        <v>0</v>
      </c>
      <c r="AQ4" s="149">
        <v>0</v>
      </c>
      <c r="AR4" s="142" t="s">
        <v>188</v>
      </c>
      <c r="AS4" s="149">
        <v>50660.56</v>
      </c>
      <c r="AT4" s="149">
        <v>0</v>
      </c>
      <c r="AU4" s="143" t="s">
        <v>188</v>
      </c>
      <c r="AV4" s="149">
        <v>0</v>
      </c>
      <c r="AW4" s="143" t="s">
        <v>188</v>
      </c>
      <c r="AX4" s="142">
        <v>46119</v>
      </c>
      <c r="AY4" s="96" t="s">
        <v>228</v>
      </c>
    </row>
    <row r="5" spans="1:51" s="151" customFormat="1" ht="132">
      <c r="A5" s="97">
        <v>44984</v>
      </c>
      <c r="B5" s="96">
        <v>2</v>
      </c>
      <c r="C5" s="98" t="s">
        <v>229</v>
      </c>
      <c r="D5" s="96" t="s">
        <v>230</v>
      </c>
      <c r="E5" s="96" t="s">
        <v>231</v>
      </c>
      <c r="F5" s="96" t="s">
        <v>232</v>
      </c>
      <c r="G5" s="96" t="s">
        <v>188</v>
      </c>
      <c r="H5" s="145" t="s">
        <v>189</v>
      </c>
      <c r="I5" s="146" t="s">
        <v>190</v>
      </c>
      <c r="J5" s="99" t="s">
        <v>233</v>
      </c>
      <c r="K5" s="96" t="s">
        <v>192</v>
      </c>
      <c r="L5" s="96" t="s">
        <v>234</v>
      </c>
      <c r="M5" s="98" t="s">
        <v>194</v>
      </c>
      <c r="N5" s="96" t="s">
        <v>235</v>
      </c>
      <c r="O5" s="143" t="s">
        <v>85</v>
      </c>
      <c r="P5" s="143" t="s">
        <v>196</v>
      </c>
      <c r="Q5" s="96" t="s">
        <v>236</v>
      </c>
      <c r="R5" s="96" t="s">
        <v>237</v>
      </c>
      <c r="S5" s="97">
        <v>45097</v>
      </c>
      <c r="T5" s="96" t="s">
        <v>238</v>
      </c>
      <c r="U5" s="96" t="s">
        <v>188</v>
      </c>
      <c r="V5" s="96" t="s">
        <v>188</v>
      </c>
      <c r="W5" s="96" t="s">
        <v>202</v>
      </c>
      <c r="X5" s="96" t="s">
        <v>188</v>
      </c>
      <c r="Y5" s="96" t="s">
        <v>63</v>
      </c>
      <c r="Z5" s="96" t="s">
        <v>239</v>
      </c>
      <c r="AA5" s="97" t="s">
        <v>240</v>
      </c>
      <c r="AB5" s="96" t="s">
        <v>241</v>
      </c>
      <c r="AC5" s="96" t="s">
        <v>62</v>
      </c>
      <c r="AD5" s="96" t="s">
        <v>242</v>
      </c>
      <c r="AE5" s="96" t="s">
        <v>243</v>
      </c>
      <c r="AF5" s="97">
        <v>45546</v>
      </c>
      <c r="AG5" s="96" t="s">
        <v>244</v>
      </c>
      <c r="AH5" s="96" t="s">
        <v>62</v>
      </c>
      <c r="AI5" s="96" t="s">
        <v>245</v>
      </c>
      <c r="AJ5" s="96" t="s">
        <v>243</v>
      </c>
      <c r="AK5" s="97">
        <v>45931</v>
      </c>
      <c r="AL5" s="96" t="s">
        <v>246</v>
      </c>
      <c r="AM5" s="100">
        <v>94622.09</v>
      </c>
      <c r="AN5" s="100">
        <v>8000</v>
      </c>
      <c r="AO5" s="149">
        <v>0</v>
      </c>
      <c r="AP5" s="149">
        <v>0</v>
      </c>
      <c r="AQ5" s="149">
        <v>0</v>
      </c>
      <c r="AR5" s="142" t="s">
        <v>188</v>
      </c>
      <c r="AS5" s="100">
        <v>8000</v>
      </c>
      <c r="AT5" s="149">
        <v>0</v>
      </c>
      <c r="AU5" s="143" t="s">
        <v>188</v>
      </c>
      <c r="AV5" s="149">
        <v>0</v>
      </c>
      <c r="AW5" s="143" t="s">
        <v>188</v>
      </c>
      <c r="AX5" s="97">
        <v>46129</v>
      </c>
      <c r="AY5" s="96" t="s">
        <v>247</v>
      </c>
    </row>
    <row r="6" spans="1:51" s="151" customFormat="1" ht="132">
      <c r="A6" s="142">
        <v>45008</v>
      </c>
      <c r="B6" s="143">
        <v>2</v>
      </c>
      <c r="C6" s="144" t="s">
        <v>248</v>
      </c>
      <c r="D6" s="143" t="s">
        <v>249</v>
      </c>
      <c r="E6" s="143" t="s">
        <v>250</v>
      </c>
      <c r="F6" s="143" t="s">
        <v>187</v>
      </c>
      <c r="G6" s="143" t="s">
        <v>188</v>
      </c>
      <c r="H6" s="145" t="s">
        <v>189</v>
      </c>
      <c r="I6" s="146" t="s">
        <v>190</v>
      </c>
      <c r="J6" s="147" t="s">
        <v>251</v>
      </c>
      <c r="K6" s="143" t="s">
        <v>192</v>
      </c>
      <c r="L6" s="143" t="s">
        <v>234</v>
      </c>
      <c r="M6" s="143" t="s">
        <v>194</v>
      </c>
      <c r="N6" s="143" t="s">
        <v>252</v>
      </c>
      <c r="O6" s="143" t="s">
        <v>85</v>
      </c>
      <c r="P6" s="143" t="s">
        <v>196</v>
      </c>
      <c r="Q6" s="143" t="s">
        <v>253</v>
      </c>
      <c r="R6" s="143" t="s">
        <v>254</v>
      </c>
      <c r="S6" s="142">
        <v>45071</v>
      </c>
      <c r="T6" s="143" t="s">
        <v>199</v>
      </c>
      <c r="U6" s="143" t="s">
        <v>188</v>
      </c>
      <c r="V6" s="143" t="s">
        <v>255</v>
      </c>
      <c r="W6" s="143" t="s">
        <v>202</v>
      </c>
      <c r="X6" s="143" t="s">
        <v>188</v>
      </c>
      <c r="Y6" s="143" t="s">
        <v>63</v>
      </c>
      <c r="Z6" s="143" t="s">
        <v>256</v>
      </c>
      <c r="AA6" s="142">
        <v>45104</v>
      </c>
      <c r="AB6" s="143" t="s">
        <v>257</v>
      </c>
      <c r="AC6" s="143" t="s">
        <v>63</v>
      </c>
      <c r="AD6" s="143" t="s">
        <v>258</v>
      </c>
      <c r="AE6" s="143" t="s">
        <v>259</v>
      </c>
      <c r="AF6" s="142">
        <v>45196</v>
      </c>
      <c r="AG6" s="143" t="s">
        <v>260</v>
      </c>
      <c r="AH6" s="143" t="s">
        <v>208</v>
      </c>
      <c r="AI6" s="143" t="s">
        <v>209</v>
      </c>
      <c r="AJ6" s="143" t="s">
        <v>210</v>
      </c>
      <c r="AK6" s="143" t="s">
        <v>188</v>
      </c>
      <c r="AL6" s="143" t="s">
        <v>188</v>
      </c>
      <c r="AM6" s="149">
        <v>26024.240000000002</v>
      </c>
      <c r="AN6" s="149">
        <v>20000</v>
      </c>
      <c r="AO6" s="149">
        <v>0</v>
      </c>
      <c r="AP6" s="149">
        <v>0</v>
      </c>
      <c r="AQ6" s="149">
        <v>0</v>
      </c>
      <c r="AR6" s="142" t="s">
        <v>188</v>
      </c>
      <c r="AS6" s="149">
        <v>20000</v>
      </c>
      <c r="AT6" s="149">
        <v>0</v>
      </c>
      <c r="AU6" s="143" t="s">
        <v>188</v>
      </c>
      <c r="AV6" s="149">
        <v>0</v>
      </c>
      <c r="AW6" s="143" t="s">
        <v>188</v>
      </c>
      <c r="AX6" s="142">
        <v>45541</v>
      </c>
      <c r="AY6" s="143" t="s">
        <v>261</v>
      </c>
    </row>
    <row r="7" spans="1:51" s="151" customFormat="1" ht="180">
      <c r="A7" s="142">
        <v>45027</v>
      </c>
      <c r="B7" s="143">
        <v>2</v>
      </c>
      <c r="C7" s="144" t="s">
        <v>262</v>
      </c>
      <c r="D7" s="143" t="s">
        <v>263</v>
      </c>
      <c r="E7" s="143" t="s">
        <v>264</v>
      </c>
      <c r="F7" s="143" t="s">
        <v>232</v>
      </c>
      <c r="G7" s="143" t="s">
        <v>188</v>
      </c>
      <c r="H7" s="145" t="s">
        <v>189</v>
      </c>
      <c r="I7" s="146" t="s">
        <v>190</v>
      </c>
      <c r="J7" s="147" t="s">
        <v>265</v>
      </c>
      <c r="K7" s="143" t="s">
        <v>192</v>
      </c>
      <c r="L7" s="143" t="s">
        <v>234</v>
      </c>
      <c r="M7" s="143" t="s">
        <v>266</v>
      </c>
      <c r="N7" s="143" t="s">
        <v>267</v>
      </c>
      <c r="O7" s="143" t="s">
        <v>85</v>
      </c>
      <c r="P7" s="143" t="s">
        <v>196</v>
      </c>
      <c r="Q7" s="143" t="s">
        <v>268</v>
      </c>
      <c r="R7" s="143" t="s">
        <v>269</v>
      </c>
      <c r="S7" s="142">
        <v>45190</v>
      </c>
      <c r="T7" s="143" t="s">
        <v>199</v>
      </c>
      <c r="U7" s="143" t="s">
        <v>270</v>
      </c>
      <c r="V7" s="143" t="s">
        <v>188</v>
      </c>
      <c r="W7" s="143" t="s">
        <v>202</v>
      </c>
      <c r="X7" s="143" t="s">
        <v>188</v>
      </c>
      <c r="Y7" s="143" t="s">
        <v>63</v>
      </c>
      <c r="Z7" s="143" t="s">
        <v>271</v>
      </c>
      <c r="AA7" s="142">
        <v>45293</v>
      </c>
      <c r="AB7" s="143" t="s">
        <v>272</v>
      </c>
      <c r="AC7" s="143" t="s">
        <v>62</v>
      </c>
      <c r="AD7" s="143" t="s">
        <v>273</v>
      </c>
      <c r="AE7" s="143" t="s">
        <v>274</v>
      </c>
      <c r="AF7" s="142">
        <v>45601</v>
      </c>
      <c r="AG7" s="143" t="s">
        <v>275</v>
      </c>
      <c r="AH7" s="143" t="s">
        <v>62</v>
      </c>
      <c r="AI7" s="143" t="s">
        <v>245</v>
      </c>
      <c r="AJ7" s="143" t="s">
        <v>243</v>
      </c>
      <c r="AK7" s="142">
        <v>45917</v>
      </c>
      <c r="AL7" s="143" t="s">
        <v>276</v>
      </c>
      <c r="AM7" s="149">
        <v>166534</v>
      </c>
      <c r="AN7" s="149">
        <v>0</v>
      </c>
      <c r="AO7" s="149">
        <v>0</v>
      </c>
      <c r="AP7" s="149">
        <v>0</v>
      </c>
      <c r="AQ7" s="149">
        <v>0</v>
      </c>
      <c r="AR7" s="142" t="s">
        <v>188</v>
      </c>
      <c r="AS7" s="149">
        <v>12665.14</v>
      </c>
      <c r="AT7" s="149">
        <v>0</v>
      </c>
      <c r="AU7" s="143" t="s">
        <v>188</v>
      </c>
      <c r="AV7" s="149">
        <v>0</v>
      </c>
      <c r="AW7" s="143" t="s">
        <v>188</v>
      </c>
      <c r="AX7" s="142">
        <v>45958</v>
      </c>
      <c r="AY7" s="143" t="s">
        <v>277</v>
      </c>
    </row>
    <row r="8" spans="1:51" s="151" customFormat="1" ht="288">
      <c r="A8" s="142">
        <v>45056</v>
      </c>
      <c r="B8" s="143">
        <v>2</v>
      </c>
      <c r="C8" s="144" t="s">
        <v>278</v>
      </c>
      <c r="D8" s="144" t="s">
        <v>279</v>
      </c>
      <c r="E8" s="143" t="s">
        <v>280</v>
      </c>
      <c r="F8" s="143" t="s">
        <v>232</v>
      </c>
      <c r="G8" s="143" t="s">
        <v>188</v>
      </c>
      <c r="H8" s="145" t="s">
        <v>189</v>
      </c>
      <c r="I8" s="146" t="s">
        <v>190</v>
      </c>
      <c r="J8" s="147" t="s">
        <v>281</v>
      </c>
      <c r="K8" s="143" t="s">
        <v>192</v>
      </c>
      <c r="L8" s="143" t="s">
        <v>282</v>
      </c>
      <c r="M8" s="143" t="s">
        <v>194</v>
      </c>
      <c r="N8" s="143" t="s">
        <v>283</v>
      </c>
      <c r="O8" s="96" t="s">
        <v>224</v>
      </c>
      <c r="P8" s="143" t="s">
        <v>196</v>
      </c>
      <c r="Q8" s="96" t="s">
        <v>284</v>
      </c>
      <c r="R8" s="143" t="s">
        <v>285</v>
      </c>
      <c r="S8" s="142">
        <v>45126</v>
      </c>
      <c r="T8" s="143" t="s">
        <v>199</v>
      </c>
      <c r="U8" s="143" t="s">
        <v>286</v>
      </c>
      <c r="V8" s="143" t="s">
        <v>287</v>
      </c>
      <c r="W8" s="143" t="s">
        <v>202</v>
      </c>
      <c r="X8" s="143" t="s">
        <v>188</v>
      </c>
      <c r="Y8" s="143" t="s">
        <v>63</v>
      </c>
      <c r="Z8" s="143" t="s">
        <v>288</v>
      </c>
      <c r="AA8" s="142">
        <v>45160</v>
      </c>
      <c r="AB8" s="143" t="s">
        <v>289</v>
      </c>
      <c r="AC8" s="143" t="s">
        <v>63</v>
      </c>
      <c r="AD8" s="143" t="s">
        <v>290</v>
      </c>
      <c r="AE8" s="143" t="s">
        <v>291</v>
      </c>
      <c r="AF8" s="142">
        <v>45437</v>
      </c>
      <c r="AG8" s="143" t="s">
        <v>292</v>
      </c>
      <c r="AH8" s="143" t="s">
        <v>188</v>
      </c>
      <c r="AI8" s="143" t="s">
        <v>188</v>
      </c>
      <c r="AJ8" s="143" t="s">
        <v>188</v>
      </c>
      <c r="AK8" s="143" t="s">
        <v>188</v>
      </c>
      <c r="AL8" s="143" t="s">
        <v>188</v>
      </c>
      <c r="AM8" s="149">
        <v>153000</v>
      </c>
      <c r="AN8" s="149">
        <v>50000</v>
      </c>
      <c r="AO8" s="149">
        <v>94777.61</v>
      </c>
      <c r="AP8" s="149">
        <v>70248.7</v>
      </c>
      <c r="AQ8" s="149">
        <v>0</v>
      </c>
      <c r="AR8" s="142" t="s">
        <v>188</v>
      </c>
      <c r="AS8" s="150">
        <v>96269.6</v>
      </c>
      <c r="AT8" s="149">
        <v>90784.12</v>
      </c>
      <c r="AU8" s="143" t="s">
        <v>11</v>
      </c>
      <c r="AV8" s="150">
        <v>20535.419999999998</v>
      </c>
      <c r="AW8" s="143" t="s">
        <v>188</v>
      </c>
      <c r="AX8" s="142">
        <v>46078</v>
      </c>
      <c r="AY8" s="143" t="s">
        <v>293</v>
      </c>
    </row>
    <row r="9" spans="1:51" s="151" customFormat="1" ht="168">
      <c r="A9" s="97">
        <v>45153</v>
      </c>
      <c r="B9" s="96">
        <v>2</v>
      </c>
      <c r="C9" s="98" t="s">
        <v>294</v>
      </c>
      <c r="D9" s="96" t="s">
        <v>295</v>
      </c>
      <c r="E9" s="143" t="s">
        <v>264</v>
      </c>
      <c r="F9" s="96" t="s">
        <v>232</v>
      </c>
      <c r="G9" s="96" t="s">
        <v>188</v>
      </c>
      <c r="H9" s="145" t="s">
        <v>189</v>
      </c>
      <c r="I9" s="146" t="s">
        <v>190</v>
      </c>
      <c r="J9" s="147" t="s">
        <v>296</v>
      </c>
      <c r="K9" s="96" t="s">
        <v>192</v>
      </c>
      <c r="L9" s="96" t="s">
        <v>193</v>
      </c>
      <c r="M9" s="98" t="s">
        <v>194</v>
      </c>
      <c r="N9" s="96" t="s">
        <v>297</v>
      </c>
      <c r="O9" s="143" t="s">
        <v>85</v>
      </c>
      <c r="P9" s="143" t="s">
        <v>196</v>
      </c>
      <c r="Q9" s="96" t="s">
        <v>298</v>
      </c>
      <c r="R9" s="96" t="s">
        <v>299</v>
      </c>
      <c r="S9" s="97">
        <v>45607</v>
      </c>
      <c r="T9" s="143" t="s">
        <v>300</v>
      </c>
      <c r="U9" s="143" t="s">
        <v>301</v>
      </c>
      <c r="V9" s="143" t="s">
        <v>302</v>
      </c>
      <c r="W9" s="96" t="s">
        <v>202</v>
      </c>
      <c r="X9" s="96" t="s">
        <v>188</v>
      </c>
      <c r="Y9" s="96" t="s">
        <v>63</v>
      </c>
      <c r="Z9" s="96" t="s">
        <v>303</v>
      </c>
      <c r="AA9" s="97">
        <v>45681</v>
      </c>
      <c r="AB9" s="96" t="s">
        <v>304</v>
      </c>
      <c r="AC9" s="96" t="s">
        <v>63</v>
      </c>
      <c r="AD9" s="96" t="s">
        <v>305</v>
      </c>
      <c r="AE9" s="96" t="s">
        <v>224</v>
      </c>
      <c r="AF9" s="97">
        <v>45917</v>
      </c>
      <c r="AG9" s="96" t="s">
        <v>306</v>
      </c>
      <c r="AH9" s="96" t="s">
        <v>208</v>
      </c>
      <c r="AI9" s="96" t="s">
        <v>307</v>
      </c>
      <c r="AJ9" s="96" t="s">
        <v>188</v>
      </c>
      <c r="AK9" s="96" t="s">
        <v>188</v>
      </c>
      <c r="AL9" s="96" t="s">
        <v>188</v>
      </c>
      <c r="AM9" s="100">
        <v>188835</v>
      </c>
      <c r="AN9" s="100">
        <v>135000</v>
      </c>
      <c r="AO9" s="149">
        <v>0</v>
      </c>
      <c r="AP9" s="149">
        <v>0</v>
      </c>
      <c r="AQ9" s="149">
        <v>0</v>
      </c>
      <c r="AR9" s="142" t="s">
        <v>188</v>
      </c>
      <c r="AS9" s="100">
        <v>13133.46</v>
      </c>
      <c r="AT9" s="149">
        <v>0</v>
      </c>
      <c r="AU9" s="143" t="s">
        <v>188</v>
      </c>
      <c r="AV9" s="149">
        <v>0</v>
      </c>
      <c r="AW9" s="143" t="s">
        <v>188</v>
      </c>
      <c r="AX9" s="97">
        <v>46083</v>
      </c>
      <c r="AY9" s="96" t="s">
        <v>308</v>
      </c>
    </row>
    <row r="10" spans="1:51" s="151" customFormat="1" ht="96">
      <c r="A10" s="97">
        <v>45153</v>
      </c>
      <c r="B10" s="143">
        <v>2</v>
      </c>
      <c r="C10" s="98" t="s">
        <v>309</v>
      </c>
      <c r="D10" s="96" t="s">
        <v>310</v>
      </c>
      <c r="E10" s="96" t="s">
        <v>264</v>
      </c>
      <c r="F10" s="96" t="s">
        <v>232</v>
      </c>
      <c r="G10" s="96" t="s">
        <v>188</v>
      </c>
      <c r="H10" s="145" t="s">
        <v>189</v>
      </c>
      <c r="I10" s="146" t="s">
        <v>190</v>
      </c>
      <c r="J10" s="99" t="s">
        <v>311</v>
      </c>
      <c r="K10" s="96" t="s">
        <v>312</v>
      </c>
      <c r="L10" s="96" t="s">
        <v>313</v>
      </c>
      <c r="M10" s="96" t="s">
        <v>266</v>
      </c>
      <c r="N10" s="96" t="s">
        <v>314</v>
      </c>
      <c r="O10" s="96" t="s">
        <v>315</v>
      </c>
      <c r="P10" s="96" t="s">
        <v>196</v>
      </c>
      <c r="Q10" s="96" t="s">
        <v>316</v>
      </c>
      <c r="R10" s="96" t="s">
        <v>317</v>
      </c>
      <c r="S10" s="97">
        <v>45222</v>
      </c>
      <c r="T10" s="143" t="s">
        <v>199</v>
      </c>
      <c r="U10" s="96" t="s">
        <v>318</v>
      </c>
      <c r="V10" s="96" t="s">
        <v>319</v>
      </c>
      <c r="W10" s="96" t="s">
        <v>202</v>
      </c>
      <c r="X10" s="96" t="s">
        <v>188</v>
      </c>
      <c r="Y10" s="96" t="s">
        <v>62</v>
      </c>
      <c r="Z10" s="96" t="s">
        <v>320</v>
      </c>
      <c r="AA10" s="97">
        <v>45287</v>
      </c>
      <c r="AB10" s="96" t="s">
        <v>321</v>
      </c>
      <c r="AC10" s="96" t="s">
        <v>62</v>
      </c>
      <c r="AD10" s="96" t="s">
        <v>322</v>
      </c>
      <c r="AE10" s="96" t="s">
        <v>323</v>
      </c>
      <c r="AF10" s="97">
        <v>45426</v>
      </c>
      <c r="AG10" s="96" t="s">
        <v>324</v>
      </c>
      <c r="AH10" s="96" t="s">
        <v>62</v>
      </c>
      <c r="AI10" s="96" t="s">
        <v>245</v>
      </c>
      <c r="AJ10" s="96" t="s">
        <v>243</v>
      </c>
      <c r="AK10" s="97">
        <v>45684</v>
      </c>
      <c r="AL10" s="96" t="s">
        <v>325</v>
      </c>
      <c r="AM10" s="100">
        <v>170891</v>
      </c>
      <c r="AN10" s="100">
        <v>0</v>
      </c>
      <c r="AO10" s="100">
        <v>0</v>
      </c>
      <c r="AP10" s="100">
        <v>0</v>
      </c>
      <c r="AQ10" s="100">
        <v>0</v>
      </c>
      <c r="AR10" s="142" t="s">
        <v>188</v>
      </c>
      <c r="AS10" s="100">
        <v>0</v>
      </c>
      <c r="AT10" s="100">
        <v>0</v>
      </c>
      <c r="AU10" s="143" t="s">
        <v>188</v>
      </c>
      <c r="AV10" s="100">
        <v>0</v>
      </c>
      <c r="AW10" s="143" t="s">
        <v>188</v>
      </c>
      <c r="AX10" s="97">
        <v>45967</v>
      </c>
      <c r="AY10" s="96" t="s">
        <v>326</v>
      </c>
    </row>
    <row r="11" spans="1:51" s="151" customFormat="1" ht="72">
      <c r="A11" s="142">
        <v>45271</v>
      </c>
      <c r="B11" s="143">
        <v>2</v>
      </c>
      <c r="C11" s="144" t="s">
        <v>327</v>
      </c>
      <c r="D11" s="143" t="s">
        <v>185</v>
      </c>
      <c r="E11" s="143" t="s">
        <v>186</v>
      </c>
      <c r="F11" s="143" t="s">
        <v>187</v>
      </c>
      <c r="G11" s="143" t="s">
        <v>188</v>
      </c>
      <c r="H11" s="145" t="s">
        <v>189</v>
      </c>
      <c r="I11" s="146" t="s">
        <v>190</v>
      </c>
      <c r="J11" s="147" t="s">
        <v>191</v>
      </c>
      <c r="K11" s="143" t="s">
        <v>312</v>
      </c>
      <c r="L11" s="143" t="s">
        <v>328</v>
      </c>
      <c r="M11" s="143" t="s">
        <v>266</v>
      </c>
      <c r="N11" s="143" t="s">
        <v>329</v>
      </c>
      <c r="O11" s="96" t="s">
        <v>315</v>
      </c>
      <c r="P11" s="96" t="s">
        <v>196</v>
      </c>
      <c r="Q11" s="96" t="s">
        <v>330</v>
      </c>
      <c r="R11" s="143" t="s">
        <v>188</v>
      </c>
      <c r="S11" s="142" t="s">
        <v>188</v>
      </c>
      <c r="T11" s="143" t="s">
        <v>188</v>
      </c>
      <c r="U11" s="143" t="s">
        <v>188</v>
      </c>
      <c r="V11" s="143" t="s">
        <v>188</v>
      </c>
      <c r="W11" s="143" t="s">
        <v>188</v>
      </c>
      <c r="X11" s="143" t="s">
        <v>188</v>
      </c>
      <c r="Y11" s="143" t="s">
        <v>188</v>
      </c>
      <c r="Z11" s="143" t="s">
        <v>188</v>
      </c>
      <c r="AA11" s="142" t="s">
        <v>188</v>
      </c>
      <c r="AB11" s="143" t="s">
        <v>188</v>
      </c>
      <c r="AC11" s="143" t="s">
        <v>188</v>
      </c>
      <c r="AD11" s="143" t="s">
        <v>188</v>
      </c>
      <c r="AE11" s="143" t="s">
        <v>188</v>
      </c>
      <c r="AF11" s="142" t="s">
        <v>188</v>
      </c>
      <c r="AG11" s="143" t="s">
        <v>188</v>
      </c>
      <c r="AH11" s="143" t="s">
        <v>188</v>
      </c>
      <c r="AI11" s="143" t="s">
        <v>188</v>
      </c>
      <c r="AJ11" s="143" t="s">
        <v>188</v>
      </c>
      <c r="AK11" s="143" t="s">
        <v>188</v>
      </c>
      <c r="AL11" s="143" t="s">
        <v>188</v>
      </c>
      <c r="AM11" s="149">
        <v>430527.7</v>
      </c>
      <c r="AN11" s="150">
        <v>125339.69</v>
      </c>
      <c r="AO11" s="150">
        <v>353573.33</v>
      </c>
      <c r="AP11" s="150">
        <v>252775</v>
      </c>
      <c r="AQ11" s="149">
        <v>0</v>
      </c>
      <c r="AR11" s="142" t="s">
        <v>188</v>
      </c>
      <c r="AS11" s="150">
        <v>221092.51</v>
      </c>
      <c r="AT11" s="150">
        <v>192346.64</v>
      </c>
      <c r="AU11" s="143" t="s">
        <v>157</v>
      </c>
      <c r="AV11" s="150">
        <v>161226.69</v>
      </c>
      <c r="AW11" s="143" t="s">
        <v>188</v>
      </c>
      <c r="AX11" s="142">
        <v>46094</v>
      </c>
      <c r="AY11" s="144" t="s">
        <v>331</v>
      </c>
    </row>
    <row r="12" spans="1:51" s="151" customFormat="1" ht="168">
      <c r="A12" s="142">
        <v>45279</v>
      </c>
      <c r="B12" s="143">
        <v>2</v>
      </c>
      <c r="C12" s="144" t="s">
        <v>332</v>
      </c>
      <c r="D12" s="143" t="s">
        <v>333</v>
      </c>
      <c r="E12" s="143" t="s">
        <v>264</v>
      </c>
      <c r="F12" s="143" t="s">
        <v>232</v>
      </c>
      <c r="G12" s="143" t="s">
        <v>188</v>
      </c>
      <c r="H12" s="145" t="s">
        <v>189</v>
      </c>
      <c r="I12" s="146" t="s">
        <v>190</v>
      </c>
      <c r="J12" s="147" t="s">
        <v>334</v>
      </c>
      <c r="K12" s="143" t="s">
        <v>312</v>
      </c>
      <c r="L12" s="143" t="s">
        <v>767</v>
      </c>
      <c r="M12" s="143" t="s">
        <v>194</v>
      </c>
      <c r="N12" s="143" t="s">
        <v>252</v>
      </c>
      <c r="O12" s="143" t="s">
        <v>315</v>
      </c>
      <c r="P12" s="143" t="s">
        <v>196</v>
      </c>
      <c r="Q12" s="143" t="s">
        <v>336</v>
      </c>
      <c r="R12" s="143" t="s">
        <v>337</v>
      </c>
      <c r="S12" s="142">
        <v>45415</v>
      </c>
      <c r="T12" s="143" t="s">
        <v>199</v>
      </c>
      <c r="U12" s="143" t="s">
        <v>301</v>
      </c>
      <c r="V12" s="143" t="s">
        <v>338</v>
      </c>
      <c r="W12" s="143" t="s">
        <v>202</v>
      </c>
      <c r="X12" s="143" t="s">
        <v>188</v>
      </c>
      <c r="Y12" s="143" t="s">
        <v>63</v>
      </c>
      <c r="Z12" s="143" t="s">
        <v>339</v>
      </c>
      <c r="AA12" s="142">
        <v>45530</v>
      </c>
      <c r="AB12" s="143" t="s">
        <v>340</v>
      </c>
      <c r="AC12" s="143" t="s">
        <v>63</v>
      </c>
      <c r="AD12" s="143" t="s">
        <v>341</v>
      </c>
      <c r="AE12" s="143" t="s">
        <v>342</v>
      </c>
      <c r="AF12" s="142">
        <v>45707</v>
      </c>
      <c r="AG12" s="143" t="s">
        <v>343</v>
      </c>
      <c r="AH12" s="143" t="s">
        <v>63</v>
      </c>
      <c r="AI12" s="143" t="s">
        <v>344</v>
      </c>
      <c r="AJ12" s="143" t="s">
        <v>345</v>
      </c>
      <c r="AK12" s="148">
        <v>45926</v>
      </c>
      <c r="AL12" s="143" t="s">
        <v>346</v>
      </c>
      <c r="AM12" s="149">
        <v>204622</v>
      </c>
      <c r="AN12" s="149">
        <v>25000</v>
      </c>
      <c r="AO12" s="149">
        <v>0</v>
      </c>
      <c r="AP12" s="149">
        <v>0</v>
      </c>
      <c r="AQ12" s="149">
        <v>0</v>
      </c>
      <c r="AR12" s="142" t="s">
        <v>188</v>
      </c>
      <c r="AS12" s="149">
        <v>25000</v>
      </c>
      <c r="AT12" s="149">
        <v>0</v>
      </c>
      <c r="AU12" s="143" t="s">
        <v>188</v>
      </c>
      <c r="AV12" s="149">
        <v>0</v>
      </c>
      <c r="AW12" s="143" t="s">
        <v>188</v>
      </c>
      <c r="AX12" s="142">
        <v>46130</v>
      </c>
      <c r="AY12" s="143" t="s">
        <v>757</v>
      </c>
    </row>
    <row r="13" spans="1:51" s="151" customFormat="1" ht="96">
      <c r="A13" s="142">
        <v>45291</v>
      </c>
      <c r="B13" s="143">
        <v>9</v>
      </c>
      <c r="C13" s="144" t="s">
        <v>347</v>
      </c>
      <c r="D13" s="142" t="s">
        <v>348</v>
      </c>
      <c r="E13" s="143" t="s">
        <v>349</v>
      </c>
      <c r="F13" s="143" t="s">
        <v>187</v>
      </c>
      <c r="G13" s="143" t="s">
        <v>350</v>
      </c>
      <c r="H13" s="145" t="s">
        <v>189</v>
      </c>
      <c r="I13" s="146" t="s">
        <v>351</v>
      </c>
      <c r="J13" s="147" t="s">
        <v>352</v>
      </c>
      <c r="K13" s="143" t="s">
        <v>353</v>
      </c>
      <c r="L13" s="143" t="s">
        <v>354</v>
      </c>
      <c r="M13" s="143" t="s">
        <v>355</v>
      </c>
      <c r="N13" s="143" t="s">
        <v>356</v>
      </c>
      <c r="O13" s="96" t="s">
        <v>315</v>
      </c>
      <c r="P13" s="143" t="s">
        <v>357</v>
      </c>
      <c r="Q13" s="143" t="s">
        <v>358</v>
      </c>
      <c r="R13" s="143" t="s">
        <v>188</v>
      </c>
      <c r="S13" s="142" t="s">
        <v>188</v>
      </c>
      <c r="T13" s="143" t="s">
        <v>188</v>
      </c>
      <c r="U13" s="143" t="s">
        <v>188</v>
      </c>
      <c r="V13" s="143" t="s">
        <v>188</v>
      </c>
      <c r="W13" s="143" t="s">
        <v>188</v>
      </c>
      <c r="X13" s="143" t="s">
        <v>188</v>
      </c>
      <c r="Y13" s="143" t="s">
        <v>188</v>
      </c>
      <c r="Z13" s="143" t="s">
        <v>188</v>
      </c>
      <c r="AA13" s="142" t="s">
        <v>188</v>
      </c>
      <c r="AB13" s="143" t="s">
        <v>188</v>
      </c>
      <c r="AC13" s="143" t="s">
        <v>188</v>
      </c>
      <c r="AD13" s="143" t="s">
        <v>188</v>
      </c>
      <c r="AE13" s="143" t="s">
        <v>188</v>
      </c>
      <c r="AF13" s="142" t="s">
        <v>188</v>
      </c>
      <c r="AG13" s="143" t="s">
        <v>188</v>
      </c>
      <c r="AH13" s="143" t="s">
        <v>188</v>
      </c>
      <c r="AI13" s="143" t="s">
        <v>188</v>
      </c>
      <c r="AJ13" s="143" t="s">
        <v>188</v>
      </c>
      <c r="AK13" s="143" t="s">
        <v>188</v>
      </c>
      <c r="AL13" s="143" t="s">
        <v>188</v>
      </c>
      <c r="AM13" s="152">
        <v>25322.560000000001</v>
      </c>
      <c r="AN13" s="149">
        <v>0</v>
      </c>
      <c r="AO13" s="149">
        <v>0</v>
      </c>
      <c r="AP13" s="149">
        <v>0</v>
      </c>
      <c r="AQ13" s="149">
        <v>0</v>
      </c>
      <c r="AR13" s="142" t="s">
        <v>188</v>
      </c>
      <c r="AS13" s="149">
        <v>0</v>
      </c>
      <c r="AT13" s="149">
        <v>0</v>
      </c>
      <c r="AU13" s="143" t="s">
        <v>188</v>
      </c>
      <c r="AV13" s="149">
        <v>0</v>
      </c>
      <c r="AW13" s="143" t="s">
        <v>188</v>
      </c>
      <c r="AX13" s="142">
        <v>45826</v>
      </c>
      <c r="AY13" s="143" t="s">
        <v>359</v>
      </c>
    </row>
    <row r="14" spans="1:51" s="151" customFormat="1" ht="168">
      <c r="A14" s="142">
        <v>45306</v>
      </c>
      <c r="B14" s="143">
        <v>16</v>
      </c>
      <c r="C14" s="144" t="s">
        <v>360</v>
      </c>
      <c r="D14" s="144" t="s">
        <v>361</v>
      </c>
      <c r="E14" s="143" t="s">
        <v>362</v>
      </c>
      <c r="F14" s="143" t="s">
        <v>232</v>
      </c>
      <c r="G14" s="143" t="s">
        <v>363</v>
      </c>
      <c r="H14" s="145" t="s">
        <v>189</v>
      </c>
      <c r="I14" s="146" t="s">
        <v>351</v>
      </c>
      <c r="J14" s="147" t="s">
        <v>364</v>
      </c>
      <c r="K14" s="143" t="s">
        <v>312</v>
      </c>
      <c r="L14" s="143" t="s">
        <v>313</v>
      </c>
      <c r="M14" s="143" t="s">
        <v>194</v>
      </c>
      <c r="N14" s="143" t="s">
        <v>365</v>
      </c>
      <c r="O14" s="96" t="s">
        <v>315</v>
      </c>
      <c r="P14" s="143" t="s">
        <v>366</v>
      </c>
      <c r="Q14" s="143" t="s">
        <v>367</v>
      </c>
      <c r="R14" s="143" t="s">
        <v>368</v>
      </c>
      <c r="S14" s="142">
        <v>45497</v>
      </c>
      <c r="T14" s="143" t="s">
        <v>369</v>
      </c>
      <c r="U14" s="143" t="s">
        <v>188</v>
      </c>
      <c r="V14" s="143" t="s">
        <v>370</v>
      </c>
      <c r="W14" s="143" t="s">
        <v>202</v>
      </c>
      <c r="X14" s="143" t="s">
        <v>188</v>
      </c>
      <c r="Y14" s="143" t="s">
        <v>63</v>
      </c>
      <c r="Z14" s="143" t="s">
        <v>371</v>
      </c>
      <c r="AA14" s="142">
        <v>45565</v>
      </c>
      <c r="AB14" s="143" t="s">
        <v>372</v>
      </c>
      <c r="AC14" s="143" t="s">
        <v>62</v>
      </c>
      <c r="AD14" s="143" t="s">
        <v>373</v>
      </c>
      <c r="AE14" s="143" t="s">
        <v>224</v>
      </c>
      <c r="AF14" s="142">
        <v>45929</v>
      </c>
      <c r="AG14" s="143" t="s">
        <v>374</v>
      </c>
      <c r="AH14" s="143" t="s">
        <v>188</v>
      </c>
      <c r="AI14" s="143" t="s">
        <v>188</v>
      </c>
      <c r="AJ14" s="143" t="s">
        <v>188</v>
      </c>
      <c r="AK14" s="143" t="s">
        <v>188</v>
      </c>
      <c r="AL14" s="143" t="s">
        <v>188</v>
      </c>
      <c r="AM14" s="149">
        <v>149452.32999999999</v>
      </c>
      <c r="AN14" s="149">
        <v>179.45</v>
      </c>
      <c r="AO14" s="149">
        <v>0</v>
      </c>
      <c r="AP14" s="149">
        <v>0</v>
      </c>
      <c r="AQ14" s="149">
        <v>0</v>
      </c>
      <c r="AR14" s="142" t="s">
        <v>188</v>
      </c>
      <c r="AS14" s="149">
        <v>0</v>
      </c>
      <c r="AT14" s="149">
        <v>0</v>
      </c>
      <c r="AU14" s="143" t="s">
        <v>188</v>
      </c>
      <c r="AV14" s="149">
        <v>0</v>
      </c>
      <c r="AW14" s="143" t="s">
        <v>188</v>
      </c>
      <c r="AX14" s="142">
        <v>46083</v>
      </c>
      <c r="AY14" s="144" t="s">
        <v>375</v>
      </c>
    </row>
    <row r="15" spans="1:51" s="151" customFormat="1" ht="120">
      <c r="A15" s="142">
        <v>45357</v>
      </c>
      <c r="B15" s="143">
        <v>5</v>
      </c>
      <c r="C15" s="144" t="s">
        <v>376</v>
      </c>
      <c r="D15" s="143" t="s">
        <v>377</v>
      </c>
      <c r="E15" s="143" t="s">
        <v>378</v>
      </c>
      <c r="F15" s="143" t="s">
        <v>232</v>
      </c>
      <c r="G15" s="143" t="s">
        <v>363</v>
      </c>
      <c r="H15" s="145" t="s">
        <v>189</v>
      </c>
      <c r="I15" s="146" t="s">
        <v>351</v>
      </c>
      <c r="J15" s="147" t="s">
        <v>364</v>
      </c>
      <c r="K15" s="143" t="s">
        <v>312</v>
      </c>
      <c r="L15" s="143" t="s">
        <v>328</v>
      </c>
      <c r="M15" s="143" t="s">
        <v>266</v>
      </c>
      <c r="N15" s="143" t="s">
        <v>379</v>
      </c>
      <c r="O15" s="96" t="s">
        <v>315</v>
      </c>
      <c r="P15" s="96" t="s">
        <v>380</v>
      </c>
      <c r="Q15" s="143" t="s">
        <v>381</v>
      </c>
      <c r="R15" s="143" t="s">
        <v>382</v>
      </c>
      <c r="S15" s="142">
        <v>45545</v>
      </c>
      <c r="T15" s="143" t="s">
        <v>383</v>
      </c>
      <c r="U15" s="143" t="s">
        <v>188</v>
      </c>
      <c r="V15" s="143" t="s">
        <v>188</v>
      </c>
      <c r="W15" s="143" t="s">
        <v>202</v>
      </c>
      <c r="X15" s="143" t="s">
        <v>188</v>
      </c>
      <c r="Y15" s="143" t="s">
        <v>63</v>
      </c>
      <c r="Z15" s="143" t="s">
        <v>384</v>
      </c>
      <c r="AA15" s="142">
        <v>45603</v>
      </c>
      <c r="AB15" s="143" t="s">
        <v>385</v>
      </c>
      <c r="AC15" s="143" t="s">
        <v>62</v>
      </c>
      <c r="AD15" s="143" t="s">
        <v>386</v>
      </c>
      <c r="AE15" s="143" t="s">
        <v>387</v>
      </c>
      <c r="AF15" s="142">
        <v>45753</v>
      </c>
      <c r="AG15" s="143" t="s">
        <v>388</v>
      </c>
      <c r="AH15" s="143" t="s">
        <v>188</v>
      </c>
      <c r="AI15" s="143" t="s">
        <v>188</v>
      </c>
      <c r="AJ15" s="143" t="s">
        <v>188</v>
      </c>
      <c r="AK15" s="143" t="s">
        <v>188</v>
      </c>
      <c r="AL15" s="143" t="s">
        <v>188</v>
      </c>
      <c r="AM15" s="149">
        <v>42332.97</v>
      </c>
      <c r="AN15" s="149">
        <v>0</v>
      </c>
      <c r="AO15" s="149">
        <v>0</v>
      </c>
      <c r="AP15" s="149">
        <v>0</v>
      </c>
      <c r="AQ15" s="149">
        <v>0</v>
      </c>
      <c r="AR15" s="142" t="s">
        <v>188</v>
      </c>
      <c r="AS15" s="149">
        <v>0</v>
      </c>
      <c r="AT15" s="149">
        <v>0</v>
      </c>
      <c r="AU15" s="149" t="s">
        <v>188</v>
      </c>
      <c r="AV15" s="149">
        <v>0</v>
      </c>
      <c r="AW15" s="143" t="s">
        <v>188</v>
      </c>
      <c r="AX15" s="142">
        <v>46098</v>
      </c>
      <c r="AY15" s="143" t="s">
        <v>389</v>
      </c>
    </row>
    <row r="16" spans="1:51" s="151" customFormat="1" ht="84">
      <c r="A16" s="142">
        <v>45456</v>
      </c>
      <c r="B16" s="143">
        <v>2</v>
      </c>
      <c r="C16" s="144" t="s">
        <v>390</v>
      </c>
      <c r="D16" s="143" t="s">
        <v>263</v>
      </c>
      <c r="E16" s="143" t="s">
        <v>264</v>
      </c>
      <c r="F16" s="143" t="s">
        <v>232</v>
      </c>
      <c r="G16" s="143" t="s">
        <v>188</v>
      </c>
      <c r="H16" s="145" t="s">
        <v>189</v>
      </c>
      <c r="I16" s="146" t="s">
        <v>190</v>
      </c>
      <c r="J16" s="147" t="s">
        <v>265</v>
      </c>
      <c r="K16" s="143" t="s">
        <v>312</v>
      </c>
      <c r="L16" s="144" t="s">
        <v>391</v>
      </c>
      <c r="M16" s="143" t="s">
        <v>194</v>
      </c>
      <c r="N16" s="143" t="s">
        <v>267</v>
      </c>
      <c r="O16" s="96" t="s">
        <v>315</v>
      </c>
      <c r="P16" s="143" t="s">
        <v>196</v>
      </c>
      <c r="Q16" s="143" t="s">
        <v>330</v>
      </c>
      <c r="R16" s="143" t="s">
        <v>188</v>
      </c>
      <c r="S16" s="142" t="s">
        <v>188</v>
      </c>
      <c r="T16" s="143" t="s">
        <v>188</v>
      </c>
      <c r="U16" s="143" t="s">
        <v>188</v>
      </c>
      <c r="V16" s="143" t="s">
        <v>188</v>
      </c>
      <c r="W16" s="143" t="s">
        <v>202</v>
      </c>
      <c r="X16" s="143" t="s">
        <v>188</v>
      </c>
      <c r="Y16" s="143" t="s">
        <v>188</v>
      </c>
      <c r="Z16" s="143" t="s">
        <v>188</v>
      </c>
      <c r="AA16" s="142" t="s">
        <v>188</v>
      </c>
      <c r="AB16" s="143" t="s">
        <v>188</v>
      </c>
      <c r="AC16" s="143" t="s">
        <v>188</v>
      </c>
      <c r="AD16" s="143" t="s">
        <v>188</v>
      </c>
      <c r="AE16" s="143" t="s">
        <v>188</v>
      </c>
      <c r="AF16" s="142" t="s">
        <v>188</v>
      </c>
      <c r="AG16" s="143" t="s">
        <v>188</v>
      </c>
      <c r="AH16" s="143" t="s">
        <v>188</v>
      </c>
      <c r="AI16" s="143" t="s">
        <v>188</v>
      </c>
      <c r="AJ16" s="143" t="s">
        <v>188</v>
      </c>
      <c r="AK16" s="143" t="s">
        <v>188</v>
      </c>
      <c r="AL16" s="143" t="s">
        <v>188</v>
      </c>
      <c r="AM16" s="149">
        <v>126957.39</v>
      </c>
      <c r="AN16" s="149">
        <v>154766.76</v>
      </c>
      <c r="AO16" s="149">
        <v>154766.76</v>
      </c>
      <c r="AP16" s="150">
        <v>116802.12</v>
      </c>
      <c r="AQ16" s="149">
        <v>0</v>
      </c>
      <c r="AR16" s="142" t="s">
        <v>188</v>
      </c>
      <c r="AS16" s="149">
        <v>144341.28</v>
      </c>
      <c r="AT16" s="150">
        <v>154766.76</v>
      </c>
      <c r="AU16" s="143" t="s">
        <v>11</v>
      </c>
      <c r="AV16" s="149">
        <v>37964.639999999999</v>
      </c>
      <c r="AW16" s="143" t="s">
        <v>188</v>
      </c>
      <c r="AX16" s="142">
        <v>45520</v>
      </c>
      <c r="AY16" s="143" t="s">
        <v>392</v>
      </c>
    </row>
    <row r="17" spans="1:51" s="151" customFormat="1" ht="120">
      <c r="A17" s="97">
        <v>45639</v>
      </c>
      <c r="B17" s="96">
        <v>2</v>
      </c>
      <c r="C17" s="98" t="s">
        <v>393</v>
      </c>
      <c r="D17" s="96" t="s">
        <v>333</v>
      </c>
      <c r="E17" s="96" t="s">
        <v>264</v>
      </c>
      <c r="F17" s="143" t="s">
        <v>232</v>
      </c>
      <c r="G17" s="96" t="s">
        <v>188</v>
      </c>
      <c r="H17" s="145" t="s">
        <v>189</v>
      </c>
      <c r="I17" s="146" t="s">
        <v>190</v>
      </c>
      <c r="J17" s="147" t="s">
        <v>334</v>
      </c>
      <c r="K17" s="96" t="s">
        <v>192</v>
      </c>
      <c r="L17" s="96" t="s">
        <v>193</v>
      </c>
      <c r="M17" s="96" t="s">
        <v>194</v>
      </c>
      <c r="N17" s="96" t="s">
        <v>252</v>
      </c>
      <c r="O17" s="96" t="s">
        <v>224</v>
      </c>
      <c r="P17" s="143" t="s">
        <v>196</v>
      </c>
      <c r="Q17" s="96" t="s">
        <v>330</v>
      </c>
      <c r="R17" s="96" t="s">
        <v>188</v>
      </c>
      <c r="S17" s="97" t="s">
        <v>188</v>
      </c>
      <c r="T17" s="96" t="s">
        <v>188</v>
      </c>
      <c r="U17" s="96" t="s">
        <v>188</v>
      </c>
      <c r="V17" s="96" t="s">
        <v>188</v>
      </c>
      <c r="W17" s="96" t="s">
        <v>202</v>
      </c>
      <c r="X17" s="96" t="s">
        <v>188</v>
      </c>
      <c r="Y17" s="96" t="s">
        <v>63</v>
      </c>
      <c r="Z17" s="96" t="s">
        <v>339</v>
      </c>
      <c r="AA17" s="97">
        <v>45762</v>
      </c>
      <c r="AB17" s="96" t="s">
        <v>394</v>
      </c>
      <c r="AC17" s="96" t="s">
        <v>63</v>
      </c>
      <c r="AD17" s="96" t="s">
        <v>395</v>
      </c>
      <c r="AE17" s="96" t="s">
        <v>396</v>
      </c>
      <c r="AF17" s="97">
        <v>45896</v>
      </c>
      <c r="AG17" s="98" t="s">
        <v>397</v>
      </c>
      <c r="AH17" s="96" t="s">
        <v>208</v>
      </c>
      <c r="AI17" s="96" t="s">
        <v>188</v>
      </c>
      <c r="AJ17" s="96" t="s">
        <v>188</v>
      </c>
      <c r="AK17" s="96" t="s">
        <v>188</v>
      </c>
      <c r="AL17" s="96" t="s">
        <v>188</v>
      </c>
      <c r="AM17" s="100">
        <v>64589.79</v>
      </c>
      <c r="AN17" s="100">
        <v>82609.98</v>
      </c>
      <c r="AO17" s="100">
        <v>82609.98</v>
      </c>
      <c r="AP17" s="101">
        <v>49411.45</v>
      </c>
      <c r="AQ17" s="100">
        <v>0</v>
      </c>
      <c r="AR17" s="142" t="s">
        <v>188</v>
      </c>
      <c r="AS17" s="100">
        <v>82609.98</v>
      </c>
      <c r="AT17" s="100">
        <v>82609.98</v>
      </c>
      <c r="AU17" s="96" t="s">
        <v>11</v>
      </c>
      <c r="AV17" s="101">
        <v>33198.53</v>
      </c>
      <c r="AW17" s="143" t="s">
        <v>188</v>
      </c>
      <c r="AX17" s="97">
        <v>46129</v>
      </c>
      <c r="AY17" s="96" t="s">
        <v>750</v>
      </c>
    </row>
    <row r="18" spans="1:51" s="151" customFormat="1" ht="132">
      <c r="A18" s="142">
        <v>45721</v>
      </c>
      <c r="B18" s="143">
        <v>2</v>
      </c>
      <c r="C18" s="144" t="s">
        <v>398</v>
      </c>
      <c r="D18" s="143" t="s">
        <v>399</v>
      </c>
      <c r="E18" s="143" t="s">
        <v>400</v>
      </c>
      <c r="F18" s="143" t="s">
        <v>232</v>
      </c>
      <c r="G18" s="143" t="s">
        <v>188</v>
      </c>
      <c r="H18" s="145" t="s">
        <v>189</v>
      </c>
      <c r="I18" s="146" t="s">
        <v>190</v>
      </c>
      <c r="J18" s="147" t="s">
        <v>334</v>
      </c>
      <c r="K18" s="143" t="s">
        <v>192</v>
      </c>
      <c r="L18" s="143" t="s">
        <v>401</v>
      </c>
      <c r="M18" s="143" t="s">
        <v>355</v>
      </c>
      <c r="N18" s="143" t="s">
        <v>402</v>
      </c>
      <c r="O18" s="96" t="s">
        <v>224</v>
      </c>
      <c r="P18" s="143" t="s">
        <v>196</v>
      </c>
      <c r="Q18" s="143" t="s">
        <v>403</v>
      </c>
      <c r="R18" s="143" t="s">
        <v>404</v>
      </c>
      <c r="S18" s="142">
        <v>45855</v>
      </c>
      <c r="T18" s="143" t="s">
        <v>199</v>
      </c>
      <c r="U18" s="143" t="s">
        <v>405</v>
      </c>
      <c r="V18" s="143" t="s">
        <v>406</v>
      </c>
      <c r="W18" s="143" t="s">
        <v>407</v>
      </c>
      <c r="X18" s="143" t="s">
        <v>408</v>
      </c>
      <c r="Y18" s="143" t="s">
        <v>63</v>
      </c>
      <c r="Z18" s="143" t="s">
        <v>409</v>
      </c>
      <c r="AA18" s="142">
        <v>45904</v>
      </c>
      <c r="AB18" s="143" t="s">
        <v>410</v>
      </c>
      <c r="AC18" s="143" t="s">
        <v>208</v>
      </c>
      <c r="AD18" s="143" t="s">
        <v>411</v>
      </c>
      <c r="AE18" s="143" t="s">
        <v>323</v>
      </c>
      <c r="AF18" s="142" t="s">
        <v>188</v>
      </c>
      <c r="AG18" s="143" t="s">
        <v>188</v>
      </c>
      <c r="AH18" s="143" t="s">
        <v>188</v>
      </c>
      <c r="AI18" s="143" t="s">
        <v>188</v>
      </c>
      <c r="AJ18" s="143" t="s">
        <v>188</v>
      </c>
      <c r="AK18" s="143" t="s">
        <v>188</v>
      </c>
      <c r="AL18" s="143" t="s">
        <v>188</v>
      </c>
      <c r="AM18" s="149">
        <v>908186.76</v>
      </c>
      <c r="AN18" s="149">
        <v>100000</v>
      </c>
      <c r="AO18" s="149">
        <v>0</v>
      </c>
      <c r="AP18" s="149">
        <v>0</v>
      </c>
      <c r="AQ18" s="149">
        <v>0</v>
      </c>
      <c r="AR18" s="142" t="s">
        <v>188</v>
      </c>
      <c r="AS18" s="149">
        <v>13813.83</v>
      </c>
      <c r="AT18" s="149">
        <v>0</v>
      </c>
      <c r="AU18" s="143" t="s">
        <v>188</v>
      </c>
      <c r="AV18" s="149">
        <v>0</v>
      </c>
      <c r="AW18" s="143" t="s">
        <v>188</v>
      </c>
      <c r="AX18" s="142">
        <v>46029</v>
      </c>
      <c r="AY18" s="143" t="s">
        <v>412</v>
      </c>
    </row>
    <row r="19" spans="1:51" s="151" customFormat="1" ht="228">
      <c r="A19" s="142">
        <v>45733</v>
      </c>
      <c r="B19" s="143">
        <v>2</v>
      </c>
      <c r="C19" s="144" t="s">
        <v>413</v>
      </c>
      <c r="D19" s="153" t="s">
        <v>414</v>
      </c>
      <c r="E19" s="143" t="s">
        <v>415</v>
      </c>
      <c r="F19" s="143" t="s">
        <v>187</v>
      </c>
      <c r="G19" s="143" t="s">
        <v>188</v>
      </c>
      <c r="H19" s="145" t="s">
        <v>189</v>
      </c>
      <c r="I19" s="146" t="s">
        <v>190</v>
      </c>
      <c r="J19" s="147" t="s">
        <v>416</v>
      </c>
      <c r="K19" s="144" t="s">
        <v>312</v>
      </c>
      <c r="L19" s="143" t="s">
        <v>335</v>
      </c>
      <c r="M19" s="143" t="s">
        <v>194</v>
      </c>
      <c r="N19" s="143" t="s">
        <v>417</v>
      </c>
      <c r="O19" s="96" t="s">
        <v>315</v>
      </c>
      <c r="P19" s="143" t="s">
        <v>196</v>
      </c>
      <c r="Q19" s="143" t="s">
        <v>418</v>
      </c>
      <c r="R19" s="143" t="s">
        <v>419</v>
      </c>
      <c r="S19" s="142">
        <v>45770</v>
      </c>
      <c r="T19" s="143" t="s">
        <v>420</v>
      </c>
      <c r="U19" s="143" t="s">
        <v>188</v>
      </c>
      <c r="V19" s="143" t="s">
        <v>188</v>
      </c>
      <c r="W19" s="143" t="s">
        <v>202</v>
      </c>
      <c r="X19" s="143" t="s">
        <v>188</v>
      </c>
      <c r="Y19" s="143" t="s">
        <v>63</v>
      </c>
      <c r="Z19" s="143" t="s">
        <v>421</v>
      </c>
      <c r="AA19" s="142">
        <v>45777</v>
      </c>
      <c r="AB19" s="143" t="s">
        <v>422</v>
      </c>
      <c r="AC19" s="143" t="s">
        <v>63</v>
      </c>
      <c r="AD19" s="143" t="s">
        <v>423</v>
      </c>
      <c r="AE19" s="143" t="s">
        <v>291</v>
      </c>
      <c r="AF19" s="142">
        <v>45881</v>
      </c>
      <c r="AG19" s="143" t="s">
        <v>424</v>
      </c>
      <c r="AH19" s="143" t="s">
        <v>208</v>
      </c>
      <c r="AI19" s="143" t="s">
        <v>188</v>
      </c>
      <c r="AJ19" s="143" t="s">
        <v>188</v>
      </c>
      <c r="AK19" s="143" t="s">
        <v>188</v>
      </c>
      <c r="AL19" s="143" t="s">
        <v>188</v>
      </c>
      <c r="AM19" s="149">
        <v>48240.89</v>
      </c>
      <c r="AN19" s="149">
        <v>3943.83</v>
      </c>
      <c r="AO19" s="149">
        <v>0</v>
      </c>
      <c r="AP19" s="150">
        <v>0</v>
      </c>
      <c r="AQ19" s="149">
        <v>0</v>
      </c>
      <c r="AR19" s="142" t="s">
        <v>188</v>
      </c>
      <c r="AS19" s="149">
        <v>3943.83</v>
      </c>
      <c r="AT19" s="149">
        <v>3943.83</v>
      </c>
      <c r="AU19" s="143" t="s">
        <v>157</v>
      </c>
      <c r="AV19" s="149">
        <v>0</v>
      </c>
      <c r="AW19" s="143" t="s">
        <v>188</v>
      </c>
      <c r="AX19" s="142">
        <v>46106</v>
      </c>
      <c r="AY19" s="143" t="s">
        <v>425</v>
      </c>
    </row>
    <row r="20" spans="1:51" s="151" customFormat="1" ht="96">
      <c r="A20" s="142">
        <v>45734</v>
      </c>
      <c r="B20" s="143">
        <v>2</v>
      </c>
      <c r="C20" s="144" t="s">
        <v>426</v>
      </c>
      <c r="D20" s="143" t="s">
        <v>427</v>
      </c>
      <c r="E20" s="143" t="s">
        <v>428</v>
      </c>
      <c r="F20" s="143" t="s">
        <v>232</v>
      </c>
      <c r="G20" s="143" t="s">
        <v>188</v>
      </c>
      <c r="H20" s="145" t="s">
        <v>189</v>
      </c>
      <c r="I20" s="146" t="s">
        <v>190</v>
      </c>
      <c r="J20" s="147" t="s">
        <v>429</v>
      </c>
      <c r="K20" s="143" t="s">
        <v>312</v>
      </c>
      <c r="L20" s="143" t="s">
        <v>313</v>
      </c>
      <c r="M20" s="143" t="s">
        <v>194</v>
      </c>
      <c r="N20" s="143" t="s">
        <v>430</v>
      </c>
      <c r="O20" s="96" t="s">
        <v>315</v>
      </c>
      <c r="P20" s="143" t="s">
        <v>196</v>
      </c>
      <c r="Q20" s="143" t="s">
        <v>431</v>
      </c>
      <c r="R20" s="143" t="s">
        <v>432</v>
      </c>
      <c r="S20" s="142">
        <v>45817</v>
      </c>
      <c r="T20" s="143" t="s">
        <v>433</v>
      </c>
      <c r="U20" s="143" t="s">
        <v>188</v>
      </c>
      <c r="V20" s="143" t="s">
        <v>188</v>
      </c>
      <c r="W20" s="143" t="s">
        <v>202</v>
      </c>
      <c r="X20" s="143" t="s">
        <v>188</v>
      </c>
      <c r="Y20" s="143" t="s">
        <v>63</v>
      </c>
      <c r="Z20" s="143" t="s">
        <v>434</v>
      </c>
      <c r="AA20" s="142">
        <v>45845</v>
      </c>
      <c r="AB20" s="143" t="s">
        <v>435</v>
      </c>
      <c r="AC20" s="143" t="s">
        <v>63</v>
      </c>
      <c r="AD20" s="143" t="s">
        <v>436</v>
      </c>
      <c r="AE20" s="143" t="s">
        <v>437</v>
      </c>
      <c r="AF20" s="142">
        <v>46000</v>
      </c>
      <c r="AG20" s="143" t="s">
        <v>438</v>
      </c>
      <c r="AH20" s="143" t="s">
        <v>188</v>
      </c>
      <c r="AI20" s="143" t="s">
        <v>188</v>
      </c>
      <c r="AJ20" s="143" t="s">
        <v>188</v>
      </c>
      <c r="AK20" s="143" t="s">
        <v>188</v>
      </c>
      <c r="AL20" s="143" t="s">
        <v>188</v>
      </c>
      <c r="AM20" s="149">
        <v>108794.5</v>
      </c>
      <c r="AN20" s="149">
        <v>35000</v>
      </c>
      <c r="AO20" s="149">
        <v>108794.5</v>
      </c>
      <c r="AP20" s="149">
        <v>0</v>
      </c>
      <c r="AQ20" s="149">
        <v>0</v>
      </c>
      <c r="AR20" s="142" t="s">
        <v>188</v>
      </c>
      <c r="AS20" s="149">
        <v>13133.46</v>
      </c>
      <c r="AT20" s="149">
        <v>0</v>
      </c>
      <c r="AU20" s="143" t="s">
        <v>188</v>
      </c>
      <c r="AV20" s="149">
        <v>0</v>
      </c>
      <c r="AW20" s="143" t="s">
        <v>188</v>
      </c>
      <c r="AX20" s="142">
        <v>46121</v>
      </c>
      <c r="AY20" s="143" t="s">
        <v>758</v>
      </c>
    </row>
    <row r="21" spans="1:51" s="151" customFormat="1" ht="120">
      <c r="A21" s="142">
        <v>45736</v>
      </c>
      <c r="B21" s="143">
        <v>4</v>
      </c>
      <c r="C21" s="144" t="s">
        <v>439</v>
      </c>
      <c r="D21" s="143" t="s">
        <v>440</v>
      </c>
      <c r="E21" s="143" t="s">
        <v>441</v>
      </c>
      <c r="F21" s="143" t="s">
        <v>232</v>
      </c>
      <c r="G21" s="143" t="s">
        <v>442</v>
      </c>
      <c r="H21" s="145" t="s">
        <v>189</v>
      </c>
      <c r="I21" s="146" t="s">
        <v>351</v>
      </c>
      <c r="J21" s="147" t="s">
        <v>364</v>
      </c>
      <c r="K21" s="143" t="s">
        <v>353</v>
      </c>
      <c r="L21" s="143" t="s">
        <v>443</v>
      </c>
      <c r="M21" s="143" t="s">
        <v>266</v>
      </c>
      <c r="N21" s="143" t="s">
        <v>444</v>
      </c>
      <c r="O21" s="96" t="s">
        <v>315</v>
      </c>
      <c r="P21" s="143" t="s">
        <v>445</v>
      </c>
      <c r="Q21" s="143" t="s">
        <v>446</v>
      </c>
      <c r="R21" s="143" t="s">
        <v>447</v>
      </c>
      <c r="S21" s="142">
        <v>45834</v>
      </c>
      <c r="T21" s="143" t="s">
        <v>448</v>
      </c>
      <c r="U21" s="143" t="s">
        <v>188</v>
      </c>
      <c r="V21" s="143" t="s">
        <v>188</v>
      </c>
      <c r="W21" s="143" t="s">
        <v>202</v>
      </c>
      <c r="X21" s="143" t="s">
        <v>188</v>
      </c>
      <c r="Y21" s="143" t="s">
        <v>188</v>
      </c>
      <c r="Z21" s="143" t="s">
        <v>188</v>
      </c>
      <c r="AA21" s="142" t="s">
        <v>188</v>
      </c>
      <c r="AB21" s="143" t="s">
        <v>188</v>
      </c>
      <c r="AC21" s="143" t="s">
        <v>188</v>
      </c>
      <c r="AD21" s="143" t="s">
        <v>188</v>
      </c>
      <c r="AE21" s="143" t="s">
        <v>188</v>
      </c>
      <c r="AF21" s="142" t="s">
        <v>188</v>
      </c>
      <c r="AG21" s="143" t="s">
        <v>188</v>
      </c>
      <c r="AH21" s="143" t="s">
        <v>188</v>
      </c>
      <c r="AI21" s="143" t="s">
        <v>188</v>
      </c>
      <c r="AJ21" s="143" t="s">
        <v>188</v>
      </c>
      <c r="AK21" s="143" t="s">
        <v>188</v>
      </c>
      <c r="AL21" s="143" t="s">
        <v>188</v>
      </c>
      <c r="AM21" s="149">
        <v>53366.67</v>
      </c>
      <c r="AN21" s="149">
        <v>0</v>
      </c>
      <c r="AO21" s="149">
        <v>0</v>
      </c>
      <c r="AP21" s="149">
        <v>0</v>
      </c>
      <c r="AQ21" s="149">
        <v>25000</v>
      </c>
      <c r="AR21" s="142">
        <v>45848</v>
      </c>
      <c r="AS21" s="149">
        <v>0</v>
      </c>
      <c r="AT21" s="149">
        <v>0</v>
      </c>
      <c r="AU21" s="143" t="s">
        <v>188</v>
      </c>
      <c r="AV21" s="149">
        <v>0</v>
      </c>
      <c r="AW21" s="143" t="s">
        <v>188</v>
      </c>
      <c r="AX21" s="142">
        <v>46001</v>
      </c>
      <c r="AY21" s="143" t="s">
        <v>449</v>
      </c>
    </row>
    <row r="22" spans="1:51" s="151" customFormat="1" ht="72">
      <c r="A22" s="142">
        <v>45761</v>
      </c>
      <c r="B22" s="143">
        <v>2</v>
      </c>
      <c r="C22" s="144" t="s">
        <v>450</v>
      </c>
      <c r="D22" s="143" t="s">
        <v>451</v>
      </c>
      <c r="E22" s="143" t="s">
        <v>452</v>
      </c>
      <c r="F22" s="143" t="s">
        <v>187</v>
      </c>
      <c r="G22" s="143" t="s">
        <v>188</v>
      </c>
      <c r="H22" s="145" t="s">
        <v>189</v>
      </c>
      <c r="I22" s="146" t="s">
        <v>190</v>
      </c>
      <c r="J22" s="147" t="s">
        <v>453</v>
      </c>
      <c r="K22" s="143" t="s">
        <v>312</v>
      </c>
      <c r="L22" s="143" t="s">
        <v>313</v>
      </c>
      <c r="M22" s="143" t="s">
        <v>266</v>
      </c>
      <c r="N22" s="143" t="s">
        <v>430</v>
      </c>
      <c r="O22" s="96" t="s">
        <v>315</v>
      </c>
      <c r="P22" s="143" t="s">
        <v>196</v>
      </c>
      <c r="Q22" s="143" t="s">
        <v>454</v>
      </c>
      <c r="R22" s="143" t="s">
        <v>455</v>
      </c>
      <c r="S22" s="142">
        <v>45799</v>
      </c>
      <c r="T22" s="143" t="s">
        <v>456</v>
      </c>
      <c r="U22" s="143" t="s">
        <v>457</v>
      </c>
      <c r="V22" s="143" t="s">
        <v>458</v>
      </c>
      <c r="W22" s="143" t="s">
        <v>202</v>
      </c>
      <c r="X22" s="143" t="s">
        <v>188</v>
      </c>
      <c r="Y22" s="143" t="s">
        <v>62</v>
      </c>
      <c r="Z22" s="143" t="s">
        <v>459</v>
      </c>
      <c r="AA22" s="142">
        <v>45810</v>
      </c>
      <c r="AB22" s="143" t="s">
        <v>460</v>
      </c>
      <c r="AC22" s="143" t="s">
        <v>62</v>
      </c>
      <c r="AD22" s="143" t="s">
        <v>461</v>
      </c>
      <c r="AE22" s="143" t="s">
        <v>315</v>
      </c>
      <c r="AF22" s="142">
        <v>46077</v>
      </c>
      <c r="AG22" s="143" t="s">
        <v>462</v>
      </c>
      <c r="AH22" s="143" t="s">
        <v>188</v>
      </c>
      <c r="AI22" s="143" t="s">
        <v>188</v>
      </c>
      <c r="AJ22" s="143" t="s">
        <v>188</v>
      </c>
      <c r="AK22" s="143" t="s">
        <v>188</v>
      </c>
      <c r="AL22" s="143" t="s">
        <v>188</v>
      </c>
      <c r="AM22" s="149">
        <v>91017.76</v>
      </c>
      <c r="AN22" s="149">
        <v>0</v>
      </c>
      <c r="AO22" s="149">
        <v>0</v>
      </c>
      <c r="AP22" s="149">
        <v>0</v>
      </c>
      <c r="AQ22" s="149">
        <v>0</v>
      </c>
      <c r="AR22" s="142" t="s">
        <v>188</v>
      </c>
      <c r="AS22" s="149">
        <v>0</v>
      </c>
      <c r="AT22" s="149">
        <v>0</v>
      </c>
      <c r="AU22" s="143" t="s">
        <v>188</v>
      </c>
      <c r="AV22" s="149">
        <v>0</v>
      </c>
      <c r="AW22" s="143" t="s">
        <v>188</v>
      </c>
      <c r="AX22" s="142">
        <v>46079</v>
      </c>
      <c r="AY22" s="143" t="s">
        <v>463</v>
      </c>
    </row>
    <row r="23" spans="1:51" s="151" customFormat="1" ht="120">
      <c r="A23" s="142">
        <v>45817</v>
      </c>
      <c r="B23" s="143">
        <v>2</v>
      </c>
      <c r="C23" s="144" t="s">
        <v>464</v>
      </c>
      <c r="D23" s="143" t="s">
        <v>465</v>
      </c>
      <c r="E23" s="143" t="s">
        <v>466</v>
      </c>
      <c r="F23" s="143" t="s">
        <v>232</v>
      </c>
      <c r="G23" s="143" t="s">
        <v>188</v>
      </c>
      <c r="H23" s="145" t="s">
        <v>189</v>
      </c>
      <c r="I23" s="146" t="s">
        <v>190</v>
      </c>
      <c r="J23" s="147" t="s">
        <v>467</v>
      </c>
      <c r="K23" s="143" t="s">
        <v>192</v>
      </c>
      <c r="L23" s="143" t="s">
        <v>335</v>
      </c>
      <c r="M23" s="143" t="s">
        <v>194</v>
      </c>
      <c r="N23" s="143" t="s">
        <v>468</v>
      </c>
      <c r="O23" s="96" t="s">
        <v>224</v>
      </c>
      <c r="P23" s="143" t="s">
        <v>469</v>
      </c>
      <c r="Q23" s="143" t="s">
        <v>470</v>
      </c>
      <c r="R23" s="143" t="s">
        <v>471</v>
      </c>
      <c r="S23" s="142">
        <v>46000</v>
      </c>
      <c r="T23" s="143" t="s">
        <v>472</v>
      </c>
      <c r="U23" s="143" t="s">
        <v>473</v>
      </c>
      <c r="V23" s="143" t="s">
        <v>474</v>
      </c>
      <c r="W23" s="143" t="s">
        <v>475</v>
      </c>
      <c r="X23" s="143" t="s">
        <v>476</v>
      </c>
      <c r="Y23" s="143" t="s">
        <v>63</v>
      </c>
      <c r="Z23" s="143" t="s">
        <v>477</v>
      </c>
      <c r="AA23" s="142">
        <v>46057</v>
      </c>
      <c r="AB23" s="143" t="s">
        <v>478</v>
      </c>
      <c r="AC23" s="143" t="s">
        <v>63</v>
      </c>
      <c r="AD23" s="143" t="s">
        <v>751</v>
      </c>
      <c r="AE23" s="143" t="s">
        <v>243</v>
      </c>
      <c r="AF23" s="142">
        <v>46135</v>
      </c>
      <c r="AG23" s="143" t="s">
        <v>752</v>
      </c>
      <c r="AH23" s="143" t="s">
        <v>188</v>
      </c>
      <c r="AI23" s="143" t="s">
        <v>188</v>
      </c>
      <c r="AJ23" s="143" t="s">
        <v>188</v>
      </c>
      <c r="AK23" s="143" t="s">
        <v>188</v>
      </c>
      <c r="AL23" s="143" t="s">
        <v>188</v>
      </c>
      <c r="AM23" s="149">
        <v>149091.42000000001</v>
      </c>
      <c r="AN23" s="149">
        <v>50000</v>
      </c>
      <c r="AO23" s="149">
        <v>0</v>
      </c>
      <c r="AP23" s="149">
        <v>0</v>
      </c>
      <c r="AQ23" s="149">
        <v>0</v>
      </c>
      <c r="AR23" s="142" t="s">
        <v>188</v>
      </c>
      <c r="AS23" s="149">
        <v>13813.83</v>
      </c>
      <c r="AT23" s="149">
        <v>0</v>
      </c>
      <c r="AU23" s="143" t="s">
        <v>188</v>
      </c>
      <c r="AV23" s="149">
        <v>0</v>
      </c>
      <c r="AW23" s="143" t="s">
        <v>188</v>
      </c>
      <c r="AX23" s="142">
        <v>46135</v>
      </c>
      <c r="AY23" s="143" t="s">
        <v>753</v>
      </c>
    </row>
    <row r="24" spans="1:51" s="151" customFormat="1" ht="48">
      <c r="A24" s="97">
        <v>45834</v>
      </c>
      <c r="B24" s="96">
        <v>2</v>
      </c>
      <c r="C24" s="98" t="s">
        <v>480</v>
      </c>
      <c r="D24" s="98" t="s">
        <v>295</v>
      </c>
      <c r="E24" s="96" t="s">
        <v>264</v>
      </c>
      <c r="F24" s="143" t="s">
        <v>232</v>
      </c>
      <c r="G24" s="96" t="s">
        <v>188</v>
      </c>
      <c r="H24" s="103" t="s">
        <v>189</v>
      </c>
      <c r="I24" s="104" t="s">
        <v>190</v>
      </c>
      <c r="J24" s="99" t="s">
        <v>296</v>
      </c>
      <c r="K24" s="96" t="s">
        <v>353</v>
      </c>
      <c r="L24" s="98" t="s">
        <v>481</v>
      </c>
      <c r="M24" s="98" t="s">
        <v>194</v>
      </c>
      <c r="N24" s="96" t="s">
        <v>297</v>
      </c>
      <c r="O24" s="96" t="s">
        <v>315</v>
      </c>
      <c r="P24" s="96" t="s">
        <v>196</v>
      </c>
      <c r="Q24" s="96" t="s">
        <v>330</v>
      </c>
      <c r="R24" s="96" t="s">
        <v>482</v>
      </c>
      <c r="S24" s="97">
        <v>46001</v>
      </c>
      <c r="T24" s="96" t="s">
        <v>483</v>
      </c>
      <c r="U24" s="96" t="s">
        <v>188</v>
      </c>
      <c r="V24" s="96" t="s">
        <v>188</v>
      </c>
      <c r="W24" s="96" t="s">
        <v>202</v>
      </c>
      <c r="X24" s="96" t="s">
        <v>188</v>
      </c>
      <c r="Y24" s="96" t="s">
        <v>188</v>
      </c>
      <c r="Z24" s="96" t="s">
        <v>188</v>
      </c>
      <c r="AA24" s="97" t="s">
        <v>188</v>
      </c>
      <c r="AB24" s="96" t="s">
        <v>188</v>
      </c>
      <c r="AC24" s="96" t="s">
        <v>188</v>
      </c>
      <c r="AD24" s="96" t="s">
        <v>188</v>
      </c>
      <c r="AE24" s="96" t="s">
        <v>188</v>
      </c>
      <c r="AF24" s="97" t="s">
        <v>188</v>
      </c>
      <c r="AG24" s="96" t="s">
        <v>188</v>
      </c>
      <c r="AH24" s="96" t="s">
        <v>188</v>
      </c>
      <c r="AI24" s="96" t="s">
        <v>188</v>
      </c>
      <c r="AJ24" s="96" t="s">
        <v>188</v>
      </c>
      <c r="AK24" s="96" t="s">
        <v>188</v>
      </c>
      <c r="AL24" s="96" t="s">
        <v>188</v>
      </c>
      <c r="AM24" s="100">
        <v>52552.02</v>
      </c>
      <c r="AN24" s="100">
        <v>135000</v>
      </c>
      <c r="AO24" s="101">
        <v>67727.72</v>
      </c>
      <c r="AP24" s="100">
        <v>0</v>
      </c>
      <c r="AQ24" s="100">
        <v>0</v>
      </c>
      <c r="AR24" s="97" t="s">
        <v>188</v>
      </c>
      <c r="AS24" s="100" t="s">
        <v>484</v>
      </c>
      <c r="AT24" s="101">
        <v>68441.11</v>
      </c>
      <c r="AU24" s="96" t="s">
        <v>11</v>
      </c>
      <c r="AV24" s="100">
        <v>0</v>
      </c>
      <c r="AW24" s="96" t="s">
        <v>188</v>
      </c>
      <c r="AX24" s="97">
        <v>46126</v>
      </c>
      <c r="AY24" s="98" t="s">
        <v>759</v>
      </c>
    </row>
    <row r="25" spans="1:51" s="151" customFormat="1" ht="96">
      <c r="A25" s="142">
        <v>45853</v>
      </c>
      <c r="B25" s="143">
        <v>2</v>
      </c>
      <c r="C25" s="144" t="s">
        <v>485</v>
      </c>
      <c r="D25" s="143" t="s">
        <v>486</v>
      </c>
      <c r="E25" s="143" t="s">
        <v>264</v>
      </c>
      <c r="F25" s="143" t="s">
        <v>232</v>
      </c>
      <c r="G25" s="143" t="s">
        <v>188</v>
      </c>
      <c r="H25" s="145" t="s">
        <v>189</v>
      </c>
      <c r="I25" s="146" t="s">
        <v>190</v>
      </c>
      <c r="J25" s="147" t="s">
        <v>311</v>
      </c>
      <c r="K25" s="143" t="s">
        <v>192</v>
      </c>
      <c r="L25" s="143" t="s">
        <v>401</v>
      </c>
      <c r="M25" s="143" t="s">
        <v>355</v>
      </c>
      <c r="N25" s="143" t="s">
        <v>487</v>
      </c>
      <c r="O25" s="96" t="s">
        <v>224</v>
      </c>
      <c r="P25" s="143" t="s">
        <v>196</v>
      </c>
      <c r="Q25" s="143" t="s">
        <v>488</v>
      </c>
      <c r="R25" s="143" t="s">
        <v>489</v>
      </c>
      <c r="S25" s="142">
        <v>45908</v>
      </c>
      <c r="T25" s="143" t="s">
        <v>490</v>
      </c>
      <c r="U25" s="143" t="s">
        <v>188</v>
      </c>
      <c r="V25" s="143" t="s">
        <v>491</v>
      </c>
      <c r="W25" s="143" t="s">
        <v>407</v>
      </c>
      <c r="X25" s="143" t="s">
        <v>492</v>
      </c>
      <c r="Y25" s="143" t="s">
        <v>63</v>
      </c>
      <c r="Z25" s="143" t="s">
        <v>493</v>
      </c>
      <c r="AA25" s="142">
        <v>45912</v>
      </c>
      <c r="AB25" s="143" t="s">
        <v>494</v>
      </c>
      <c r="AC25" s="143" t="s">
        <v>208</v>
      </c>
      <c r="AD25" s="143" t="s">
        <v>495</v>
      </c>
      <c r="AE25" s="143" t="s">
        <v>496</v>
      </c>
      <c r="AF25" s="142" t="s">
        <v>188</v>
      </c>
      <c r="AG25" s="143" t="s">
        <v>188</v>
      </c>
      <c r="AH25" s="143" t="s">
        <v>188</v>
      </c>
      <c r="AI25" s="143" t="s">
        <v>188</v>
      </c>
      <c r="AJ25" s="143" t="s">
        <v>188</v>
      </c>
      <c r="AK25" s="143" t="s">
        <v>188</v>
      </c>
      <c r="AL25" s="143" t="s">
        <v>188</v>
      </c>
      <c r="AM25" s="149">
        <v>147444</v>
      </c>
      <c r="AN25" s="149">
        <v>50000</v>
      </c>
      <c r="AO25" s="149">
        <v>0</v>
      </c>
      <c r="AP25" s="149">
        <v>0</v>
      </c>
      <c r="AQ25" s="149">
        <v>0</v>
      </c>
      <c r="AR25" s="142" t="s">
        <v>188</v>
      </c>
      <c r="AS25" s="149">
        <v>13133.46</v>
      </c>
      <c r="AT25" s="149">
        <v>0</v>
      </c>
      <c r="AU25" s="143" t="s">
        <v>188</v>
      </c>
      <c r="AV25" s="149">
        <v>0</v>
      </c>
      <c r="AW25" s="143" t="s">
        <v>188</v>
      </c>
      <c r="AX25" s="142">
        <v>46129</v>
      </c>
      <c r="AY25" s="144" t="s">
        <v>479</v>
      </c>
    </row>
    <row r="26" spans="1:51" s="151" customFormat="1" ht="72">
      <c r="A26" s="142">
        <v>45855</v>
      </c>
      <c r="B26" s="143">
        <v>3</v>
      </c>
      <c r="C26" s="144" t="s">
        <v>497</v>
      </c>
      <c r="D26" s="143" t="s">
        <v>498</v>
      </c>
      <c r="E26" s="143" t="s">
        <v>499</v>
      </c>
      <c r="F26" s="143" t="s">
        <v>232</v>
      </c>
      <c r="G26" s="143" t="s">
        <v>188</v>
      </c>
      <c r="H26" s="145" t="s">
        <v>189</v>
      </c>
      <c r="I26" s="146" t="s">
        <v>190</v>
      </c>
      <c r="J26" s="147" t="s">
        <v>500</v>
      </c>
      <c r="K26" s="143" t="s">
        <v>353</v>
      </c>
      <c r="L26" s="143" t="s">
        <v>501</v>
      </c>
      <c r="M26" s="143" t="s">
        <v>355</v>
      </c>
      <c r="N26" s="143" t="s">
        <v>502</v>
      </c>
      <c r="O26" s="96" t="s">
        <v>315</v>
      </c>
      <c r="P26" s="96" t="s">
        <v>503</v>
      </c>
      <c r="Q26" s="143" t="s">
        <v>504</v>
      </c>
      <c r="R26" s="143" t="s">
        <v>188</v>
      </c>
      <c r="S26" s="142" t="s">
        <v>188</v>
      </c>
      <c r="T26" s="143" t="s">
        <v>188</v>
      </c>
      <c r="U26" s="143" t="s">
        <v>188</v>
      </c>
      <c r="V26" s="143" t="s">
        <v>188</v>
      </c>
      <c r="W26" s="143" t="s">
        <v>407</v>
      </c>
      <c r="X26" s="143" t="s">
        <v>505</v>
      </c>
      <c r="Y26" s="143" t="s">
        <v>208</v>
      </c>
      <c r="Z26" s="143" t="s">
        <v>188</v>
      </c>
      <c r="AA26" s="142" t="s">
        <v>188</v>
      </c>
      <c r="AB26" s="143" t="s">
        <v>188</v>
      </c>
      <c r="AC26" s="143" t="s">
        <v>188</v>
      </c>
      <c r="AD26" s="143" t="s">
        <v>188</v>
      </c>
      <c r="AE26" s="143" t="s">
        <v>188</v>
      </c>
      <c r="AF26" s="142" t="s">
        <v>188</v>
      </c>
      <c r="AG26" s="143" t="s">
        <v>188</v>
      </c>
      <c r="AH26" s="143" t="s">
        <v>188</v>
      </c>
      <c r="AI26" s="143" t="s">
        <v>188</v>
      </c>
      <c r="AJ26" s="143" t="s">
        <v>188</v>
      </c>
      <c r="AK26" s="143" t="s">
        <v>188</v>
      </c>
      <c r="AL26" s="143" t="s">
        <v>188</v>
      </c>
      <c r="AM26" s="149">
        <v>138000</v>
      </c>
      <c r="AN26" s="149">
        <v>0</v>
      </c>
      <c r="AO26" s="149">
        <v>0</v>
      </c>
      <c r="AP26" s="149">
        <v>0</v>
      </c>
      <c r="AQ26" s="149">
        <v>0</v>
      </c>
      <c r="AR26" s="142" t="s">
        <v>188</v>
      </c>
      <c r="AS26" s="149">
        <v>0</v>
      </c>
      <c r="AT26" s="149">
        <v>0</v>
      </c>
      <c r="AU26" s="143" t="s">
        <v>188</v>
      </c>
      <c r="AV26" s="149">
        <v>0</v>
      </c>
      <c r="AW26" s="143" t="s">
        <v>188</v>
      </c>
      <c r="AX26" s="142">
        <v>46105</v>
      </c>
      <c r="AY26" s="143" t="s">
        <v>506</v>
      </c>
    </row>
    <row r="27" spans="1:51" s="151" customFormat="1" ht="96">
      <c r="A27" s="142">
        <v>45881</v>
      </c>
      <c r="B27" s="143">
        <v>2</v>
      </c>
      <c r="C27" s="144" t="s">
        <v>507</v>
      </c>
      <c r="D27" s="144" t="s">
        <v>508</v>
      </c>
      <c r="E27" s="143" t="s">
        <v>509</v>
      </c>
      <c r="F27" s="143" t="s">
        <v>187</v>
      </c>
      <c r="G27" s="143" t="s">
        <v>188</v>
      </c>
      <c r="H27" s="145" t="s">
        <v>189</v>
      </c>
      <c r="I27" s="146" t="s">
        <v>190</v>
      </c>
      <c r="J27" s="147" t="s">
        <v>510</v>
      </c>
      <c r="K27" s="143" t="s">
        <v>312</v>
      </c>
      <c r="L27" s="143" t="s">
        <v>401</v>
      </c>
      <c r="M27" s="144" t="s">
        <v>355</v>
      </c>
      <c r="N27" s="143" t="s">
        <v>511</v>
      </c>
      <c r="O27" s="96" t="s">
        <v>315</v>
      </c>
      <c r="P27" s="143" t="s">
        <v>196</v>
      </c>
      <c r="Q27" s="143" t="s">
        <v>512</v>
      </c>
      <c r="R27" s="143" t="s">
        <v>513</v>
      </c>
      <c r="S27" s="142">
        <v>45929</v>
      </c>
      <c r="T27" s="143" t="s">
        <v>514</v>
      </c>
      <c r="U27" s="143" t="s">
        <v>515</v>
      </c>
      <c r="V27" s="143" t="s">
        <v>516</v>
      </c>
      <c r="W27" s="143" t="s">
        <v>202</v>
      </c>
      <c r="X27" s="143" t="s">
        <v>188</v>
      </c>
      <c r="Y27" s="143" t="s">
        <v>62</v>
      </c>
      <c r="Z27" s="143" t="s">
        <v>517</v>
      </c>
      <c r="AA27" s="142">
        <v>45946</v>
      </c>
      <c r="AB27" s="143" t="s">
        <v>518</v>
      </c>
      <c r="AC27" s="143" t="s">
        <v>63</v>
      </c>
      <c r="AD27" s="143" t="s">
        <v>519</v>
      </c>
      <c r="AE27" s="143" t="s">
        <v>520</v>
      </c>
      <c r="AF27" s="142">
        <v>46101</v>
      </c>
      <c r="AG27" s="143" t="s">
        <v>521</v>
      </c>
      <c r="AH27" s="143" t="s">
        <v>188</v>
      </c>
      <c r="AI27" s="143" t="s">
        <v>188</v>
      </c>
      <c r="AJ27" s="143" t="s">
        <v>188</v>
      </c>
      <c r="AK27" s="143" t="s">
        <v>188</v>
      </c>
      <c r="AL27" s="143" t="s">
        <v>188</v>
      </c>
      <c r="AM27" s="149">
        <v>162070.32</v>
      </c>
      <c r="AN27" s="149">
        <v>0</v>
      </c>
      <c r="AO27" s="149">
        <v>0</v>
      </c>
      <c r="AP27" s="149">
        <v>0</v>
      </c>
      <c r="AQ27" s="149">
        <v>0</v>
      </c>
      <c r="AR27" s="142" t="s">
        <v>188</v>
      </c>
      <c r="AS27" s="149">
        <v>0</v>
      </c>
      <c r="AT27" s="149">
        <v>0</v>
      </c>
      <c r="AU27" s="143" t="s">
        <v>188</v>
      </c>
      <c r="AV27" s="149">
        <v>0</v>
      </c>
      <c r="AW27" s="143" t="s">
        <v>188</v>
      </c>
      <c r="AX27" s="148">
        <v>46093</v>
      </c>
      <c r="AY27" s="144" t="s">
        <v>522</v>
      </c>
    </row>
    <row r="28" spans="1:51" s="151" customFormat="1" ht="72">
      <c r="A28" s="142">
        <v>45894</v>
      </c>
      <c r="B28" s="143">
        <v>2</v>
      </c>
      <c r="C28" s="144" t="s">
        <v>523</v>
      </c>
      <c r="D28" s="143" t="s">
        <v>524</v>
      </c>
      <c r="E28" s="143" t="s">
        <v>525</v>
      </c>
      <c r="F28" s="143" t="s">
        <v>232</v>
      </c>
      <c r="G28" s="143" t="s">
        <v>188</v>
      </c>
      <c r="H28" s="145" t="s">
        <v>189</v>
      </c>
      <c r="I28" s="146" t="s">
        <v>190</v>
      </c>
      <c r="J28" s="147" t="s">
        <v>429</v>
      </c>
      <c r="K28" s="143" t="s">
        <v>312</v>
      </c>
      <c r="L28" s="143" t="s">
        <v>768</v>
      </c>
      <c r="M28" s="143" t="s">
        <v>194</v>
      </c>
      <c r="N28" s="143" t="s">
        <v>526</v>
      </c>
      <c r="O28" s="96" t="s">
        <v>315</v>
      </c>
      <c r="P28" s="143" t="s">
        <v>196</v>
      </c>
      <c r="Q28" s="143" t="s">
        <v>527</v>
      </c>
      <c r="R28" s="143" t="s">
        <v>237</v>
      </c>
      <c r="S28" s="142">
        <v>45951</v>
      </c>
      <c r="T28" s="143" t="s">
        <v>528</v>
      </c>
      <c r="U28" s="143" t="s">
        <v>188</v>
      </c>
      <c r="V28" s="143" t="s">
        <v>188</v>
      </c>
      <c r="W28" s="143" t="s">
        <v>202</v>
      </c>
      <c r="X28" s="143" t="s">
        <v>188</v>
      </c>
      <c r="Y28" s="143" t="s">
        <v>63</v>
      </c>
      <c r="Z28" s="143" t="s">
        <v>529</v>
      </c>
      <c r="AA28" s="142">
        <v>45972</v>
      </c>
      <c r="AB28" s="143" t="s">
        <v>530</v>
      </c>
      <c r="AC28" s="143" t="s">
        <v>188</v>
      </c>
      <c r="AD28" s="143" t="s">
        <v>188</v>
      </c>
      <c r="AE28" s="143" t="s">
        <v>188</v>
      </c>
      <c r="AF28" s="142" t="s">
        <v>188</v>
      </c>
      <c r="AG28" s="143" t="s">
        <v>188</v>
      </c>
      <c r="AH28" s="143" t="s">
        <v>188</v>
      </c>
      <c r="AI28" s="143" t="s">
        <v>188</v>
      </c>
      <c r="AJ28" s="143" t="s">
        <v>188</v>
      </c>
      <c r="AK28" s="143" t="s">
        <v>188</v>
      </c>
      <c r="AL28" s="143" t="s">
        <v>188</v>
      </c>
      <c r="AM28" s="149">
        <v>169485.28</v>
      </c>
      <c r="AN28" s="149">
        <v>50000</v>
      </c>
      <c r="AO28" s="150">
        <v>129336.65</v>
      </c>
      <c r="AP28" s="150">
        <v>43818.21</v>
      </c>
      <c r="AQ28" s="149">
        <v>0</v>
      </c>
      <c r="AR28" s="142" t="s">
        <v>188</v>
      </c>
      <c r="AS28" s="149">
        <v>45664.26</v>
      </c>
      <c r="AT28" s="150">
        <v>46677.919999999998</v>
      </c>
      <c r="AU28" s="143" t="s">
        <v>531</v>
      </c>
      <c r="AV28" s="150">
        <v>85518.44</v>
      </c>
      <c r="AW28" s="143" t="s">
        <v>188</v>
      </c>
      <c r="AX28" s="142">
        <v>46127</v>
      </c>
      <c r="AY28" s="143" t="s">
        <v>760</v>
      </c>
    </row>
    <row r="29" spans="1:51" s="151" customFormat="1" ht="48">
      <c r="A29" s="142">
        <v>45900</v>
      </c>
      <c r="B29" s="143">
        <v>4</v>
      </c>
      <c r="C29" s="144" t="s">
        <v>532</v>
      </c>
      <c r="D29" s="143" t="s">
        <v>533</v>
      </c>
      <c r="E29" s="143" t="s">
        <v>534</v>
      </c>
      <c r="F29" s="143" t="s">
        <v>232</v>
      </c>
      <c r="G29" s="143" t="s">
        <v>188</v>
      </c>
      <c r="H29" s="145" t="s">
        <v>189</v>
      </c>
      <c r="I29" s="146" t="s">
        <v>190</v>
      </c>
      <c r="J29" s="147" t="s">
        <v>535</v>
      </c>
      <c r="K29" s="143" t="s">
        <v>192</v>
      </c>
      <c r="L29" s="143" t="s">
        <v>401</v>
      </c>
      <c r="M29" s="144" t="s">
        <v>266</v>
      </c>
      <c r="N29" s="143" t="s">
        <v>536</v>
      </c>
      <c r="O29" s="96" t="s">
        <v>224</v>
      </c>
      <c r="P29" s="143" t="s">
        <v>537</v>
      </c>
      <c r="Q29" s="143" t="s">
        <v>538</v>
      </c>
      <c r="R29" s="143" t="s">
        <v>539</v>
      </c>
      <c r="S29" s="142">
        <v>45993</v>
      </c>
      <c r="T29" s="143" t="s">
        <v>540</v>
      </c>
      <c r="U29" s="143" t="s">
        <v>188</v>
      </c>
      <c r="V29" s="143" t="s">
        <v>188</v>
      </c>
      <c r="W29" s="143" t="s">
        <v>202</v>
      </c>
      <c r="X29" s="143" t="s">
        <v>188</v>
      </c>
      <c r="Y29" s="143" t="s">
        <v>62</v>
      </c>
      <c r="Z29" s="143" t="s">
        <v>541</v>
      </c>
      <c r="AA29" s="142">
        <v>46037</v>
      </c>
      <c r="AB29" s="143" t="s">
        <v>542</v>
      </c>
      <c r="AC29" s="143" t="s">
        <v>208</v>
      </c>
      <c r="AD29" s="143" t="s">
        <v>543</v>
      </c>
      <c r="AE29" s="143" t="s">
        <v>396</v>
      </c>
      <c r="AF29" s="142" t="s">
        <v>188</v>
      </c>
      <c r="AG29" s="143" t="s">
        <v>188</v>
      </c>
      <c r="AH29" s="143" t="s">
        <v>188</v>
      </c>
      <c r="AI29" s="143" t="s">
        <v>188</v>
      </c>
      <c r="AJ29" s="143" t="s">
        <v>188</v>
      </c>
      <c r="AK29" s="143" t="s">
        <v>188</v>
      </c>
      <c r="AL29" s="143" t="s">
        <v>188</v>
      </c>
      <c r="AM29" s="149" t="s">
        <v>544</v>
      </c>
      <c r="AN29" s="149">
        <v>0</v>
      </c>
      <c r="AO29" s="149">
        <v>0</v>
      </c>
      <c r="AP29" s="149">
        <v>0</v>
      </c>
      <c r="AQ29" s="149">
        <v>0</v>
      </c>
      <c r="AR29" s="142" t="s">
        <v>188</v>
      </c>
      <c r="AS29" s="149">
        <v>0</v>
      </c>
      <c r="AT29" s="149">
        <v>0</v>
      </c>
      <c r="AU29" s="143" t="s">
        <v>188</v>
      </c>
      <c r="AV29" s="149">
        <v>0</v>
      </c>
      <c r="AW29" s="143" t="s">
        <v>188</v>
      </c>
      <c r="AX29" s="142">
        <v>46099</v>
      </c>
      <c r="AY29" s="144" t="s">
        <v>545</v>
      </c>
    </row>
    <row r="30" spans="1:51" s="151" customFormat="1" ht="84">
      <c r="A30" s="142">
        <v>45901</v>
      </c>
      <c r="B30" s="143">
        <v>24</v>
      </c>
      <c r="C30" s="144" t="s">
        <v>546</v>
      </c>
      <c r="D30" s="143" t="s">
        <v>547</v>
      </c>
      <c r="E30" s="143" t="s">
        <v>548</v>
      </c>
      <c r="F30" s="143" t="s">
        <v>549</v>
      </c>
      <c r="G30" s="143" t="s">
        <v>188</v>
      </c>
      <c r="H30" s="145" t="s">
        <v>189</v>
      </c>
      <c r="I30" s="146" t="s">
        <v>190</v>
      </c>
      <c r="J30" s="147" t="s">
        <v>550</v>
      </c>
      <c r="K30" s="143" t="s">
        <v>353</v>
      </c>
      <c r="L30" s="143" t="s">
        <v>335</v>
      </c>
      <c r="M30" s="143" t="s">
        <v>355</v>
      </c>
      <c r="N30" s="143" t="s">
        <v>552</v>
      </c>
      <c r="O30" s="96" t="s">
        <v>315</v>
      </c>
      <c r="P30" s="143" t="s">
        <v>553</v>
      </c>
      <c r="Q30" s="143" t="s">
        <v>554</v>
      </c>
      <c r="R30" s="143" t="s">
        <v>555</v>
      </c>
      <c r="S30" s="142">
        <v>46091</v>
      </c>
      <c r="T30" s="143" t="s">
        <v>490</v>
      </c>
      <c r="U30" s="143" t="s">
        <v>556</v>
      </c>
      <c r="V30" s="143" t="s">
        <v>188</v>
      </c>
      <c r="W30" s="143" t="s">
        <v>202</v>
      </c>
      <c r="X30" s="143" t="s">
        <v>188</v>
      </c>
      <c r="Y30" s="143" t="s">
        <v>63</v>
      </c>
      <c r="Z30" s="143" t="s">
        <v>754</v>
      </c>
      <c r="AA30" s="142">
        <v>46132</v>
      </c>
      <c r="AB30" s="143" t="s">
        <v>755</v>
      </c>
      <c r="AC30" s="143" t="s">
        <v>188</v>
      </c>
      <c r="AD30" s="143" t="s">
        <v>188</v>
      </c>
      <c r="AE30" s="143" t="s">
        <v>188</v>
      </c>
      <c r="AF30" s="142" t="s">
        <v>188</v>
      </c>
      <c r="AG30" s="143" t="s">
        <v>188</v>
      </c>
      <c r="AH30" s="143" t="s">
        <v>188</v>
      </c>
      <c r="AI30" s="143" t="s">
        <v>188</v>
      </c>
      <c r="AJ30" s="143" t="s">
        <v>188</v>
      </c>
      <c r="AK30" s="143" t="s">
        <v>188</v>
      </c>
      <c r="AL30" s="143" t="s">
        <v>188</v>
      </c>
      <c r="AM30" s="149">
        <v>18366.830000000002</v>
      </c>
      <c r="AN30" s="149">
        <v>14000</v>
      </c>
      <c r="AO30" s="149">
        <v>0</v>
      </c>
      <c r="AP30" s="149">
        <v>0</v>
      </c>
      <c r="AQ30" s="149">
        <v>0</v>
      </c>
      <c r="AR30" s="142" t="s">
        <v>188</v>
      </c>
      <c r="AS30" s="149">
        <v>0</v>
      </c>
      <c r="AT30" s="149">
        <v>0</v>
      </c>
      <c r="AU30" s="143" t="s">
        <v>188</v>
      </c>
      <c r="AV30" s="149">
        <v>0</v>
      </c>
      <c r="AW30" s="143" t="s">
        <v>188</v>
      </c>
      <c r="AX30" s="142">
        <v>46132</v>
      </c>
      <c r="AY30" s="143" t="s">
        <v>756</v>
      </c>
    </row>
    <row r="31" spans="1:51" s="151" customFormat="1" ht="300">
      <c r="A31" s="142">
        <v>45911</v>
      </c>
      <c r="B31" s="143">
        <v>2</v>
      </c>
      <c r="C31" s="144" t="s">
        <v>557</v>
      </c>
      <c r="D31" s="143" t="s">
        <v>558</v>
      </c>
      <c r="E31" s="143" t="s">
        <v>559</v>
      </c>
      <c r="F31" s="143" t="s">
        <v>232</v>
      </c>
      <c r="G31" s="143" t="s">
        <v>188</v>
      </c>
      <c r="H31" s="145" t="s">
        <v>189</v>
      </c>
      <c r="I31" s="146" t="s">
        <v>190</v>
      </c>
      <c r="J31" s="147" t="s">
        <v>560</v>
      </c>
      <c r="K31" s="143" t="s">
        <v>353</v>
      </c>
      <c r="L31" s="143" t="s">
        <v>551</v>
      </c>
      <c r="M31" s="143" t="s">
        <v>355</v>
      </c>
      <c r="N31" s="143" t="s">
        <v>561</v>
      </c>
      <c r="O31" s="96" t="s">
        <v>315</v>
      </c>
      <c r="P31" s="143" t="s">
        <v>196</v>
      </c>
      <c r="Q31" s="143" t="s">
        <v>562</v>
      </c>
      <c r="R31" s="143" t="s">
        <v>761</v>
      </c>
      <c r="S31" s="142">
        <v>46134</v>
      </c>
      <c r="T31" s="143" t="s">
        <v>490</v>
      </c>
      <c r="U31" s="143" t="s">
        <v>762</v>
      </c>
      <c r="V31" s="143" t="s">
        <v>188</v>
      </c>
      <c r="W31" s="143" t="s">
        <v>202</v>
      </c>
      <c r="X31" s="143" t="s">
        <v>188</v>
      </c>
      <c r="Y31" s="143" t="s">
        <v>188</v>
      </c>
      <c r="Z31" s="143" t="s">
        <v>188</v>
      </c>
      <c r="AA31" s="142" t="s">
        <v>188</v>
      </c>
      <c r="AB31" s="143" t="s">
        <v>188</v>
      </c>
      <c r="AC31" s="143" t="s">
        <v>188</v>
      </c>
      <c r="AD31" s="143" t="s">
        <v>188</v>
      </c>
      <c r="AE31" s="143" t="s">
        <v>188</v>
      </c>
      <c r="AF31" s="142" t="s">
        <v>188</v>
      </c>
      <c r="AG31" s="143" t="s">
        <v>188</v>
      </c>
      <c r="AH31" s="143" t="s">
        <v>188</v>
      </c>
      <c r="AI31" s="143" t="s">
        <v>188</v>
      </c>
      <c r="AJ31" s="143" t="s">
        <v>188</v>
      </c>
      <c r="AK31" s="143" t="s">
        <v>188</v>
      </c>
      <c r="AL31" s="143" t="s">
        <v>188</v>
      </c>
      <c r="AM31" s="149">
        <v>67961.14</v>
      </c>
      <c r="AN31" s="149">
        <v>0</v>
      </c>
      <c r="AO31" s="149">
        <v>0</v>
      </c>
      <c r="AP31" s="149">
        <v>0</v>
      </c>
      <c r="AQ31" s="149">
        <v>0</v>
      </c>
      <c r="AR31" s="142" t="s">
        <v>188</v>
      </c>
      <c r="AS31" s="149">
        <v>0</v>
      </c>
      <c r="AT31" s="149">
        <v>0</v>
      </c>
      <c r="AU31" s="143" t="s">
        <v>188</v>
      </c>
      <c r="AV31" s="149">
        <v>0</v>
      </c>
      <c r="AW31" s="143" t="s">
        <v>188</v>
      </c>
      <c r="AX31" s="142">
        <v>46134</v>
      </c>
      <c r="AY31" s="143" t="s">
        <v>763</v>
      </c>
    </row>
    <row r="32" spans="1:51" s="151" customFormat="1" ht="228">
      <c r="A32" s="142">
        <v>45963</v>
      </c>
      <c r="B32" s="143">
        <v>4</v>
      </c>
      <c r="C32" s="144" t="s">
        <v>563</v>
      </c>
      <c r="D32" s="143" t="s">
        <v>533</v>
      </c>
      <c r="E32" s="143" t="s">
        <v>534</v>
      </c>
      <c r="F32" s="143" t="s">
        <v>232</v>
      </c>
      <c r="G32" s="143" t="s">
        <v>564</v>
      </c>
      <c r="H32" s="145" t="s">
        <v>189</v>
      </c>
      <c r="I32" s="146" t="s">
        <v>190</v>
      </c>
      <c r="J32" s="147" t="s">
        <v>535</v>
      </c>
      <c r="K32" s="143" t="s">
        <v>192</v>
      </c>
      <c r="L32" s="143" t="s">
        <v>328</v>
      </c>
      <c r="M32" s="143" t="s">
        <v>266</v>
      </c>
      <c r="N32" s="143" t="s">
        <v>565</v>
      </c>
      <c r="O32" s="96" t="s">
        <v>224</v>
      </c>
      <c r="P32" s="143" t="s">
        <v>537</v>
      </c>
      <c r="Q32" s="143" t="s">
        <v>566</v>
      </c>
      <c r="R32" s="143" t="s">
        <v>188</v>
      </c>
      <c r="S32" s="142" t="s">
        <v>188</v>
      </c>
      <c r="T32" s="143" t="s">
        <v>188</v>
      </c>
      <c r="U32" s="143" t="s">
        <v>188</v>
      </c>
      <c r="V32" s="143" t="s">
        <v>188</v>
      </c>
      <c r="W32" s="143" t="s">
        <v>202</v>
      </c>
      <c r="X32" s="143" t="s">
        <v>188</v>
      </c>
      <c r="Y32" s="143" t="s">
        <v>188</v>
      </c>
      <c r="Z32" s="143" t="s">
        <v>188</v>
      </c>
      <c r="AA32" s="142" t="s">
        <v>188</v>
      </c>
      <c r="AB32" s="143" t="s">
        <v>188</v>
      </c>
      <c r="AC32" s="143" t="s">
        <v>62</v>
      </c>
      <c r="AD32" s="143" t="s">
        <v>567</v>
      </c>
      <c r="AE32" s="143" t="s">
        <v>315</v>
      </c>
      <c r="AF32" s="142">
        <v>46008</v>
      </c>
      <c r="AG32" s="143" t="s">
        <v>568</v>
      </c>
      <c r="AH32" s="143" t="s">
        <v>188</v>
      </c>
      <c r="AI32" s="143" t="s">
        <v>188</v>
      </c>
      <c r="AJ32" s="143" t="s">
        <v>188</v>
      </c>
      <c r="AK32" s="143" t="s">
        <v>188</v>
      </c>
      <c r="AL32" s="143" t="s">
        <v>188</v>
      </c>
      <c r="AM32" s="149">
        <v>1000</v>
      </c>
      <c r="AN32" s="149">
        <v>0</v>
      </c>
      <c r="AO32" s="149">
        <v>0</v>
      </c>
      <c r="AP32" s="149">
        <v>0</v>
      </c>
      <c r="AQ32" s="149">
        <v>0</v>
      </c>
      <c r="AR32" s="142" t="s">
        <v>188</v>
      </c>
      <c r="AS32" s="149">
        <v>0</v>
      </c>
      <c r="AT32" s="149">
        <v>0</v>
      </c>
      <c r="AU32" s="143" t="s">
        <v>188</v>
      </c>
      <c r="AV32" s="149">
        <v>0</v>
      </c>
      <c r="AW32" s="143" t="s">
        <v>188</v>
      </c>
      <c r="AX32" s="142">
        <v>46073</v>
      </c>
      <c r="AY32" s="143" t="s">
        <v>569</v>
      </c>
    </row>
    <row r="33" spans="1:51" s="151" customFormat="1" ht="96">
      <c r="A33" s="142">
        <v>46052</v>
      </c>
      <c r="B33" s="143">
        <v>2</v>
      </c>
      <c r="C33" s="144" t="s">
        <v>570</v>
      </c>
      <c r="D33" s="143" t="s">
        <v>571</v>
      </c>
      <c r="E33" s="143" t="s">
        <v>400</v>
      </c>
      <c r="F33" s="143" t="s">
        <v>232</v>
      </c>
      <c r="G33" s="143" t="s">
        <v>188</v>
      </c>
      <c r="H33" s="145" t="s">
        <v>189</v>
      </c>
      <c r="I33" s="146" t="s">
        <v>190</v>
      </c>
      <c r="J33" s="147" t="s">
        <v>334</v>
      </c>
      <c r="K33" s="143" t="s">
        <v>353</v>
      </c>
      <c r="L33" s="143" t="s">
        <v>328</v>
      </c>
      <c r="M33" s="143" t="s">
        <v>266</v>
      </c>
      <c r="N33" s="143" t="s">
        <v>572</v>
      </c>
      <c r="O33" s="96" t="s">
        <v>315</v>
      </c>
      <c r="P33" s="143" t="s">
        <v>196</v>
      </c>
      <c r="Q33" s="143" t="s">
        <v>573</v>
      </c>
      <c r="R33" s="143" t="s">
        <v>188</v>
      </c>
      <c r="S33" s="142" t="s">
        <v>188</v>
      </c>
      <c r="T33" s="143" t="s">
        <v>188</v>
      </c>
      <c r="U33" s="143" t="s">
        <v>188</v>
      </c>
      <c r="V33" s="143" t="s">
        <v>188</v>
      </c>
      <c r="W33" s="143" t="s">
        <v>202</v>
      </c>
      <c r="X33" s="143" t="s">
        <v>188</v>
      </c>
      <c r="Y33" s="143" t="s">
        <v>188</v>
      </c>
      <c r="Z33" s="143" t="s">
        <v>188</v>
      </c>
      <c r="AA33" s="142" t="s">
        <v>188</v>
      </c>
      <c r="AB33" s="143" t="s">
        <v>188</v>
      </c>
      <c r="AC33" s="143" t="s">
        <v>188</v>
      </c>
      <c r="AD33" s="143" t="s">
        <v>188</v>
      </c>
      <c r="AE33" s="143" t="s">
        <v>188</v>
      </c>
      <c r="AF33" s="142" t="s">
        <v>188</v>
      </c>
      <c r="AG33" s="143" t="s">
        <v>188</v>
      </c>
      <c r="AH33" s="143" t="s">
        <v>188</v>
      </c>
      <c r="AI33" s="143" t="s">
        <v>188</v>
      </c>
      <c r="AJ33" s="143" t="s">
        <v>188</v>
      </c>
      <c r="AK33" s="143" t="s">
        <v>188</v>
      </c>
      <c r="AL33" s="143" t="s">
        <v>188</v>
      </c>
      <c r="AM33" s="149">
        <v>258829.28</v>
      </c>
      <c r="AN33" s="149">
        <v>0</v>
      </c>
      <c r="AO33" s="149">
        <v>0</v>
      </c>
      <c r="AP33" s="149">
        <v>0</v>
      </c>
      <c r="AQ33" s="149">
        <v>0</v>
      </c>
      <c r="AR33" s="142" t="s">
        <v>188</v>
      </c>
      <c r="AS33" s="149">
        <v>0</v>
      </c>
      <c r="AT33" s="149">
        <v>0</v>
      </c>
      <c r="AU33" s="143" t="s">
        <v>188</v>
      </c>
      <c r="AV33" s="149">
        <v>0</v>
      </c>
      <c r="AW33" s="143" t="s">
        <v>188</v>
      </c>
      <c r="AX33" s="142">
        <v>46111</v>
      </c>
      <c r="AY33" s="143" t="s">
        <v>574</v>
      </c>
    </row>
    <row r="34" spans="1:51" s="151" customFormat="1" ht="228">
      <c r="A34" s="142">
        <v>46070</v>
      </c>
      <c r="B34" s="143">
        <v>2</v>
      </c>
      <c r="C34" s="144" t="s">
        <v>575</v>
      </c>
      <c r="D34" s="143" t="s">
        <v>576</v>
      </c>
      <c r="E34" s="143" t="s">
        <v>428</v>
      </c>
      <c r="F34" s="143" t="s">
        <v>232</v>
      </c>
      <c r="G34" s="143" t="s">
        <v>188</v>
      </c>
      <c r="H34" s="145" t="s">
        <v>189</v>
      </c>
      <c r="I34" s="146" t="s">
        <v>190</v>
      </c>
      <c r="J34" s="147" t="s">
        <v>577</v>
      </c>
      <c r="K34" s="143" t="s">
        <v>353</v>
      </c>
      <c r="L34" s="143" t="s">
        <v>551</v>
      </c>
      <c r="M34" s="143" t="s">
        <v>355</v>
      </c>
      <c r="N34" s="144" t="s">
        <v>402</v>
      </c>
      <c r="O34" s="96" t="s">
        <v>315</v>
      </c>
      <c r="P34" s="143" t="s">
        <v>196</v>
      </c>
      <c r="Q34" s="143" t="s">
        <v>578</v>
      </c>
      <c r="R34" s="143" t="s">
        <v>764</v>
      </c>
      <c r="S34" s="142">
        <v>46134</v>
      </c>
      <c r="T34" s="143" t="s">
        <v>490</v>
      </c>
      <c r="U34" s="143" t="s">
        <v>188</v>
      </c>
      <c r="V34" s="143" t="s">
        <v>188</v>
      </c>
      <c r="W34" s="143" t="s">
        <v>202</v>
      </c>
      <c r="X34" s="143" t="s">
        <v>188</v>
      </c>
      <c r="Y34" s="143" t="s">
        <v>188</v>
      </c>
      <c r="Z34" s="143" t="s">
        <v>188</v>
      </c>
      <c r="AA34" s="142" t="s">
        <v>188</v>
      </c>
      <c r="AB34" s="143" t="s">
        <v>188</v>
      </c>
      <c r="AC34" s="143" t="s">
        <v>188</v>
      </c>
      <c r="AD34" s="143" t="s">
        <v>188</v>
      </c>
      <c r="AE34" s="143" t="s">
        <v>188</v>
      </c>
      <c r="AF34" s="142" t="s">
        <v>188</v>
      </c>
      <c r="AG34" s="143" t="s">
        <v>188</v>
      </c>
      <c r="AH34" s="143" t="s">
        <v>188</v>
      </c>
      <c r="AI34" s="143" t="s">
        <v>188</v>
      </c>
      <c r="AJ34" s="143" t="s">
        <v>188</v>
      </c>
      <c r="AK34" s="143" t="s">
        <v>188</v>
      </c>
      <c r="AL34" s="143" t="s">
        <v>188</v>
      </c>
      <c r="AM34" s="149">
        <v>184612.66</v>
      </c>
      <c r="AN34" s="149">
        <v>0</v>
      </c>
      <c r="AO34" s="149">
        <v>0</v>
      </c>
      <c r="AP34" s="149">
        <v>0</v>
      </c>
      <c r="AQ34" s="149">
        <v>0</v>
      </c>
      <c r="AR34" s="142" t="s">
        <v>188</v>
      </c>
      <c r="AS34" s="149">
        <v>0</v>
      </c>
      <c r="AT34" s="149">
        <v>0</v>
      </c>
      <c r="AU34" s="143" t="s">
        <v>188</v>
      </c>
      <c r="AV34" s="149">
        <v>0</v>
      </c>
      <c r="AW34" s="143" t="s">
        <v>188</v>
      </c>
      <c r="AX34" s="142">
        <v>46134</v>
      </c>
      <c r="AY34" s="143" t="s">
        <v>765</v>
      </c>
    </row>
    <row r="35" spans="1:51" s="151" customFormat="1" ht="48">
      <c r="A35" s="148">
        <v>46105</v>
      </c>
      <c r="B35" s="144">
        <v>12</v>
      </c>
      <c r="C35" s="154" t="s">
        <v>749</v>
      </c>
      <c r="D35" s="144" t="s">
        <v>579</v>
      </c>
      <c r="E35" s="144" t="s">
        <v>580</v>
      </c>
      <c r="F35" s="143" t="s">
        <v>232</v>
      </c>
      <c r="G35" s="144" t="s">
        <v>188</v>
      </c>
      <c r="H35" s="144" t="s">
        <v>189</v>
      </c>
      <c r="I35" s="144" t="s">
        <v>190</v>
      </c>
      <c r="J35" s="144" t="s">
        <v>581</v>
      </c>
      <c r="K35" s="144" t="s">
        <v>353</v>
      </c>
      <c r="L35" s="143" t="s">
        <v>501</v>
      </c>
      <c r="M35" s="144" t="s">
        <v>355</v>
      </c>
      <c r="N35" s="144" t="s">
        <v>582</v>
      </c>
      <c r="O35" s="96" t="s">
        <v>315</v>
      </c>
      <c r="P35" s="144" t="s">
        <v>583</v>
      </c>
      <c r="Q35" s="144" t="s">
        <v>584</v>
      </c>
      <c r="R35" s="143" t="s">
        <v>188</v>
      </c>
      <c r="S35" s="142" t="s">
        <v>188</v>
      </c>
      <c r="T35" s="143" t="s">
        <v>188</v>
      </c>
      <c r="U35" s="143" t="s">
        <v>188</v>
      </c>
      <c r="V35" s="143" t="s">
        <v>188</v>
      </c>
      <c r="W35" s="143" t="s">
        <v>202</v>
      </c>
      <c r="X35" s="143" t="s">
        <v>188</v>
      </c>
      <c r="Y35" s="143" t="s">
        <v>188</v>
      </c>
      <c r="Z35" s="143" t="s">
        <v>188</v>
      </c>
      <c r="AA35" s="142" t="s">
        <v>188</v>
      </c>
      <c r="AB35" s="143" t="s">
        <v>188</v>
      </c>
      <c r="AC35" s="143" t="s">
        <v>188</v>
      </c>
      <c r="AD35" s="143" t="s">
        <v>188</v>
      </c>
      <c r="AE35" s="143" t="s">
        <v>188</v>
      </c>
      <c r="AF35" s="142" t="s">
        <v>188</v>
      </c>
      <c r="AG35" s="143" t="s">
        <v>188</v>
      </c>
      <c r="AH35" s="143" t="s">
        <v>188</v>
      </c>
      <c r="AI35" s="143" t="s">
        <v>188</v>
      </c>
      <c r="AJ35" s="143" t="s">
        <v>188</v>
      </c>
      <c r="AK35" s="143" t="s">
        <v>188</v>
      </c>
      <c r="AL35" s="143" t="s">
        <v>188</v>
      </c>
      <c r="AM35" s="155">
        <v>135169.46</v>
      </c>
      <c r="AN35" s="149">
        <v>0</v>
      </c>
      <c r="AO35" s="149">
        <v>0</v>
      </c>
      <c r="AP35" s="149">
        <v>0</v>
      </c>
      <c r="AQ35" s="149">
        <v>0</v>
      </c>
      <c r="AR35" s="142" t="s">
        <v>188</v>
      </c>
      <c r="AS35" s="149">
        <v>0</v>
      </c>
      <c r="AT35" s="149">
        <v>0</v>
      </c>
      <c r="AU35" s="143" t="s">
        <v>188</v>
      </c>
      <c r="AV35" s="149">
        <v>0</v>
      </c>
      <c r="AW35" s="143" t="s">
        <v>188</v>
      </c>
      <c r="AX35" s="148">
        <v>46119</v>
      </c>
      <c r="AY35" s="144" t="s">
        <v>585</v>
      </c>
    </row>
    <row r="36" spans="1:51" s="151" customFormat="1" ht="36">
      <c r="A36" s="142">
        <v>46080</v>
      </c>
      <c r="B36" s="143">
        <v>2</v>
      </c>
      <c r="C36" s="154" t="s">
        <v>748</v>
      </c>
      <c r="D36" s="144" t="s">
        <v>486</v>
      </c>
      <c r="E36" s="143" t="s">
        <v>264</v>
      </c>
      <c r="F36" s="143" t="s">
        <v>232</v>
      </c>
      <c r="G36" s="143" t="s">
        <v>188</v>
      </c>
      <c r="H36" s="145" t="s">
        <v>189</v>
      </c>
      <c r="I36" s="146" t="s">
        <v>190</v>
      </c>
      <c r="J36" s="147" t="s">
        <v>311</v>
      </c>
      <c r="K36" s="143" t="s">
        <v>312</v>
      </c>
      <c r="L36" s="98" t="s">
        <v>481</v>
      </c>
      <c r="M36" s="98" t="s">
        <v>194</v>
      </c>
      <c r="N36" s="143" t="s">
        <v>487</v>
      </c>
      <c r="O36" s="96" t="s">
        <v>315</v>
      </c>
      <c r="P36" s="96" t="s">
        <v>196</v>
      </c>
      <c r="Q36" s="96" t="s">
        <v>330</v>
      </c>
      <c r="R36" s="143" t="s">
        <v>188</v>
      </c>
      <c r="S36" s="142" t="s">
        <v>188</v>
      </c>
      <c r="T36" s="143" t="s">
        <v>188</v>
      </c>
      <c r="U36" s="143" t="s">
        <v>188</v>
      </c>
      <c r="V36" s="143" t="s">
        <v>188</v>
      </c>
      <c r="W36" s="143" t="s">
        <v>202</v>
      </c>
      <c r="X36" s="143" t="s">
        <v>188</v>
      </c>
      <c r="Y36" s="143" t="s">
        <v>188</v>
      </c>
      <c r="Z36" s="143" t="s">
        <v>188</v>
      </c>
      <c r="AA36" s="142" t="s">
        <v>188</v>
      </c>
      <c r="AB36" s="143" t="s">
        <v>188</v>
      </c>
      <c r="AC36" s="143" t="s">
        <v>188</v>
      </c>
      <c r="AD36" s="143" t="s">
        <v>188</v>
      </c>
      <c r="AE36" s="143" t="s">
        <v>188</v>
      </c>
      <c r="AF36" s="142" t="s">
        <v>188</v>
      </c>
      <c r="AG36" s="143" t="s">
        <v>188</v>
      </c>
      <c r="AH36" s="143" t="s">
        <v>188</v>
      </c>
      <c r="AI36" s="143" t="s">
        <v>188</v>
      </c>
      <c r="AJ36" s="143" t="s">
        <v>188</v>
      </c>
      <c r="AK36" s="143" t="s">
        <v>188</v>
      </c>
      <c r="AL36" s="143" t="s">
        <v>188</v>
      </c>
      <c r="AM36" s="149">
        <v>38734.36</v>
      </c>
      <c r="AN36" s="149">
        <v>0</v>
      </c>
      <c r="AO36" s="149">
        <v>36606.79</v>
      </c>
      <c r="AP36" s="149">
        <v>63924.19</v>
      </c>
      <c r="AQ36" s="149">
        <v>0</v>
      </c>
      <c r="AR36" s="143" t="s">
        <v>188</v>
      </c>
      <c r="AS36" s="149">
        <v>0</v>
      </c>
      <c r="AT36" s="149">
        <v>0</v>
      </c>
      <c r="AU36" s="143" t="s">
        <v>188</v>
      </c>
      <c r="AV36" s="149">
        <v>27317.4</v>
      </c>
      <c r="AW36" s="143" t="s">
        <v>188</v>
      </c>
      <c r="AX36" s="142">
        <v>46118</v>
      </c>
      <c r="AY36" s="143" t="s">
        <v>766</v>
      </c>
    </row>
    <row r="37" spans="1:51">
      <c r="A37" s="10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</row>
    <row r="38" spans="1:5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</row>
    <row r="39" spans="1:5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</row>
    <row r="40" spans="1:5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</row>
    <row r="41" spans="1:5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</row>
    <row r="42" spans="1:5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</row>
    <row r="43" spans="1:5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</row>
    <row r="44" spans="1:5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</row>
    <row r="45" spans="1:5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</row>
    <row r="46" spans="1:5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</row>
    <row r="47" spans="1:5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</row>
    <row r="48" spans="1:5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</row>
    <row r="49" spans="1:5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</row>
    <row r="50" spans="1:5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</row>
    <row r="51" spans="1:5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</row>
    <row r="52" spans="1:5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</row>
    <row r="53" spans="1:5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</row>
    <row r="54" spans="1:5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</row>
    <row r="55" spans="1:5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</row>
    <row r="56" spans="1:5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</row>
    <row r="57" spans="1:5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</row>
    <row r="58" spans="1:5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</row>
    <row r="59" spans="1:5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</row>
    <row r="60" spans="1:5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</row>
    <row r="61" spans="1:5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</row>
    <row r="62" spans="1:5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</row>
    <row r="63" spans="1:5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</row>
    <row r="64" spans="1:5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</row>
    <row r="65" spans="1:5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</row>
    <row r="66" spans="1:5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</row>
    <row r="67" spans="1:5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</row>
    <row r="68" spans="1:5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</row>
    <row r="69" spans="1:5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</row>
    <row r="70" spans="1:5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</row>
    <row r="71" spans="1:5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</row>
    <row r="72" spans="1:5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</row>
    <row r="73" spans="1:5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</row>
    <row r="74" spans="1:5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</row>
    <row r="75" spans="1:5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</row>
    <row r="76" spans="1:5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</row>
    <row r="77" spans="1:5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</row>
    <row r="78" spans="1:5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</row>
    <row r="79" spans="1:5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</row>
    <row r="80" spans="1:5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</row>
    <row r="81" spans="1:5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</row>
    <row r="82" spans="1:5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</row>
    <row r="83" spans="1:5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</row>
    <row r="84" spans="1:5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</row>
    <row r="85" spans="1:5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</row>
    <row r="86" spans="1:5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</row>
    <row r="87" spans="1:5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</row>
    <row r="88" spans="1:5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</row>
    <row r="89" spans="1:5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</row>
    <row r="90" spans="1:5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</row>
    <row r="91" spans="1:5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</row>
    <row r="92" spans="1:5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</row>
    <row r="93" spans="1:5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</row>
    <row r="94" spans="1:5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</row>
    <row r="95" spans="1:5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</row>
    <row r="96" spans="1:5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</row>
    <row r="97" spans="1:5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</row>
    <row r="98" spans="1:5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</row>
    <row r="99" spans="1:5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</row>
    <row r="100" spans="1:5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</row>
    <row r="101" spans="1:5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</row>
    <row r="102" spans="1:5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</row>
    <row r="103" spans="1:5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</row>
    <row r="104" spans="1:5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</row>
    <row r="105" spans="1:5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</row>
    <row r="106" spans="1:5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</row>
    <row r="107" spans="1:5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</row>
    <row r="108" spans="1:5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</row>
    <row r="109" spans="1:5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</row>
    <row r="110" spans="1:5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</row>
    <row r="111" spans="1:5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</row>
    <row r="112" spans="1:5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</row>
    <row r="113" spans="1:5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</row>
    <row r="114" spans="1:5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</row>
    <row r="115" spans="1:5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</row>
    <row r="116" spans="1:5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</row>
    <row r="117" spans="1:5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  <c r="AY117" s="95"/>
    </row>
    <row r="118" spans="1:5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  <c r="AY118" s="95"/>
    </row>
    <row r="119" spans="1:5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  <c r="AY119" s="95"/>
    </row>
    <row r="120" spans="1:5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  <c r="AY120" s="95"/>
    </row>
    <row r="121" spans="1:5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  <c r="AY121" s="95"/>
    </row>
    <row r="122" spans="1:5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</row>
    <row r="123" spans="1:5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  <c r="AY123" s="95"/>
    </row>
    <row r="124" spans="1:5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  <c r="AY124" s="95"/>
    </row>
    <row r="125" spans="1:5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</row>
    <row r="126" spans="1:5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  <c r="AY126" s="95"/>
    </row>
    <row r="127" spans="1:5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</row>
    <row r="128" spans="1:5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  <c r="AY128" s="95"/>
    </row>
    <row r="129" spans="1:5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  <c r="AY129" s="95"/>
    </row>
    <row r="130" spans="1:5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</row>
    <row r="131" spans="1:5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</row>
    <row r="132" spans="1:5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</row>
    <row r="133" spans="1:5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</row>
    <row r="134" spans="1:5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  <c r="AY134" s="95"/>
    </row>
    <row r="135" spans="1:5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</row>
    <row r="136" spans="1:5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  <c r="AY136" s="95"/>
    </row>
    <row r="137" spans="1:5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</row>
    <row r="138" spans="1:5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</row>
    <row r="139" spans="1:5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</row>
    <row r="140" spans="1:5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  <c r="AY140" s="95"/>
    </row>
    <row r="141" spans="1:5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</row>
    <row r="142" spans="1:5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  <c r="AY142" s="95"/>
    </row>
    <row r="143" spans="1:5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</row>
    <row r="144" spans="1:5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/>
      <c r="AX144" s="95"/>
      <c r="AY144" s="95"/>
    </row>
    <row r="145" spans="1:5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  <c r="AY145" s="95"/>
    </row>
    <row r="146" spans="1:5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</row>
    <row r="147" spans="1:5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  <c r="AY147" s="95"/>
    </row>
    <row r="148" spans="1:5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  <c r="AY148" s="95"/>
    </row>
    <row r="149" spans="1:5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  <c r="AY149" s="95"/>
    </row>
    <row r="150" spans="1:5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</row>
    <row r="151" spans="1: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/>
    </row>
    <row r="152" spans="1:5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</row>
    <row r="153" spans="1:5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  <c r="AY153" s="95"/>
    </row>
    <row r="154" spans="1:5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  <c r="AY154" s="95"/>
    </row>
    <row r="155" spans="1:5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  <c r="AY155" s="95"/>
    </row>
    <row r="156" spans="1:5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  <c r="AY156" s="95"/>
    </row>
    <row r="157" spans="1:5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95"/>
    </row>
    <row r="158" spans="1:5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  <c r="AY158" s="95"/>
    </row>
    <row r="159" spans="1:5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  <c r="AY159" s="95"/>
    </row>
    <row r="160" spans="1:5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  <c r="AY160" s="95"/>
    </row>
    <row r="161" spans="1:5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</row>
    <row r="162" spans="1:5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  <c r="AY162" s="95"/>
    </row>
    <row r="163" spans="1:5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</row>
    <row r="164" spans="1:5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  <c r="AY164" s="95"/>
    </row>
    <row r="165" spans="1:5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  <c r="AY165" s="95"/>
    </row>
    <row r="166" spans="1:5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</row>
    <row r="167" spans="1:5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  <c r="AY167" s="95"/>
    </row>
    <row r="168" spans="1:5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  <c r="AY168" s="95"/>
    </row>
    <row r="169" spans="1:5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</row>
    <row r="170" spans="1:5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  <c r="AY170" s="95"/>
    </row>
    <row r="171" spans="1:5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</row>
    <row r="172" spans="1:5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  <c r="AY172" s="95"/>
    </row>
    <row r="173" spans="1:5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  <c r="AY173" s="95"/>
    </row>
    <row r="174" spans="1:5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  <c r="AY174" s="95"/>
    </row>
    <row r="175" spans="1:5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/>
      <c r="AX175" s="95"/>
      <c r="AY175" s="95"/>
    </row>
    <row r="176" spans="1:5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  <c r="AY176" s="95"/>
    </row>
    <row r="177" spans="1:5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  <c r="AY177" s="95"/>
    </row>
    <row r="178" spans="1:5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  <c r="AY178" s="95"/>
    </row>
    <row r="179" spans="1:5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  <c r="AY179" s="95"/>
    </row>
    <row r="180" spans="1:5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95"/>
      <c r="AW180" s="95"/>
      <c r="AX180" s="95"/>
      <c r="AY180" s="95"/>
    </row>
    <row r="181" spans="1:5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  <c r="AY181" s="95"/>
    </row>
    <row r="182" spans="1:5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/>
      <c r="AV182" s="95"/>
      <c r="AW182" s="95"/>
      <c r="AX182" s="95"/>
      <c r="AY182" s="95"/>
    </row>
    <row r="183" spans="1:5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/>
      <c r="AW183" s="95"/>
      <c r="AX183" s="95"/>
      <c r="AY183" s="95"/>
    </row>
    <row r="184" spans="1:5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  <c r="AY184" s="95"/>
    </row>
    <row r="185" spans="1:5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  <c r="AY185" s="95"/>
    </row>
    <row r="186" spans="1:5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/>
      <c r="AX186" s="95"/>
      <c r="AY186" s="95"/>
    </row>
    <row r="187" spans="1:5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/>
      <c r="AX187" s="95"/>
      <c r="AY187" s="95"/>
    </row>
    <row r="188" spans="1:5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  <c r="AY188" s="95"/>
    </row>
    <row r="189" spans="1:5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/>
      <c r="AX189" s="95"/>
      <c r="AY189" s="95"/>
    </row>
    <row r="190" spans="1:5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  <c r="AY190" s="95"/>
    </row>
    <row r="191" spans="1:5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  <c r="AX191" s="95"/>
      <c r="AY191" s="95"/>
    </row>
    <row r="192" spans="1:5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  <c r="AX192" s="95"/>
      <c r="AY192" s="95"/>
    </row>
    <row r="193" spans="1:5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  <c r="AX193" s="95"/>
      <c r="AY193" s="95"/>
    </row>
    <row r="194" spans="1:5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  <c r="AY194" s="95"/>
    </row>
    <row r="195" spans="1:5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  <c r="AX195" s="95"/>
      <c r="AY195" s="95"/>
    </row>
    <row r="196" spans="1:5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  <c r="AY196" s="95"/>
    </row>
    <row r="197" spans="1:5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</row>
    <row r="198" spans="1:5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  <c r="AY198" s="95"/>
    </row>
    <row r="199" spans="1:5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  <c r="AY199" s="95"/>
    </row>
    <row r="200" spans="1:5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  <c r="AX200" s="95"/>
      <c r="AY200" s="95"/>
    </row>
    <row r="201" spans="1:5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  <c r="AU201" s="95"/>
      <c r="AV201" s="95"/>
      <c r="AW201" s="95"/>
      <c r="AX201" s="95"/>
      <c r="AY201" s="95"/>
    </row>
    <row r="202" spans="1:5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</row>
    <row r="203" spans="1:5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  <c r="AQ203" s="102"/>
      <c r="AR203" s="102"/>
      <c r="AS203" s="102"/>
      <c r="AT203" s="102"/>
      <c r="AU203" s="102"/>
      <c r="AV203" s="102"/>
      <c r="AW203" s="102"/>
      <c r="AX203" s="102"/>
      <c r="AY203" s="102"/>
    </row>
    <row r="204" spans="1:5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  <c r="AQ204" s="102"/>
      <c r="AR204" s="102"/>
      <c r="AS204" s="102"/>
      <c r="AT204" s="102"/>
      <c r="AU204" s="102"/>
      <c r="AV204" s="102"/>
      <c r="AW204" s="102"/>
      <c r="AX204" s="102"/>
      <c r="AY204" s="102"/>
    </row>
    <row r="205" spans="1:5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102"/>
      <c r="AM205" s="102"/>
      <c r="AN205" s="102"/>
      <c r="AO205" s="102"/>
      <c r="AP205" s="102"/>
      <c r="AQ205" s="102"/>
      <c r="AR205" s="102"/>
      <c r="AS205" s="102"/>
      <c r="AT205" s="102"/>
      <c r="AU205" s="102"/>
      <c r="AV205" s="102"/>
      <c r="AW205" s="102"/>
      <c r="AX205" s="102"/>
      <c r="AY205" s="102"/>
    </row>
    <row r="206" spans="1:5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  <c r="AM206" s="102"/>
      <c r="AN206" s="102"/>
      <c r="AO206" s="102"/>
      <c r="AP206" s="102"/>
      <c r="AQ206" s="102"/>
      <c r="AR206" s="102"/>
      <c r="AS206" s="102"/>
      <c r="AT206" s="102"/>
      <c r="AU206" s="102"/>
      <c r="AV206" s="102"/>
      <c r="AW206" s="102"/>
      <c r="AX206" s="102"/>
      <c r="AY206" s="102"/>
    </row>
    <row r="207" spans="1:5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  <c r="AQ207" s="102"/>
      <c r="AR207" s="102"/>
      <c r="AS207" s="102"/>
      <c r="AT207" s="102"/>
      <c r="AU207" s="102"/>
      <c r="AV207" s="102"/>
      <c r="AW207" s="102"/>
      <c r="AX207" s="102"/>
      <c r="AY207" s="102"/>
    </row>
    <row r="208" spans="1:5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  <c r="AQ208" s="102"/>
      <c r="AR208" s="102"/>
      <c r="AS208" s="102"/>
      <c r="AT208" s="102"/>
      <c r="AU208" s="102"/>
      <c r="AV208" s="102"/>
      <c r="AW208" s="102"/>
      <c r="AX208" s="102"/>
      <c r="AY208" s="102"/>
    </row>
    <row r="209" spans="1:5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  <c r="AN209" s="102"/>
      <c r="AO209" s="102"/>
      <c r="AP209" s="102"/>
      <c r="AQ209" s="102"/>
      <c r="AR209" s="102"/>
      <c r="AS209" s="102"/>
      <c r="AT209" s="102"/>
      <c r="AU209" s="102"/>
      <c r="AV209" s="102"/>
      <c r="AW209" s="102"/>
      <c r="AX209" s="102"/>
      <c r="AY209" s="102"/>
    </row>
    <row r="210" spans="1:5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  <c r="AN210" s="102"/>
      <c r="AO210" s="102"/>
      <c r="AP210" s="102"/>
      <c r="AQ210" s="102"/>
      <c r="AR210" s="102"/>
      <c r="AS210" s="102"/>
      <c r="AT210" s="102"/>
      <c r="AU210" s="102"/>
      <c r="AV210" s="102"/>
      <c r="AW210" s="102"/>
      <c r="AX210" s="102"/>
      <c r="AY210" s="102"/>
    </row>
    <row r="211" spans="1:5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2"/>
      <c r="AJ211" s="102"/>
      <c r="AK211" s="102"/>
      <c r="AL211" s="102"/>
      <c r="AM211" s="102"/>
      <c r="AN211" s="102"/>
      <c r="AO211" s="102"/>
      <c r="AP211" s="102"/>
      <c r="AQ211" s="102"/>
      <c r="AR211" s="102"/>
      <c r="AS211" s="102"/>
      <c r="AT211" s="102"/>
      <c r="AU211" s="102"/>
      <c r="AV211" s="102"/>
      <c r="AW211" s="102"/>
      <c r="AX211" s="102"/>
      <c r="AY211" s="102"/>
    </row>
    <row r="212" spans="1:5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102"/>
      <c r="AM212" s="102"/>
      <c r="AN212" s="102"/>
      <c r="AO212" s="102"/>
      <c r="AP212" s="102"/>
      <c r="AQ212" s="102"/>
      <c r="AR212" s="102"/>
      <c r="AS212" s="102"/>
      <c r="AT212" s="102"/>
      <c r="AU212" s="102"/>
      <c r="AV212" s="102"/>
      <c r="AW212" s="102"/>
      <c r="AX212" s="102"/>
      <c r="AY212" s="102"/>
    </row>
    <row r="213" spans="1:5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102"/>
      <c r="AM213" s="102"/>
      <c r="AN213" s="102"/>
      <c r="AO213" s="102"/>
      <c r="AP213" s="102"/>
      <c r="AQ213" s="102"/>
      <c r="AR213" s="102"/>
      <c r="AS213" s="102"/>
      <c r="AT213" s="102"/>
      <c r="AU213" s="102"/>
      <c r="AV213" s="102"/>
      <c r="AW213" s="102"/>
      <c r="AX213" s="102"/>
      <c r="AY213" s="102"/>
    </row>
    <row r="214" spans="1:5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  <c r="AQ214" s="102"/>
      <c r="AR214" s="102"/>
      <c r="AS214" s="102"/>
      <c r="AT214" s="102"/>
      <c r="AU214" s="102"/>
      <c r="AV214" s="102"/>
      <c r="AW214" s="102"/>
      <c r="AX214" s="102"/>
      <c r="AY214" s="102"/>
    </row>
    <row r="215" spans="1:5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  <c r="AM215" s="102"/>
      <c r="AN215" s="102"/>
      <c r="AO215" s="102"/>
      <c r="AP215" s="102"/>
      <c r="AQ215" s="102"/>
      <c r="AR215" s="102"/>
      <c r="AS215" s="102"/>
      <c r="AT215" s="102"/>
      <c r="AU215" s="102"/>
      <c r="AV215" s="102"/>
      <c r="AW215" s="102"/>
      <c r="AX215" s="102"/>
      <c r="AY215" s="102"/>
    </row>
    <row r="216" spans="1:5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  <c r="AM216" s="102"/>
      <c r="AN216" s="102"/>
      <c r="AO216" s="102"/>
      <c r="AP216" s="102"/>
      <c r="AQ216" s="102"/>
      <c r="AR216" s="102"/>
      <c r="AS216" s="102"/>
      <c r="AT216" s="102"/>
      <c r="AU216" s="102"/>
      <c r="AV216" s="102"/>
      <c r="AW216" s="102"/>
      <c r="AX216" s="102"/>
      <c r="AY216" s="102"/>
    </row>
    <row r="217" spans="1:5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102"/>
      <c r="AM217" s="102"/>
      <c r="AN217" s="102"/>
      <c r="AO217" s="102"/>
      <c r="AP217" s="102"/>
      <c r="AQ217" s="102"/>
      <c r="AR217" s="102"/>
      <c r="AS217" s="102"/>
      <c r="AT217" s="102"/>
      <c r="AU217" s="102"/>
      <c r="AV217" s="102"/>
      <c r="AW217" s="102"/>
      <c r="AX217" s="102"/>
      <c r="AY217" s="102"/>
    </row>
    <row r="218" spans="1:5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102"/>
      <c r="AM218" s="102"/>
      <c r="AN218" s="102"/>
      <c r="AO218" s="102"/>
      <c r="AP218" s="102"/>
      <c r="AQ218" s="102"/>
      <c r="AR218" s="102"/>
      <c r="AS218" s="102"/>
      <c r="AT218" s="102"/>
      <c r="AU218" s="102"/>
      <c r="AV218" s="102"/>
      <c r="AW218" s="102"/>
      <c r="AX218" s="102"/>
      <c r="AY218" s="102"/>
    </row>
    <row r="219" spans="1:5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02"/>
      <c r="AL219" s="102"/>
      <c r="AM219" s="102"/>
      <c r="AN219" s="102"/>
      <c r="AO219" s="102"/>
      <c r="AP219" s="102"/>
      <c r="AQ219" s="102"/>
      <c r="AR219" s="102"/>
      <c r="AS219" s="102"/>
      <c r="AT219" s="102"/>
      <c r="AU219" s="102"/>
      <c r="AV219" s="102"/>
      <c r="AW219" s="102"/>
      <c r="AX219" s="102"/>
      <c r="AY219" s="102"/>
    </row>
    <row r="220" spans="1:5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02"/>
      <c r="AL220" s="102"/>
      <c r="AM220" s="102"/>
      <c r="AN220" s="102"/>
      <c r="AO220" s="102"/>
      <c r="AP220" s="102"/>
      <c r="AQ220" s="102"/>
      <c r="AR220" s="102"/>
      <c r="AS220" s="102"/>
      <c r="AT220" s="102"/>
      <c r="AU220" s="102"/>
      <c r="AV220" s="102"/>
      <c r="AW220" s="102"/>
      <c r="AX220" s="102"/>
      <c r="AY220" s="102"/>
    </row>
    <row r="221" spans="1:5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102"/>
      <c r="AM221" s="102"/>
      <c r="AN221" s="102"/>
      <c r="AO221" s="102"/>
      <c r="AP221" s="102"/>
      <c r="AQ221" s="102"/>
      <c r="AR221" s="102"/>
      <c r="AS221" s="102"/>
      <c r="AT221" s="102"/>
      <c r="AU221" s="102"/>
      <c r="AV221" s="102"/>
      <c r="AW221" s="102"/>
      <c r="AX221" s="102"/>
      <c r="AY221" s="102"/>
    </row>
    <row r="222" spans="1:5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102"/>
      <c r="AM222" s="102"/>
      <c r="AN222" s="102"/>
      <c r="AO222" s="102"/>
      <c r="AP222" s="102"/>
      <c r="AQ222" s="102"/>
      <c r="AR222" s="102"/>
      <c r="AS222" s="102"/>
      <c r="AT222" s="102"/>
      <c r="AU222" s="102"/>
      <c r="AV222" s="102"/>
      <c r="AW222" s="102"/>
      <c r="AX222" s="102"/>
      <c r="AY222" s="102"/>
    </row>
    <row r="223" spans="1:5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102"/>
      <c r="AM223" s="102"/>
      <c r="AN223" s="102"/>
      <c r="AO223" s="102"/>
      <c r="AP223" s="102"/>
      <c r="AQ223" s="102"/>
      <c r="AR223" s="102"/>
      <c r="AS223" s="102"/>
      <c r="AT223" s="102"/>
      <c r="AU223" s="102"/>
      <c r="AV223" s="102"/>
      <c r="AW223" s="102"/>
      <c r="AX223" s="102"/>
      <c r="AY223" s="102"/>
    </row>
    <row r="224" spans="1:5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102"/>
      <c r="AM224" s="102"/>
      <c r="AN224" s="102"/>
      <c r="AO224" s="102"/>
      <c r="AP224" s="102"/>
      <c r="AQ224" s="102"/>
      <c r="AR224" s="102"/>
      <c r="AS224" s="102"/>
      <c r="AT224" s="102"/>
      <c r="AU224" s="102"/>
      <c r="AV224" s="102"/>
      <c r="AW224" s="102"/>
      <c r="AX224" s="102"/>
      <c r="AY224" s="102"/>
    </row>
    <row r="225" spans="1:5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02"/>
      <c r="AJ225" s="102"/>
      <c r="AK225" s="102"/>
      <c r="AL225" s="102"/>
      <c r="AM225" s="102"/>
      <c r="AN225" s="102"/>
      <c r="AO225" s="102"/>
      <c r="AP225" s="102"/>
      <c r="AQ225" s="102"/>
      <c r="AR225" s="102"/>
      <c r="AS225" s="102"/>
      <c r="AT225" s="102"/>
      <c r="AU225" s="102"/>
      <c r="AV225" s="102"/>
      <c r="AW225" s="102"/>
      <c r="AX225" s="102"/>
      <c r="AY225" s="102"/>
    </row>
    <row r="226" spans="1:5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02"/>
      <c r="AJ226" s="102"/>
      <c r="AK226" s="102"/>
      <c r="AL226" s="102"/>
      <c r="AM226" s="102"/>
      <c r="AN226" s="102"/>
      <c r="AO226" s="102"/>
      <c r="AP226" s="102"/>
      <c r="AQ226" s="102"/>
      <c r="AR226" s="102"/>
      <c r="AS226" s="102"/>
      <c r="AT226" s="102"/>
      <c r="AU226" s="102"/>
      <c r="AV226" s="102"/>
      <c r="AW226" s="102"/>
      <c r="AX226" s="102"/>
      <c r="AY226" s="102"/>
    </row>
    <row r="227" spans="1:5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2"/>
      <c r="AJ227" s="102"/>
      <c r="AK227" s="102"/>
      <c r="AL227" s="102"/>
      <c r="AM227" s="102"/>
      <c r="AN227" s="102"/>
      <c r="AO227" s="102"/>
      <c r="AP227" s="102"/>
      <c r="AQ227" s="102"/>
      <c r="AR227" s="102"/>
      <c r="AS227" s="102"/>
      <c r="AT227" s="102"/>
      <c r="AU227" s="102"/>
      <c r="AV227" s="102"/>
      <c r="AW227" s="102"/>
      <c r="AX227" s="102"/>
      <c r="AY227" s="102"/>
    </row>
    <row r="228" spans="1:5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2"/>
      <c r="AJ228" s="102"/>
      <c r="AK228" s="102"/>
      <c r="AL228" s="102"/>
      <c r="AM228" s="102"/>
      <c r="AN228" s="102"/>
      <c r="AO228" s="102"/>
      <c r="AP228" s="102"/>
      <c r="AQ228" s="102"/>
      <c r="AR228" s="102"/>
      <c r="AS228" s="102"/>
      <c r="AT228" s="102"/>
      <c r="AU228" s="102"/>
      <c r="AV228" s="102"/>
      <c r="AW228" s="102"/>
      <c r="AX228" s="102"/>
      <c r="AY228" s="102"/>
    </row>
    <row r="229" spans="1:5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02"/>
      <c r="AJ229" s="102"/>
      <c r="AK229" s="102"/>
      <c r="AL229" s="102"/>
      <c r="AM229" s="102"/>
      <c r="AN229" s="102"/>
      <c r="AO229" s="102"/>
      <c r="AP229" s="102"/>
      <c r="AQ229" s="102"/>
      <c r="AR229" s="102"/>
      <c r="AS229" s="102"/>
      <c r="AT229" s="102"/>
      <c r="AU229" s="102"/>
      <c r="AV229" s="102"/>
      <c r="AW229" s="102"/>
      <c r="AX229" s="102"/>
      <c r="AY229" s="102"/>
    </row>
    <row r="230" spans="1:5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02"/>
      <c r="AJ230" s="102"/>
      <c r="AK230" s="102"/>
      <c r="AL230" s="102"/>
      <c r="AM230" s="102"/>
      <c r="AN230" s="102"/>
      <c r="AO230" s="102"/>
      <c r="AP230" s="102"/>
      <c r="AQ230" s="102"/>
      <c r="AR230" s="102"/>
      <c r="AS230" s="102"/>
      <c r="AT230" s="102"/>
      <c r="AU230" s="102"/>
      <c r="AV230" s="102"/>
      <c r="AW230" s="102"/>
      <c r="AX230" s="102"/>
      <c r="AY230" s="102"/>
    </row>
    <row r="231" spans="1:5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2"/>
      <c r="AJ231" s="102"/>
      <c r="AK231" s="102"/>
      <c r="AL231" s="102"/>
      <c r="AM231" s="102"/>
      <c r="AN231" s="102"/>
      <c r="AO231" s="102"/>
      <c r="AP231" s="102"/>
      <c r="AQ231" s="102"/>
      <c r="AR231" s="102"/>
      <c r="AS231" s="102"/>
      <c r="AT231" s="102"/>
      <c r="AU231" s="102"/>
      <c r="AV231" s="102"/>
      <c r="AW231" s="102"/>
      <c r="AX231" s="102"/>
      <c r="AY231" s="102"/>
    </row>
    <row r="232" spans="1:5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02"/>
      <c r="AJ232" s="102"/>
      <c r="AK232" s="102"/>
      <c r="AL232" s="102"/>
      <c r="AM232" s="102"/>
      <c r="AN232" s="102"/>
      <c r="AO232" s="102"/>
      <c r="AP232" s="102"/>
      <c r="AQ232" s="102"/>
      <c r="AR232" s="102"/>
      <c r="AS232" s="102"/>
      <c r="AT232" s="102"/>
      <c r="AU232" s="102"/>
      <c r="AV232" s="102"/>
      <c r="AW232" s="102"/>
      <c r="AX232" s="102"/>
      <c r="AY232" s="102"/>
    </row>
    <row r="233" spans="1:5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2"/>
      <c r="AJ233" s="102"/>
      <c r="AK233" s="102"/>
      <c r="AL233" s="102"/>
      <c r="AM233" s="102"/>
      <c r="AN233" s="102"/>
      <c r="AO233" s="102"/>
      <c r="AP233" s="102"/>
      <c r="AQ233" s="102"/>
      <c r="AR233" s="102"/>
      <c r="AS233" s="102"/>
      <c r="AT233" s="102"/>
      <c r="AU233" s="102"/>
      <c r="AV233" s="102"/>
      <c r="AW233" s="102"/>
      <c r="AX233" s="102"/>
      <c r="AY233" s="102"/>
    </row>
    <row r="234" spans="1:5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2"/>
      <c r="AL234" s="102"/>
      <c r="AM234" s="102"/>
      <c r="AN234" s="102"/>
      <c r="AO234" s="102"/>
      <c r="AP234" s="102"/>
      <c r="AQ234" s="102"/>
      <c r="AR234" s="102"/>
      <c r="AS234" s="102"/>
      <c r="AT234" s="102"/>
      <c r="AU234" s="102"/>
      <c r="AV234" s="102"/>
      <c r="AW234" s="102"/>
      <c r="AX234" s="102"/>
      <c r="AY234" s="102"/>
    </row>
    <row r="235" spans="1:5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02"/>
      <c r="AJ235" s="102"/>
      <c r="AK235" s="102"/>
      <c r="AL235" s="102"/>
      <c r="AM235" s="102"/>
      <c r="AN235" s="102"/>
      <c r="AO235" s="102"/>
      <c r="AP235" s="102"/>
      <c r="AQ235" s="102"/>
      <c r="AR235" s="102"/>
      <c r="AS235" s="102"/>
      <c r="AT235" s="102"/>
      <c r="AU235" s="102"/>
      <c r="AV235" s="102"/>
      <c r="AW235" s="102"/>
      <c r="AX235" s="102"/>
      <c r="AY235" s="102"/>
    </row>
    <row r="236" spans="1:5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102"/>
      <c r="AM236" s="102"/>
      <c r="AN236" s="102"/>
      <c r="AO236" s="102"/>
      <c r="AP236" s="102"/>
      <c r="AQ236" s="102"/>
      <c r="AR236" s="102"/>
      <c r="AS236" s="102"/>
      <c r="AT236" s="102"/>
      <c r="AU236" s="102"/>
      <c r="AV236" s="102"/>
      <c r="AW236" s="102"/>
      <c r="AX236" s="102"/>
      <c r="AY236" s="102"/>
    </row>
    <row r="237" spans="1:5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  <c r="AI237" s="102"/>
      <c r="AJ237" s="102"/>
      <c r="AK237" s="102"/>
      <c r="AL237" s="102"/>
      <c r="AM237" s="102"/>
      <c r="AN237" s="102"/>
      <c r="AO237" s="102"/>
      <c r="AP237" s="102"/>
      <c r="AQ237" s="102"/>
      <c r="AR237" s="102"/>
      <c r="AS237" s="102"/>
      <c r="AT237" s="102"/>
      <c r="AU237" s="102"/>
      <c r="AV237" s="102"/>
      <c r="AW237" s="102"/>
      <c r="AX237" s="102"/>
      <c r="AY237" s="102"/>
    </row>
    <row r="238" spans="1:5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  <c r="AI238" s="102"/>
      <c r="AJ238" s="102"/>
      <c r="AK238" s="102"/>
      <c r="AL238" s="102"/>
      <c r="AM238" s="102"/>
      <c r="AN238" s="102"/>
      <c r="AO238" s="102"/>
      <c r="AP238" s="102"/>
      <c r="AQ238" s="102"/>
      <c r="AR238" s="102"/>
      <c r="AS238" s="102"/>
      <c r="AT238" s="102"/>
      <c r="AU238" s="102"/>
      <c r="AV238" s="102"/>
      <c r="AW238" s="102"/>
      <c r="AX238" s="102"/>
      <c r="AY238" s="102"/>
    </row>
    <row r="239" spans="1:5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02"/>
      <c r="AJ239" s="102"/>
      <c r="AK239" s="102"/>
      <c r="AL239" s="102"/>
      <c r="AM239" s="102"/>
      <c r="AN239" s="102"/>
      <c r="AO239" s="102"/>
      <c r="AP239" s="102"/>
      <c r="AQ239" s="102"/>
      <c r="AR239" s="102"/>
      <c r="AS239" s="102"/>
      <c r="AT239" s="102"/>
      <c r="AU239" s="102"/>
      <c r="AV239" s="102"/>
      <c r="AW239" s="102"/>
      <c r="AX239" s="102"/>
      <c r="AY239" s="102"/>
    </row>
    <row r="240" spans="1:5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  <c r="AI240" s="102"/>
      <c r="AJ240" s="102"/>
      <c r="AK240" s="102"/>
      <c r="AL240" s="102"/>
      <c r="AM240" s="102"/>
      <c r="AN240" s="102"/>
      <c r="AO240" s="102"/>
      <c r="AP240" s="102"/>
      <c r="AQ240" s="102"/>
      <c r="AR240" s="102"/>
      <c r="AS240" s="102"/>
      <c r="AT240" s="102"/>
      <c r="AU240" s="102"/>
      <c r="AV240" s="102"/>
      <c r="AW240" s="102"/>
      <c r="AX240" s="102"/>
      <c r="AY240" s="102"/>
    </row>
    <row r="241" spans="1:5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02"/>
      <c r="AJ241" s="102"/>
      <c r="AK241" s="102"/>
      <c r="AL241" s="102"/>
      <c r="AM241" s="102"/>
      <c r="AN241" s="102"/>
      <c r="AO241" s="102"/>
      <c r="AP241" s="102"/>
      <c r="AQ241" s="102"/>
      <c r="AR241" s="102"/>
      <c r="AS241" s="102"/>
      <c r="AT241" s="102"/>
      <c r="AU241" s="102"/>
      <c r="AV241" s="102"/>
      <c r="AW241" s="102"/>
      <c r="AX241" s="102"/>
      <c r="AY241" s="102"/>
    </row>
    <row r="242" spans="1:5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  <c r="AQ242" s="102"/>
      <c r="AR242" s="102"/>
      <c r="AS242" s="102"/>
      <c r="AT242" s="102"/>
      <c r="AU242" s="102"/>
      <c r="AV242" s="102"/>
      <c r="AW242" s="102"/>
      <c r="AX242" s="102"/>
      <c r="AY242" s="102"/>
    </row>
    <row r="243" spans="1:5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2"/>
      <c r="AJ243" s="102"/>
      <c r="AK243" s="102"/>
      <c r="AL243" s="102"/>
      <c r="AM243" s="102"/>
      <c r="AN243" s="102"/>
      <c r="AO243" s="102"/>
      <c r="AP243" s="102"/>
      <c r="AQ243" s="102"/>
      <c r="AR243" s="102"/>
      <c r="AS243" s="102"/>
      <c r="AT243" s="102"/>
      <c r="AU243" s="102"/>
      <c r="AV243" s="102"/>
      <c r="AW243" s="102"/>
      <c r="AX243" s="102"/>
      <c r="AY243" s="102"/>
    </row>
    <row r="244" spans="1:5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02"/>
      <c r="AJ244" s="102"/>
      <c r="AK244" s="102"/>
      <c r="AL244" s="102"/>
      <c r="AM244" s="102"/>
      <c r="AN244" s="102"/>
      <c r="AO244" s="102"/>
      <c r="AP244" s="102"/>
      <c r="AQ244" s="102"/>
      <c r="AR244" s="102"/>
      <c r="AS244" s="102"/>
      <c r="AT244" s="102"/>
      <c r="AU244" s="102"/>
      <c r="AV244" s="102"/>
      <c r="AW244" s="102"/>
      <c r="AX244" s="102"/>
      <c r="AY244" s="102"/>
    </row>
    <row r="245" spans="1:5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2"/>
      <c r="AJ245" s="102"/>
      <c r="AK245" s="102"/>
      <c r="AL245" s="102"/>
      <c r="AM245" s="102"/>
      <c r="AN245" s="102"/>
      <c r="AO245" s="102"/>
      <c r="AP245" s="102"/>
      <c r="AQ245" s="102"/>
      <c r="AR245" s="102"/>
      <c r="AS245" s="102"/>
      <c r="AT245" s="102"/>
      <c r="AU245" s="102"/>
      <c r="AV245" s="102"/>
      <c r="AW245" s="102"/>
      <c r="AX245" s="102"/>
      <c r="AY245" s="102"/>
    </row>
    <row r="246" spans="1:5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02"/>
      <c r="AJ246" s="102"/>
      <c r="AK246" s="102"/>
      <c r="AL246" s="102"/>
      <c r="AM246" s="102"/>
      <c r="AN246" s="102"/>
      <c r="AO246" s="102"/>
      <c r="AP246" s="102"/>
      <c r="AQ246" s="102"/>
      <c r="AR246" s="102"/>
      <c r="AS246" s="102"/>
      <c r="AT246" s="102"/>
      <c r="AU246" s="102"/>
      <c r="AV246" s="102"/>
      <c r="AW246" s="102"/>
      <c r="AX246" s="102"/>
      <c r="AY246" s="102"/>
    </row>
    <row r="247" spans="1:5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2"/>
      <c r="AJ247" s="102"/>
      <c r="AK247" s="102"/>
      <c r="AL247" s="102"/>
      <c r="AM247" s="102"/>
      <c r="AN247" s="102"/>
      <c r="AO247" s="102"/>
      <c r="AP247" s="102"/>
      <c r="AQ247" s="102"/>
      <c r="AR247" s="102"/>
      <c r="AS247" s="102"/>
      <c r="AT247" s="102"/>
      <c r="AU247" s="102"/>
      <c r="AV247" s="102"/>
      <c r="AW247" s="102"/>
      <c r="AX247" s="102"/>
      <c r="AY247" s="102"/>
    </row>
    <row r="248" spans="1:5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2"/>
      <c r="AK248" s="102"/>
      <c r="AL248" s="102"/>
      <c r="AM248" s="102"/>
      <c r="AN248" s="102"/>
      <c r="AO248" s="102"/>
      <c r="AP248" s="102"/>
      <c r="AQ248" s="102"/>
      <c r="AR248" s="102"/>
      <c r="AS248" s="102"/>
      <c r="AT248" s="102"/>
      <c r="AU248" s="102"/>
      <c r="AV248" s="102"/>
      <c r="AW248" s="102"/>
      <c r="AX248" s="102"/>
      <c r="AY248" s="102"/>
    </row>
    <row r="249" spans="1:5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  <c r="AN249" s="102"/>
      <c r="AO249" s="102"/>
      <c r="AP249" s="102"/>
      <c r="AQ249" s="102"/>
      <c r="AR249" s="102"/>
      <c r="AS249" s="102"/>
      <c r="AT249" s="102"/>
      <c r="AU249" s="102"/>
      <c r="AV249" s="102"/>
      <c r="AW249" s="102"/>
      <c r="AX249" s="102"/>
      <c r="AY249" s="102"/>
    </row>
    <row r="250" spans="1:5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  <c r="AX250" s="102"/>
      <c r="AY250" s="102"/>
    </row>
    <row r="251" spans="1:5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102"/>
      <c r="AM251" s="102"/>
      <c r="AN251" s="102"/>
      <c r="AO251" s="102"/>
      <c r="AP251" s="102"/>
      <c r="AQ251" s="102"/>
      <c r="AR251" s="102"/>
      <c r="AS251" s="102"/>
      <c r="AT251" s="102"/>
      <c r="AU251" s="102"/>
      <c r="AV251" s="102"/>
      <c r="AW251" s="102"/>
      <c r="AX251" s="102"/>
      <c r="AY251" s="102"/>
    </row>
    <row r="252" spans="1:5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2"/>
      <c r="AJ252" s="102"/>
      <c r="AK252" s="102"/>
      <c r="AL252" s="102"/>
      <c r="AM252" s="102"/>
      <c r="AN252" s="102"/>
      <c r="AO252" s="102"/>
      <c r="AP252" s="102"/>
      <c r="AQ252" s="102"/>
      <c r="AR252" s="102"/>
      <c r="AS252" s="102"/>
      <c r="AT252" s="102"/>
      <c r="AU252" s="102"/>
      <c r="AV252" s="102"/>
      <c r="AW252" s="102"/>
      <c r="AX252" s="102"/>
      <c r="AY252" s="102"/>
    </row>
    <row r="253" spans="1:5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02"/>
      <c r="AJ253" s="102"/>
      <c r="AK253" s="102"/>
      <c r="AL253" s="102"/>
      <c r="AM253" s="102"/>
      <c r="AN253" s="102"/>
      <c r="AO253" s="102"/>
      <c r="AP253" s="102"/>
      <c r="AQ253" s="102"/>
      <c r="AR253" s="102"/>
      <c r="AS253" s="102"/>
      <c r="AT253" s="102"/>
      <c r="AU253" s="102"/>
      <c r="AV253" s="102"/>
      <c r="AW253" s="102"/>
      <c r="AX253" s="102"/>
      <c r="AY253" s="102"/>
    </row>
    <row r="254" spans="1:5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02"/>
      <c r="AJ254" s="102"/>
      <c r="AK254" s="102"/>
      <c r="AL254" s="102"/>
      <c r="AM254" s="102"/>
      <c r="AN254" s="102"/>
      <c r="AO254" s="102"/>
      <c r="AP254" s="102"/>
      <c r="AQ254" s="102"/>
      <c r="AR254" s="102"/>
      <c r="AS254" s="102"/>
      <c r="AT254" s="102"/>
      <c r="AU254" s="102"/>
      <c r="AV254" s="102"/>
      <c r="AW254" s="102"/>
      <c r="AX254" s="102"/>
      <c r="AY254" s="102"/>
    </row>
    <row r="255" spans="1:5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02"/>
      <c r="AJ255" s="102"/>
      <c r="AK255" s="102"/>
      <c r="AL255" s="102"/>
      <c r="AM255" s="102"/>
      <c r="AN255" s="102"/>
      <c r="AO255" s="102"/>
      <c r="AP255" s="102"/>
      <c r="AQ255" s="102"/>
      <c r="AR255" s="102"/>
      <c r="AS255" s="102"/>
      <c r="AT255" s="102"/>
      <c r="AU255" s="102"/>
      <c r="AV255" s="102"/>
      <c r="AW255" s="102"/>
      <c r="AX255" s="102"/>
      <c r="AY255" s="102"/>
    </row>
    <row r="256" spans="1:5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02"/>
      <c r="AJ256" s="102"/>
      <c r="AK256" s="102"/>
      <c r="AL256" s="102"/>
      <c r="AM256" s="102"/>
      <c r="AN256" s="102"/>
      <c r="AO256" s="102"/>
      <c r="AP256" s="102"/>
      <c r="AQ256" s="102"/>
      <c r="AR256" s="102"/>
      <c r="AS256" s="102"/>
      <c r="AT256" s="102"/>
      <c r="AU256" s="102"/>
      <c r="AV256" s="102"/>
      <c r="AW256" s="102"/>
      <c r="AX256" s="102"/>
      <c r="AY256" s="102"/>
    </row>
    <row r="257" spans="1:5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2"/>
      <c r="AJ257" s="102"/>
      <c r="AK257" s="102"/>
      <c r="AL257" s="102"/>
      <c r="AM257" s="102"/>
      <c r="AN257" s="102"/>
      <c r="AO257" s="102"/>
      <c r="AP257" s="102"/>
      <c r="AQ257" s="102"/>
      <c r="AR257" s="102"/>
      <c r="AS257" s="102"/>
      <c r="AT257" s="102"/>
      <c r="AU257" s="102"/>
      <c r="AV257" s="102"/>
      <c r="AW257" s="102"/>
      <c r="AX257" s="102"/>
      <c r="AY257" s="102"/>
    </row>
    <row r="258" spans="1:5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02"/>
      <c r="AJ258" s="102"/>
      <c r="AK258" s="102"/>
      <c r="AL258" s="102"/>
      <c r="AM258" s="102"/>
      <c r="AN258" s="102"/>
      <c r="AO258" s="102"/>
      <c r="AP258" s="102"/>
      <c r="AQ258" s="102"/>
      <c r="AR258" s="102"/>
      <c r="AS258" s="102"/>
      <c r="AT258" s="102"/>
      <c r="AU258" s="102"/>
      <c r="AV258" s="102"/>
      <c r="AW258" s="102"/>
      <c r="AX258" s="102"/>
      <c r="AY258" s="102"/>
    </row>
    <row r="259" spans="1:5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2"/>
      <c r="AJ259" s="102"/>
      <c r="AK259" s="102"/>
      <c r="AL259" s="102"/>
      <c r="AM259" s="102"/>
      <c r="AN259" s="102"/>
      <c r="AO259" s="102"/>
      <c r="AP259" s="102"/>
      <c r="AQ259" s="102"/>
      <c r="AR259" s="102"/>
      <c r="AS259" s="102"/>
      <c r="AT259" s="102"/>
      <c r="AU259" s="102"/>
      <c r="AV259" s="102"/>
      <c r="AW259" s="102"/>
      <c r="AX259" s="102"/>
      <c r="AY259" s="102"/>
    </row>
    <row r="260" spans="1:5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2"/>
      <c r="AJ260" s="102"/>
      <c r="AK260" s="102"/>
      <c r="AL260" s="102"/>
      <c r="AM260" s="102"/>
      <c r="AN260" s="102"/>
      <c r="AO260" s="102"/>
      <c r="AP260" s="102"/>
      <c r="AQ260" s="102"/>
      <c r="AR260" s="102"/>
      <c r="AS260" s="102"/>
      <c r="AT260" s="102"/>
      <c r="AU260" s="102"/>
      <c r="AV260" s="102"/>
      <c r="AW260" s="102"/>
      <c r="AX260" s="102"/>
      <c r="AY260" s="102"/>
    </row>
    <row r="261" spans="1:5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02"/>
      <c r="AJ261" s="102"/>
      <c r="AK261" s="102"/>
      <c r="AL261" s="102"/>
      <c r="AM261" s="102"/>
      <c r="AN261" s="102"/>
      <c r="AO261" s="102"/>
      <c r="AP261" s="102"/>
      <c r="AQ261" s="102"/>
      <c r="AR261" s="102"/>
      <c r="AS261" s="102"/>
      <c r="AT261" s="102"/>
      <c r="AU261" s="102"/>
      <c r="AV261" s="102"/>
      <c r="AW261" s="102"/>
      <c r="AX261" s="102"/>
      <c r="AY261" s="102"/>
    </row>
    <row r="262" spans="1:5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2"/>
      <c r="AJ262" s="102"/>
      <c r="AK262" s="102"/>
      <c r="AL262" s="102"/>
      <c r="AM262" s="102"/>
      <c r="AN262" s="102"/>
      <c r="AO262" s="102"/>
      <c r="AP262" s="102"/>
      <c r="AQ262" s="102"/>
      <c r="AR262" s="102"/>
      <c r="AS262" s="102"/>
      <c r="AT262" s="102"/>
      <c r="AU262" s="102"/>
      <c r="AV262" s="102"/>
      <c r="AW262" s="102"/>
      <c r="AX262" s="102"/>
      <c r="AY262" s="102"/>
    </row>
    <row r="263" spans="1:5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2"/>
      <c r="AJ263" s="102"/>
      <c r="AK263" s="102"/>
      <c r="AL263" s="102"/>
      <c r="AM263" s="102"/>
      <c r="AN263" s="102"/>
      <c r="AO263" s="102"/>
      <c r="AP263" s="102"/>
      <c r="AQ263" s="102"/>
      <c r="AR263" s="102"/>
      <c r="AS263" s="102"/>
      <c r="AT263" s="102"/>
      <c r="AU263" s="102"/>
      <c r="AV263" s="102"/>
      <c r="AW263" s="102"/>
      <c r="AX263" s="102"/>
      <c r="AY263" s="102"/>
    </row>
    <row r="264" spans="1:5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02"/>
      <c r="AW264" s="102"/>
      <c r="AX264" s="102"/>
      <c r="AY264" s="102"/>
    </row>
    <row r="265" spans="1:5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02"/>
      <c r="AJ265" s="102"/>
      <c r="AK265" s="102"/>
      <c r="AL265" s="102"/>
      <c r="AM265" s="102"/>
      <c r="AN265" s="102"/>
      <c r="AO265" s="102"/>
      <c r="AP265" s="102"/>
      <c r="AQ265" s="102"/>
      <c r="AR265" s="102"/>
      <c r="AS265" s="102"/>
      <c r="AT265" s="102"/>
      <c r="AU265" s="102"/>
      <c r="AV265" s="102"/>
      <c r="AW265" s="102"/>
      <c r="AX265" s="102"/>
      <c r="AY265" s="102"/>
    </row>
    <row r="266" spans="1:5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  <c r="AQ266" s="102"/>
      <c r="AR266" s="102"/>
      <c r="AS266" s="102"/>
      <c r="AT266" s="102"/>
      <c r="AU266" s="102"/>
      <c r="AV266" s="102"/>
      <c r="AW266" s="102"/>
      <c r="AX266" s="102"/>
      <c r="AY266" s="102"/>
    </row>
    <row r="267" spans="1:5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02"/>
      <c r="AJ267" s="102"/>
      <c r="AK267" s="102"/>
      <c r="AL267" s="102"/>
      <c r="AM267" s="102"/>
      <c r="AN267" s="102"/>
      <c r="AO267" s="102"/>
      <c r="AP267" s="102"/>
      <c r="AQ267" s="102"/>
      <c r="AR267" s="102"/>
      <c r="AS267" s="102"/>
      <c r="AT267" s="102"/>
      <c r="AU267" s="102"/>
      <c r="AV267" s="102"/>
      <c r="AW267" s="102"/>
      <c r="AX267" s="102"/>
      <c r="AY267" s="102"/>
    </row>
    <row r="268" spans="1:5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102"/>
      <c r="AM268" s="102"/>
      <c r="AN268" s="102"/>
      <c r="AO268" s="102"/>
      <c r="AP268" s="102"/>
      <c r="AQ268" s="102"/>
      <c r="AR268" s="102"/>
      <c r="AS268" s="102"/>
      <c r="AT268" s="102"/>
      <c r="AU268" s="102"/>
      <c r="AV268" s="102"/>
      <c r="AW268" s="102"/>
      <c r="AX268" s="102"/>
      <c r="AY268" s="102"/>
    </row>
    <row r="269" spans="1:5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02"/>
      <c r="AJ269" s="102"/>
      <c r="AK269" s="102"/>
      <c r="AL269" s="102"/>
      <c r="AM269" s="102"/>
      <c r="AN269" s="102"/>
      <c r="AO269" s="102"/>
      <c r="AP269" s="102"/>
      <c r="AQ269" s="102"/>
      <c r="AR269" s="102"/>
      <c r="AS269" s="102"/>
      <c r="AT269" s="102"/>
      <c r="AU269" s="102"/>
      <c r="AV269" s="102"/>
      <c r="AW269" s="102"/>
      <c r="AX269" s="102"/>
      <c r="AY269" s="102"/>
    </row>
    <row r="270" spans="1:5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02"/>
      <c r="AJ270" s="102"/>
      <c r="AK270" s="102"/>
      <c r="AL270" s="102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  <c r="AX270" s="102"/>
      <c r="AY270" s="102"/>
    </row>
    <row r="271" spans="1:5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02"/>
      <c r="AJ271" s="102"/>
      <c r="AK271" s="102"/>
      <c r="AL271" s="102"/>
      <c r="AM271" s="102"/>
      <c r="AN271" s="102"/>
      <c r="AO271" s="102"/>
      <c r="AP271" s="102"/>
      <c r="AQ271" s="102"/>
      <c r="AR271" s="102"/>
      <c r="AS271" s="102"/>
      <c r="AT271" s="102"/>
      <c r="AU271" s="102"/>
      <c r="AV271" s="102"/>
      <c r="AW271" s="102"/>
      <c r="AX271" s="102"/>
      <c r="AY271" s="102"/>
    </row>
    <row r="272" spans="1:5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02"/>
      <c r="AJ272" s="102"/>
      <c r="AK272" s="102"/>
      <c r="AL272" s="102"/>
      <c r="AM272" s="102"/>
      <c r="AN272" s="102"/>
      <c r="AO272" s="102"/>
      <c r="AP272" s="102"/>
      <c r="AQ272" s="102"/>
      <c r="AR272" s="102"/>
      <c r="AS272" s="102"/>
      <c r="AT272" s="102"/>
      <c r="AU272" s="102"/>
      <c r="AV272" s="102"/>
      <c r="AW272" s="102"/>
      <c r="AX272" s="102"/>
      <c r="AY272" s="102"/>
    </row>
    <row r="273" spans="1:5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  <c r="AI273" s="102"/>
      <c r="AJ273" s="102"/>
      <c r="AK273" s="102"/>
      <c r="AL273" s="102"/>
      <c r="AM273" s="102"/>
      <c r="AN273" s="102"/>
      <c r="AO273" s="102"/>
      <c r="AP273" s="102"/>
      <c r="AQ273" s="102"/>
      <c r="AR273" s="102"/>
      <c r="AS273" s="102"/>
      <c r="AT273" s="102"/>
      <c r="AU273" s="102"/>
      <c r="AV273" s="102"/>
      <c r="AW273" s="102"/>
      <c r="AX273" s="102"/>
      <c r="AY273" s="102"/>
    </row>
    <row r="274" spans="1:5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  <c r="AI274" s="102"/>
      <c r="AJ274" s="102"/>
      <c r="AK274" s="102"/>
      <c r="AL274" s="102"/>
      <c r="AM274" s="102"/>
      <c r="AN274" s="102"/>
      <c r="AO274" s="102"/>
      <c r="AP274" s="102"/>
      <c r="AQ274" s="102"/>
      <c r="AR274" s="102"/>
      <c r="AS274" s="102"/>
      <c r="AT274" s="102"/>
      <c r="AU274" s="102"/>
      <c r="AV274" s="102"/>
      <c r="AW274" s="102"/>
      <c r="AX274" s="102"/>
      <c r="AY274" s="102"/>
    </row>
    <row r="275" spans="1:5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02"/>
      <c r="AJ275" s="102"/>
      <c r="AK275" s="102"/>
      <c r="AL275" s="102"/>
      <c r="AM275" s="102"/>
      <c r="AN275" s="102"/>
      <c r="AO275" s="102"/>
      <c r="AP275" s="102"/>
      <c r="AQ275" s="102"/>
      <c r="AR275" s="102"/>
      <c r="AS275" s="102"/>
      <c r="AT275" s="102"/>
      <c r="AU275" s="102"/>
      <c r="AV275" s="102"/>
      <c r="AW275" s="102"/>
      <c r="AX275" s="102"/>
      <c r="AY275" s="102"/>
    </row>
    <row r="276" spans="1:5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02"/>
      <c r="AJ276" s="102"/>
      <c r="AK276" s="102"/>
      <c r="AL276" s="102"/>
      <c r="AM276" s="102"/>
      <c r="AN276" s="102"/>
      <c r="AO276" s="102"/>
      <c r="AP276" s="102"/>
      <c r="AQ276" s="102"/>
      <c r="AR276" s="102"/>
      <c r="AS276" s="102"/>
      <c r="AT276" s="102"/>
      <c r="AU276" s="102"/>
      <c r="AV276" s="102"/>
      <c r="AW276" s="102"/>
      <c r="AX276" s="102"/>
      <c r="AY276" s="102"/>
    </row>
    <row r="277" spans="1:5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02"/>
      <c r="AJ277" s="102"/>
      <c r="AK277" s="102"/>
      <c r="AL277" s="102"/>
      <c r="AM277" s="102"/>
      <c r="AN277" s="102"/>
      <c r="AO277" s="102"/>
      <c r="AP277" s="102"/>
      <c r="AQ277" s="102"/>
      <c r="AR277" s="102"/>
      <c r="AS277" s="102"/>
      <c r="AT277" s="102"/>
      <c r="AU277" s="102"/>
      <c r="AV277" s="102"/>
      <c r="AW277" s="102"/>
      <c r="AX277" s="102"/>
      <c r="AY277" s="102"/>
    </row>
    <row r="278" spans="1:5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02"/>
      <c r="AJ278" s="102"/>
      <c r="AK278" s="102"/>
      <c r="AL278" s="102"/>
      <c r="AM278" s="102"/>
      <c r="AN278" s="102"/>
      <c r="AO278" s="102"/>
      <c r="AP278" s="102"/>
      <c r="AQ278" s="102"/>
      <c r="AR278" s="102"/>
      <c r="AS278" s="102"/>
      <c r="AT278" s="102"/>
      <c r="AU278" s="102"/>
      <c r="AV278" s="102"/>
      <c r="AW278" s="102"/>
      <c r="AX278" s="102"/>
      <c r="AY278" s="102"/>
    </row>
    <row r="279" spans="1:5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02"/>
      <c r="AJ279" s="102"/>
      <c r="AK279" s="102"/>
      <c r="AL279" s="102"/>
      <c r="AM279" s="102"/>
      <c r="AN279" s="102"/>
      <c r="AO279" s="102"/>
      <c r="AP279" s="102"/>
      <c r="AQ279" s="102"/>
      <c r="AR279" s="102"/>
      <c r="AS279" s="102"/>
      <c r="AT279" s="102"/>
      <c r="AU279" s="102"/>
      <c r="AV279" s="102"/>
      <c r="AW279" s="102"/>
      <c r="AX279" s="102"/>
      <c r="AY279" s="102"/>
    </row>
    <row r="280" spans="1:5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02"/>
      <c r="AJ280" s="102"/>
      <c r="AK280" s="102"/>
      <c r="AL280" s="102"/>
      <c r="AM280" s="102"/>
      <c r="AN280" s="102"/>
      <c r="AO280" s="102"/>
      <c r="AP280" s="102"/>
      <c r="AQ280" s="102"/>
      <c r="AR280" s="102"/>
      <c r="AS280" s="102"/>
      <c r="AT280" s="102"/>
      <c r="AU280" s="102"/>
      <c r="AV280" s="102"/>
      <c r="AW280" s="102"/>
      <c r="AX280" s="102"/>
      <c r="AY280" s="102"/>
    </row>
    <row r="281" spans="1:5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02"/>
      <c r="AJ281" s="102"/>
      <c r="AK281" s="102"/>
      <c r="AL281" s="102"/>
      <c r="AM281" s="102"/>
      <c r="AN281" s="102"/>
      <c r="AO281" s="102"/>
      <c r="AP281" s="102"/>
      <c r="AQ281" s="102"/>
      <c r="AR281" s="102"/>
      <c r="AS281" s="102"/>
      <c r="AT281" s="102"/>
      <c r="AU281" s="102"/>
      <c r="AV281" s="102"/>
      <c r="AW281" s="102"/>
      <c r="AX281" s="102"/>
      <c r="AY281" s="102"/>
    </row>
    <row r="282" spans="1:5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2"/>
      <c r="AJ282" s="102"/>
      <c r="AK282" s="102"/>
      <c r="AL282" s="102"/>
      <c r="AM282" s="102"/>
      <c r="AN282" s="102"/>
      <c r="AO282" s="102"/>
      <c r="AP282" s="102"/>
      <c r="AQ282" s="102"/>
      <c r="AR282" s="102"/>
      <c r="AS282" s="102"/>
      <c r="AT282" s="102"/>
      <c r="AU282" s="102"/>
      <c r="AV282" s="102"/>
      <c r="AW282" s="102"/>
      <c r="AX282" s="102"/>
      <c r="AY282" s="102"/>
    </row>
    <row r="283" spans="1:5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2"/>
      <c r="AJ283" s="102"/>
      <c r="AK283" s="102"/>
      <c r="AL283" s="102"/>
      <c r="AM283" s="102"/>
      <c r="AN283" s="102"/>
      <c r="AO283" s="102"/>
      <c r="AP283" s="102"/>
      <c r="AQ283" s="102"/>
      <c r="AR283" s="102"/>
      <c r="AS283" s="102"/>
      <c r="AT283" s="102"/>
      <c r="AU283" s="102"/>
      <c r="AV283" s="102"/>
      <c r="AW283" s="102"/>
      <c r="AX283" s="102"/>
      <c r="AY283" s="102"/>
    </row>
    <row r="284" spans="1:5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02"/>
      <c r="AJ284" s="102"/>
      <c r="AK284" s="102"/>
      <c r="AL284" s="102"/>
      <c r="AM284" s="102"/>
      <c r="AN284" s="102"/>
      <c r="AO284" s="102"/>
      <c r="AP284" s="102"/>
      <c r="AQ284" s="102"/>
      <c r="AR284" s="102"/>
      <c r="AS284" s="102"/>
      <c r="AT284" s="102"/>
      <c r="AU284" s="102"/>
      <c r="AV284" s="102"/>
      <c r="AW284" s="102"/>
      <c r="AX284" s="102"/>
      <c r="AY284" s="102"/>
    </row>
    <row r="285" spans="1:5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2"/>
      <c r="AJ285" s="102"/>
      <c r="AK285" s="102"/>
      <c r="AL285" s="102"/>
      <c r="AM285" s="102"/>
      <c r="AN285" s="102"/>
      <c r="AO285" s="102"/>
      <c r="AP285" s="102"/>
      <c r="AQ285" s="102"/>
      <c r="AR285" s="102"/>
      <c r="AS285" s="102"/>
      <c r="AT285" s="102"/>
      <c r="AU285" s="102"/>
      <c r="AV285" s="102"/>
      <c r="AW285" s="102"/>
      <c r="AX285" s="102"/>
      <c r="AY285" s="102"/>
    </row>
    <row r="286" spans="1:5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2"/>
      <c r="AJ286" s="102"/>
      <c r="AK286" s="102"/>
      <c r="AL286" s="102"/>
      <c r="AM286" s="102"/>
      <c r="AN286" s="102"/>
      <c r="AO286" s="102"/>
      <c r="AP286" s="102"/>
      <c r="AQ286" s="102"/>
      <c r="AR286" s="102"/>
      <c r="AS286" s="102"/>
      <c r="AT286" s="102"/>
      <c r="AU286" s="102"/>
      <c r="AV286" s="102"/>
      <c r="AW286" s="102"/>
      <c r="AX286" s="102"/>
      <c r="AY286" s="102"/>
    </row>
    <row r="287" spans="1:5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2"/>
      <c r="AJ287" s="102"/>
      <c r="AK287" s="102"/>
      <c r="AL287" s="102"/>
      <c r="AM287" s="102"/>
      <c r="AN287" s="102"/>
      <c r="AO287" s="102"/>
      <c r="AP287" s="102"/>
      <c r="AQ287" s="102"/>
      <c r="AR287" s="102"/>
      <c r="AS287" s="102"/>
      <c r="AT287" s="102"/>
      <c r="AU287" s="102"/>
      <c r="AV287" s="102"/>
      <c r="AW287" s="102"/>
      <c r="AX287" s="102"/>
      <c r="AY287" s="102"/>
    </row>
    <row r="288" spans="1:5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02"/>
      <c r="AJ288" s="102"/>
      <c r="AK288" s="102"/>
      <c r="AL288" s="102"/>
      <c r="AM288" s="102"/>
      <c r="AN288" s="102"/>
      <c r="AO288" s="102"/>
      <c r="AP288" s="102"/>
      <c r="AQ288" s="102"/>
      <c r="AR288" s="102"/>
      <c r="AS288" s="102"/>
      <c r="AT288" s="102"/>
      <c r="AU288" s="102"/>
      <c r="AV288" s="102"/>
      <c r="AW288" s="102"/>
      <c r="AX288" s="102"/>
      <c r="AY288" s="102"/>
    </row>
    <row r="289" spans="1:5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2"/>
      <c r="AJ289" s="102"/>
      <c r="AK289" s="102"/>
      <c r="AL289" s="102"/>
      <c r="AM289" s="102"/>
      <c r="AN289" s="102"/>
      <c r="AO289" s="102"/>
      <c r="AP289" s="102"/>
      <c r="AQ289" s="102"/>
      <c r="AR289" s="102"/>
      <c r="AS289" s="102"/>
      <c r="AT289" s="102"/>
      <c r="AU289" s="102"/>
      <c r="AV289" s="102"/>
      <c r="AW289" s="102"/>
      <c r="AX289" s="102"/>
      <c r="AY289" s="102"/>
    </row>
    <row r="290" spans="1:5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102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02"/>
      <c r="AW290" s="102"/>
      <c r="AX290" s="102"/>
      <c r="AY290" s="102"/>
    </row>
    <row r="291" spans="1:5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  <c r="AM291" s="102"/>
      <c r="AN291" s="102"/>
      <c r="AO291" s="102"/>
      <c r="AP291" s="102"/>
      <c r="AQ291" s="102"/>
      <c r="AR291" s="102"/>
      <c r="AS291" s="102"/>
      <c r="AT291" s="102"/>
      <c r="AU291" s="102"/>
      <c r="AV291" s="102"/>
      <c r="AW291" s="102"/>
      <c r="AX291" s="102"/>
      <c r="AY291" s="102"/>
    </row>
    <row r="292" spans="1:5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2"/>
      <c r="AJ292" s="102"/>
      <c r="AK292" s="102"/>
      <c r="AL292" s="102"/>
      <c r="AM292" s="102"/>
      <c r="AN292" s="102"/>
      <c r="AO292" s="102"/>
      <c r="AP292" s="102"/>
      <c r="AQ292" s="102"/>
      <c r="AR292" s="102"/>
      <c r="AS292" s="102"/>
      <c r="AT292" s="102"/>
      <c r="AU292" s="102"/>
      <c r="AV292" s="102"/>
      <c r="AW292" s="102"/>
      <c r="AX292" s="102"/>
      <c r="AY292" s="102"/>
    </row>
    <row r="293" spans="1:5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2"/>
      <c r="AJ293" s="102"/>
      <c r="AK293" s="102"/>
      <c r="AL293" s="102"/>
      <c r="AM293" s="102"/>
      <c r="AN293" s="102"/>
      <c r="AO293" s="102"/>
      <c r="AP293" s="102"/>
      <c r="AQ293" s="102"/>
      <c r="AR293" s="102"/>
      <c r="AS293" s="102"/>
      <c r="AT293" s="102"/>
      <c r="AU293" s="102"/>
      <c r="AV293" s="102"/>
      <c r="AW293" s="102"/>
      <c r="AX293" s="102"/>
      <c r="AY293" s="102"/>
    </row>
    <row r="294" spans="1:5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2"/>
      <c r="AJ294" s="102"/>
      <c r="AK294" s="102"/>
      <c r="AL294" s="102"/>
      <c r="AM294" s="102"/>
      <c r="AN294" s="102"/>
      <c r="AO294" s="102"/>
      <c r="AP294" s="102"/>
      <c r="AQ294" s="102"/>
      <c r="AR294" s="102"/>
      <c r="AS294" s="102"/>
      <c r="AT294" s="102"/>
      <c r="AU294" s="102"/>
      <c r="AV294" s="102"/>
      <c r="AW294" s="102"/>
      <c r="AX294" s="102"/>
      <c r="AY294" s="102"/>
    </row>
    <row r="295" spans="1:5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2"/>
      <c r="AJ295" s="102"/>
      <c r="AK295" s="102"/>
      <c r="AL295" s="102"/>
      <c r="AM295" s="102"/>
      <c r="AN295" s="102"/>
      <c r="AO295" s="102"/>
      <c r="AP295" s="102"/>
      <c r="AQ295" s="102"/>
      <c r="AR295" s="102"/>
      <c r="AS295" s="102"/>
      <c r="AT295" s="102"/>
      <c r="AU295" s="102"/>
      <c r="AV295" s="102"/>
      <c r="AW295" s="102"/>
      <c r="AX295" s="102"/>
      <c r="AY295" s="102"/>
    </row>
    <row r="296" spans="1:5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2"/>
      <c r="AJ296" s="102"/>
      <c r="AK296" s="102"/>
      <c r="AL296" s="102"/>
      <c r="AM296" s="102"/>
      <c r="AN296" s="102"/>
      <c r="AO296" s="102"/>
      <c r="AP296" s="102"/>
      <c r="AQ296" s="102"/>
      <c r="AR296" s="102"/>
      <c r="AS296" s="102"/>
      <c r="AT296" s="102"/>
      <c r="AU296" s="102"/>
      <c r="AV296" s="102"/>
      <c r="AW296" s="102"/>
      <c r="AX296" s="102"/>
      <c r="AY296" s="102"/>
    </row>
    <row r="297" spans="1:5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02"/>
      <c r="AJ297" s="102"/>
      <c r="AK297" s="102"/>
      <c r="AL297" s="102"/>
      <c r="AM297" s="102"/>
      <c r="AN297" s="102"/>
      <c r="AO297" s="102"/>
      <c r="AP297" s="102"/>
      <c r="AQ297" s="102"/>
      <c r="AR297" s="102"/>
      <c r="AS297" s="102"/>
      <c r="AT297" s="102"/>
      <c r="AU297" s="102"/>
      <c r="AV297" s="102"/>
      <c r="AW297" s="102"/>
      <c r="AX297" s="102"/>
      <c r="AY297" s="102"/>
    </row>
    <row r="298" spans="1:5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02"/>
      <c r="AJ298" s="102"/>
      <c r="AK298" s="102"/>
      <c r="AL298" s="102"/>
      <c r="AM298" s="102"/>
      <c r="AN298" s="102"/>
      <c r="AO298" s="102"/>
      <c r="AP298" s="102"/>
      <c r="AQ298" s="102"/>
      <c r="AR298" s="102"/>
      <c r="AS298" s="102"/>
      <c r="AT298" s="102"/>
      <c r="AU298" s="102"/>
      <c r="AV298" s="102"/>
      <c r="AW298" s="102"/>
      <c r="AX298" s="102"/>
      <c r="AY298" s="102"/>
    </row>
    <row r="299" spans="1:5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02"/>
      <c r="AJ299" s="102"/>
      <c r="AK299" s="102"/>
      <c r="AL299" s="102"/>
      <c r="AM299" s="102"/>
      <c r="AN299" s="102"/>
      <c r="AO299" s="102"/>
      <c r="AP299" s="102"/>
      <c r="AQ299" s="102"/>
      <c r="AR299" s="102"/>
      <c r="AS299" s="102"/>
      <c r="AT299" s="102"/>
      <c r="AU299" s="102"/>
      <c r="AV299" s="102"/>
      <c r="AW299" s="102"/>
      <c r="AX299" s="102"/>
      <c r="AY299" s="102"/>
    </row>
    <row r="300" spans="1:5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2"/>
      <c r="AJ300" s="102"/>
      <c r="AK300" s="102"/>
      <c r="AL300" s="102"/>
      <c r="AM300" s="102"/>
      <c r="AN300" s="102"/>
      <c r="AO300" s="102"/>
      <c r="AP300" s="102"/>
      <c r="AQ300" s="102"/>
      <c r="AR300" s="102"/>
      <c r="AS300" s="102"/>
      <c r="AT300" s="102"/>
      <c r="AU300" s="102"/>
      <c r="AV300" s="102"/>
      <c r="AW300" s="102"/>
      <c r="AX300" s="102"/>
      <c r="AY300" s="102"/>
    </row>
    <row r="301" spans="1:5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  <c r="AI301" s="102"/>
      <c r="AJ301" s="102"/>
      <c r="AK301" s="102"/>
      <c r="AL301" s="102"/>
      <c r="AM301" s="102"/>
      <c r="AN301" s="102"/>
      <c r="AO301" s="102"/>
      <c r="AP301" s="102"/>
      <c r="AQ301" s="102"/>
      <c r="AR301" s="102"/>
      <c r="AS301" s="102"/>
      <c r="AT301" s="102"/>
      <c r="AU301" s="102"/>
      <c r="AV301" s="102"/>
      <c r="AW301" s="102"/>
      <c r="AX301" s="102"/>
      <c r="AY301" s="102"/>
    </row>
    <row r="302" spans="1:5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  <c r="AI302" s="102"/>
      <c r="AJ302" s="102"/>
      <c r="AK302" s="102"/>
      <c r="AL302" s="102"/>
      <c r="AM302" s="102"/>
      <c r="AN302" s="102"/>
      <c r="AO302" s="102"/>
      <c r="AP302" s="102"/>
      <c r="AQ302" s="102"/>
      <c r="AR302" s="102"/>
      <c r="AS302" s="102"/>
      <c r="AT302" s="102"/>
      <c r="AU302" s="102"/>
      <c r="AV302" s="102"/>
      <c r="AW302" s="102"/>
      <c r="AX302" s="102"/>
      <c r="AY302" s="102"/>
    </row>
    <row r="303" spans="1:5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02"/>
      <c r="AJ303" s="102"/>
      <c r="AK303" s="102"/>
      <c r="AL303" s="102"/>
      <c r="AM303" s="102"/>
      <c r="AN303" s="102"/>
      <c r="AO303" s="102"/>
      <c r="AP303" s="102"/>
      <c r="AQ303" s="102"/>
      <c r="AR303" s="102"/>
      <c r="AS303" s="102"/>
      <c r="AT303" s="102"/>
      <c r="AU303" s="102"/>
      <c r="AV303" s="102"/>
      <c r="AW303" s="102"/>
      <c r="AX303" s="102"/>
      <c r="AY303" s="102"/>
    </row>
    <row r="304" spans="1:5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02"/>
      <c r="AJ304" s="102"/>
      <c r="AK304" s="102"/>
      <c r="AL304" s="102"/>
      <c r="AM304" s="102"/>
      <c r="AN304" s="102"/>
      <c r="AO304" s="102"/>
      <c r="AP304" s="102"/>
      <c r="AQ304" s="102"/>
      <c r="AR304" s="102"/>
      <c r="AS304" s="102"/>
      <c r="AT304" s="102"/>
      <c r="AU304" s="102"/>
      <c r="AV304" s="102"/>
      <c r="AW304" s="102"/>
      <c r="AX304" s="102"/>
      <c r="AY304" s="102"/>
    </row>
    <row r="305" spans="1:5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  <c r="AI305" s="102"/>
      <c r="AJ305" s="102"/>
      <c r="AK305" s="102"/>
      <c r="AL305" s="102"/>
      <c r="AM305" s="102"/>
      <c r="AN305" s="102"/>
      <c r="AO305" s="102"/>
      <c r="AP305" s="102"/>
      <c r="AQ305" s="102"/>
      <c r="AR305" s="102"/>
      <c r="AS305" s="102"/>
      <c r="AT305" s="102"/>
      <c r="AU305" s="102"/>
      <c r="AV305" s="102"/>
      <c r="AW305" s="102"/>
      <c r="AX305" s="102"/>
      <c r="AY305" s="102"/>
    </row>
    <row r="306" spans="1:5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  <c r="AI306" s="102"/>
      <c r="AJ306" s="102"/>
      <c r="AK306" s="102"/>
      <c r="AL306" s="102"/>
      <c r="AM306" s="102"/>
      <c r="AN306" s="102"/>
      <c r="AO306" s="102"/>
      <c r="AP306" s="102"/>
      <c r="AQ306" s="102"/>
      <c r="AR306" s="102"/>
      <c r="AS306" s="102"/>
      <c r="AT306" s="102"/>
      <c r="AU306" s="102"/>
      <c r="AV306" s="102"/>
      <c r="AW306" s="102"/>
      <c r="AX306" s="102"/>
      <c r="AY306" s="102"/>
    </row>
    <row r="307" spans="1:5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  <c r="AI307" s="102"/>
      <c r="AJ307" s="102"/>
      <c r="AK307" s="102"/>
      <c r="AL307" s="102"/>
      <c r="AM307" s="102"/>
      <c r="AN307" s="102"/>
      <c r="AO307" s="102"/>
      <c r="AP307" s="102"/>
      <c r="AQ307" s="102"/>
      <c r="AR307" s="102"/>
      <c r="AS307" s="102"/>
      <c r="AT307" s="102"/>
      <c r="AU307" s="102"/>
      <c r="AV307" s="102"/>
      <c r="AW307" s="102"/>
      <c r="AX307" s="102"/>
      <c r="AY307" s="102"/>
    </row>
    <row r="308" spans="1:5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  <c r="AI308" s="102"/>
      <c r="AJ308" s="102"/>
      <c r="AK308" s="102"/>
      <c r="AL308" s="102"/>
      <c r="AM308" s="102"/>
      <c r="AN308" s="102"/>
      <c r="AO308" s="102"/>
      <c r="AP308" s="102"/>
      <c r="AQ308" s="102"/>
      <c r="AR308" s="102"/>
      <c r="AS308" s="102"/>
      <c r="AT308" s="102"/>
      <c r="AU308" s="102"/>
      <c r="AV308" s="102"/>
      <c r="AW308" s="102"/>
      <c r="AX308" s="102"/>
      <c r="AY308" s="102"/>
    </row>
    <row r="309" spans="1:5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  <c r="AI309" s="102"/>
      <c r="AJ309" s="102"/>
      <c r="AK309" s="102"/>
      <c r="AL309" s="102"/>
      <c r="AM309" s="102"/>
      <c r="AN309" s="102"/>
      <c r="AO309" s="102"/>
      <c r="AP309" s="102"/>
      <c r="AQ309" s="102"/>
      <c r="AR309" s="102"/>
      <c r="AS309" s="102"/>
      <c r="AT309" s="102"/>
      <c r="AU309" s="102"/>
      <c r="AV309" s="102"/>
      <c r="AW309" s="102"/>
      <c r="AX309" s="102"/>
      <c r="AY309" s="102"/>
    </row>
    <row r="310" spans="1:5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  <c r="AI310" s="102"/>
      <c r="AJ310" s="102"/>
      <c r="AK310" s="102"/>
      <c r="AL310" s="102"/>
      <c r="AM310" s="102"/>
      <c r="AN310" s="102"/>
      <c r="AO310" s="102"/>
      <c r="AP310" s="102"/>
      <c r="AQ310" s="102"/>
      <c r="AR310" s="102"/>
      <c r="AS310" s="102"/>
      <c r="AT310" s="102"/>
      <c r="AU310" s="102"/>
      <c r="AV310" s="102"/>
      <c r="AW310" s="102"/>
      <c r="AX310" s="102"/>
      <c r="AY310" s="102"/>
    </row>
    <row r="311" spans="1:5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  <c r="AI311" s="102"/>
      <c r="AJ311" s="102"/>
      <c r="AK311" s="102"/>
      <c r="AL311" s="102"/>
      <c r="AM311" s="102"/>
      <c r="AN311" s="102"/>
      <c r="AO311" s="102"/>
      <c r="AP311" s="102"/>
      <c r="AQ311" s="102"/>
      <c r="AR311" s="102"/>
      <c r="AS311" s="102"/>
      <c r="AT311" s="102"/>
      <c r="AU311" s="102"/>
      <c r="AV311" s="102"/>
      <c r="AW311" s="102"/>
      <c r="AX311" s="102"/>
      <c r="AY311" s="102"/>
    </row>
    <row r="312" spans="1:5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  <c r="AI312" s="102"/>
      <c r="AJ312" s="102"/>
      <c r="AK312" s="102"/>
      <c r="AL312" s="102"/>
      <c r="AM312" s="102"/>
      <c r="AN312" s="102"/>
      <c r="AO312" s="102"/>
      <c r="AP312" s="102"/>
      <c r="AQ312" s="102"/>
      <c r="AR312" s="102"/>
      <c r="AS312" s="102"/>
      <c r="AT312" s="102"/>
      <c r="AU312" s="102"/>
      <c r="AV312" s="102"/>
      <c r="AW312" s="102"/>
      <c r="AX312" s="102"/>
      <c r="AY312" s="102"/>
    </row>
    <row r="313" spans="1:5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  <c r="AI313" s="102"/>
      <c r="AJ313" s="102"/>
      <c r="AK313" s="102"/>
      <c r="AL313" s="102"/>
      <c r="AM313" s="102"/>
      <c r="AN313" s="102"/>
      <c r="AO313" s="102"/>
      <c r="AP313" s="102"/>
      <c r="AQ313" s="102"/>
      <c r="AR313" s="102"/>
      <c r="AS313" s="102"/>
      <c r="AT313" s="102"/>
      <c r="AU313" s="102"/>
      <c r="AV313" s="102"/>
      <c r="AW313" s="102"/>
      <c r="AX313" s="102"/>
      <c r="AY313" s="102"/>
    </row>
    <row r="314" spans="1:5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  <c r="AI314" s="102"/>
      <c r="AJ314" s="102"/>
      <c r="AK314" s="102"/>
      <c r="AL314" s="102"/>
      <c r="AM314" s="102"/>
      <c r="AN314" s="102"/>
      <c r="AO314" s="102"/>
      <c r="AP314" s="102"/>
      <c r="AQ314" s="102"/>
      <c r="AR314" s="102"/>
      <c r="AS314" s="102"/>
      <c r="AT314" s="102"/>
      <c r="AU314" s="102"/>
      <c r="AV314" s="102"/>
      <c r="AW314" s="102"/>
      <c r="AX314" s="102"/>
      <c r="AY314" s="102"/>
    </row>
    <row r="315" spans="1:5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  <c r="AI315" s="102"/>
      <c r="AJ315" s="102"/>
      <c r="AK315" s="102"/>
      <c r="AL315" s="102"/>
      <c r="AM315" s="102"/>
      <c r="AN315" s="102"/>
      <c r="AO315" s="102"/>
      <c r="AP315" s="102"/>
      <c r="AQ315" s="102"/>
      <c r="AR315" s="102"/>
      <c r="AS315" s="102"/>
      <c r="AT315" s="102"/>
      <c r="AU315" s="102"/>
      <c r="AV315" s="102"/>
      <c r="AW315" s="102"/>
      <c r="AX315" s="102"/>
      <c r="AY315" s="102"/>
    </row>
    <row r="316" spans="1:5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02"/>
      <c r="AJ316" s="102"/>
      <c r="AK316" s="102"/>
      <c r="AL316" s="102"/>
      <c r="AM316" s="102"/>
      <c r="AN316" s="102"/>
      <c r="AO316" s="102"/>
      <c r="AP316" s="102"/>
      <c r="AQ316" s="102"/>
      <c r="AR316" s="102"/>
      <c r="AS316" s="102"/>
      <c r="AT316" s="102"/>
      <c r="AU316" s="102"/>
      <c r="AV316" s="102"/>
      <c r="AW316" s="102"/>
      <c r="AX316" s="102"/>
      <c r="AY316" s="102"/>
    </row>
    <row r="317" spans="1:5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  <c r="AI317" s="102"/>
      <c r="AJ317" s="102"/>
      <c r="AK317" s="102"/>
      <c r="AL317" s="102"/>
      <c r="AM317" s="102"/>
      <c r="AN317" s="102"/>
      <c r="AO317" s="102"/>
      <c r="AP317" s="102"/>
      <c r="AQ317" s="102"/>
      <c r="AR317" s="102"/>
      <c r="AS317" s="102"/>
      <c r="AT317" s="102"/>
      <c r="AU317" s="102"/>
      <c r="AV317" s="102"/>
      <c r="AW317" s="102"/>
      <c r="AX317" s="102"/>
      <c r="AY317" s="102"/>
    </row>
    <row r="318" spans="1:5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02"/>
      <c r="AJ318" s="102"/>
      <c r="AK318" s="102"/>
      <c r="AL318" s="102"/>
      <c r="AM318" s="102"/>
      <c r="AN318" s="102"/>
      <c r="AO318" s="102"/>
      <c r="AP318" s="102"/>
      <c r="AQ318" s="102"/>
      <c r="AR318" s="102"/>
      <c r="AS318" s="102"/>
      <c r="AT318" s="102"/>
      <c r="AU318" s="102"/>
      <c r="AV318" s="102"/>
      <c r="AW318" s="102"/>
      <c r="AX318" s="102"/>
      <c r="AY318" s="102"/>
    </row>
    <row r="319" spans="1:5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  <c r="AI319" s="102"/>
      <c r="AJ319" s="102"/>
      <c r="AK319" s="102"/>
      <c r="AL319" s="102"/>
      <c r="AM319" s="102"/>
      <c r="AN319" s="102"/>
      <c r="AO319" s="102"/>
      <c r="AP319" s="102"/>
      <c r="AQ319" s="102"/>
      <c r="AR319" s="102"/>
      <c r="AS319" s="102"/>
      <c r="AT319" s="102"/>
      <c r="AU319" s="102"/>
      <c r="AV319" s="102"/>
      <c r="AW319" s="102"/>
      <c r="AX319" s="102"/>
      <c r="AY319" s="102"/>
    </row>
    <row r="320" spans="1:5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  <c r="AL320" s="102"/>
      <c r="AM320" s="102"/>
      <c r="AN320" s="102"/>
      <c r="AO320" s="102"/>
      <c r="AP320" s="102"/>
      <c r="AQ320" s="102"/>
      <c r="AR320" s="102"/>
      <c r="AS320" s="102"/>
      <c r="AT320" s="102"/>
      <c r="AU320" s="102"/>
      <c r="AV320" s="102"/>
      <c r="AW320" s="102"/>
      <c r="AX320" s="102"/>
      <c r="AY320" s="102"/>
    </row>
    <row r="321" spans="1:5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2"/>
      <c r="AJ321" s="102"/>
      <c r="AK321" s="102"/>
      <c r="AL321" s="102"/>
      <c r="AM321" s="102"/>
      <c r="AN321" s="102"/>
      <c r="AO321" s="102"/>
      <c r="AP321" s="102"/>
      <c r="AQ321" s="102"/>
      <c r="AR321" s="102"/>
      <c r="AS321" s="102"/>
      <c r="AT321" s="102"/>
      <c r="AU321" s="102"/>
      <c r="AV321" s="102"/>
      <c r="AW321" s="102"/>
      <c r="AX321" s="102"/>
      <c r="AY321" s="102"/>
    </row>
    <row r="322" spans="1:5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2"/>
      <c r="AJ322" s="102"/>
      <c r="AK322" s="102"/>
      <c r="AL322" s="102"/>
      <c r="AM322" s="102"/>
      <c r="AN322" s="102"/>
      <c r="AO322" s="102"/>
      <c r="AP322" s="102"/>
      <c r="AQ322" s="102"/>
      <c r="AR322" s="102"/>
      <c r="AS322" s="102"/>
      <c r="AT322" s="102"/>
      <c r="AU322" s="102"/>
      <c r="AV322" s="102"/>
      <c r="AW322" s="102"/>
      <c r="AX322" s="102"/>
      <c r="AY322" s="102"/>
    </row>
    <row r="323" spans="1:5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2"/>
      <c r="AJ323" s="102"/>
      <c r="AK323" s="102"/>
      <c r="AL323" s="102"/>
      <c r="AM323" s="102"/>
      <c r="AN323" s="102"/>
      <c r="AO323" s="102"/>
      <c r="AP323" s="102"/>
      <c r="AQ323" s="102"/>
      <c r="AR323" s="102"/>
      <c r="AS323" s="102"/>
      <c r="AT323" s="102"/>
      <c r="AU323" s="102"/>
      <c r="AV323" s="102"/>
      <c r="AW323" s="102"/>
      <c r="AX323" s="102"/>
      <c r="AY323" s="102"/>
    </row>
    <row r="324" spans="1:5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2"/>
      <c r="AJ324" s="102"/>
      <c r="AK324" s="102"/>
      <c r="AL324" s="102"/>
      <c r="AM324" s="102"/>
      <c r="AN324" s="102"/>
      <c r="AO324" s="102"/>
      <c r="AP324" s="102"/>
      <c r="AQ324" s="102"/>
      <c r="AR324" s="102"/>
      <c r="AS324" s="102"/>
      <c r="AT324" s="102"/>
      <c r="AU324" s="102"/>
      <c r="AV324" s="102"/>
      <c r="AW324" s="102"/>
      <c r="AX324" s="102"/>
      <c r="AY324" s="102"/>
    </row>
    <row r="325" spans="1:5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2"/>
      <c r="AJ325" s="102"/>
      <c r="AK325" s="102"/>
      <c r="AL325" s="102"/>
      <c r="AM325" s="102"/>
      <c r="AN325" s="102"/>
      <c r="AO325" s="102"/>
      <c r="AP325" s="102"/>
      <c r="AQ325" s="102"/>
      <c r="AR325" s="102"/>
      <c r="AS325" s="102"/>
      <c r="AT325" s="102"/>
      <c r="AU325" s="102"/>
      <c r="AV325" s="102"/>
      <c r="AW325" s="102"/>
      <c r="AX325" s="102"/>
      <c r="AY325" s="102"/>
    </row>
    <row r="326" spans="1:5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2"/>
      <c r="AJ326" s="102"/>
      <c r="AK326" s="102"/>
      <c r="AL326" s="102"/>
      <c r="AM326" s="102"/>
      <c r="AN326" s="102"/>
      <c r="AO326" s="102"/>
      <c r="AP326" s="102"/>
      <c r="AQ326" s="102"/>
      <c r="AR326" s="102"/>
      <c r="AS326" s="102"/>
      <c r="AT326" s="102"/>
      <c r="AU326" s="102"/>
      <c r="AV326" s="102"/>
      <c r="AW326" s="102"/>
      <c r="AX326" s="102"/>
      <c r="AY326" s="102"/>
    </row>
    <row r="327" spans="1:5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2"/>
      <c r="AJ327" s="102"/>
      <c r="AK327" s="102"/>
      <c r="AL327" s="102"/>
      <c r="AM327" s="102"/>
      <c r="AN327" s="102"/>
      <c r="AO327" s="102"/>
      <c r="AP327" s="102"/>
      <c r="AQ327" s="102"/>
      <c r="AR327" s="102"/>
      <c r="AS327" s="102"/>
      <c r="AT327" s="102"/>
      <c r="AU327" s="102"/>
      <c r="AV327" s="102"/>
      <c r="AW327" s="102"/>
      <c r="AX327" s="102"/>
      <c r="AY327" s="102"/>
    </row>
    <row r="328" spans="1:5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  <c r="AL328" s="102"/>
      <c r="AM328" s="102"/>
      <c r="AN328" s="102"/>
      <c r="AO328" s="102"/>
      <c r="AP328" s="102"/>
      <c r="AQ328" s="102"/>
      <c r="AR328" s="102"/>
      <c r="AS328" s="102"/>
      <c r="AT328" s="102"/>
      <c r="AU328" s="102"/>
      <c r="AV328" s="102"/>
      <c r="AW328" s="102"/>
      <c r="AX328" s="102"/>
      <c r="AY328" s="102"/>
    </row>
    <row r="329" spans="1:5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2"/>
      <c r="AJ329" s="102"/>
      <c r="AK329" s="102"/>
      <c r="AL329" s="102"/>
      <c r="AM329" s="102"/>
      <c r="AN329" s="102"/>
      <c r="AO329" s="102"/>
      <c r="AP329" s="102"/>
      <c r="AQ329" s="102"/>
      <c r="AR329" s="102"/>
      <c r="AS329" s="102"/>
      <c r="AT329" s="102"/>
      <c r="AU329" s="102"/>
      <c r="AV329" s="102"/>
      <c r="AW329" s="102"/>
      <c r="AX329" s="102"/>
      <c r="AY329" s="102"/>
    </row>
    <row r="330" spans="1:5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2"/>
      <c r="AJ330" s="102"/>
      <c r="AK330" s="102"/>
      <c r="AL330" s="102"/>
      <c r="AM330" s="102"/>
      <c r="AN330" s="102"/>
      <c r="AO330" s="102"/>
      <c r="AP330" s="102"/>
      <c r="AQ330" s="102"/>
      <c r="AR330" s="102"/>
      <c r="AS330" s="102"/>
      <c r="AT330" s="102"/>
      <c r="AU330" s="102"/>
      <c r="AV330" s="102"/>
      <c r="AW330" s="102"/>
      <c r="AX330" s="102"/>
      <c r="AY330" s="102"/>
    </row>
    <row r="331" spans="1:5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02"/>
      <c r="AJ331" s="102"/>
      <c r="AK331" s="102"/>
      <c r="AL331" s="102"/>
      <c r="AM331" s="102"/>
      <c r="AN331" s="102"/>
      <c r="AO331" s="102"/>
      <c r="AP331" s="102"/>
      <c r="AQ331" s="102"/>
      <c r="AR331" s="102"/>
      <c r="AS331" s="102"/>
      <c r="AT331" s="102"/>
      <c r="AU331" s="102"/>
      <c r="AV331" s="102"/>
      <c r="AW331" s="102"/>
      <c r="AX331" s="102"/>
      <c r="AY331" s="102"/>
    </row>
    <row r="332" spans="1:5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02"/>
      <c r="AJ332" s="102"/>
      <c r="AK332" s="102"/>
      <c r="AL332" s="102"/>
      <c r="AM332" s="102"/>
      <c r="AN332" s="102"/>
      <c r="AO332" s="102"/>
      <c r="AP332" s="102"/>
      <c r="AQ332" s="102"/>
      <c r="AR332" s="102"/>
      <c r="AS332" s="102"/>
      <c r="AT332" s="102"/>
      <c r="AU332" s="102"/>
      <c r="AV332" s="102"/>
      <c r="AW332" s="102"/>
      <c r="AX332" s="102"/>
      <c r="AY332" s="102"/>
    </row>
    <row r="333" spans="1:5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02"/>
      <c r="AJ333" s="102"/>
      <c r="AK333" s="102"/>
      <c r="AL333" s="102"/>
      <c r="AM333" s="102"/>
      <c r="AN333" s="102"/>
      <c r="AO333" s="102"/>
      <c r="AP333" s="102"/>
      <c r="AQ333" s="102"/>
      <c r="AR333" s="102"/>
      <c r="AS333" s="102"/>
      <c r="AT333" s="102"/>
      <c r="AU333" s="102"/>
      <c r="AV333" s="102"/>
      <c r="AW333" s="102"/>
      <c r="AX333" s="102"/>
      <c r="AY333" s="102"/>
    </row>
    <row r="334" spans="1:5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02"/>
      <c r="AJ334" s="102"/>
      <c r="AK334" s="102"/>
      <c r="AL334" s="102"/>
      <c r="AM334" s="102"/>
      <c r="AN334" s="102"/>
      <c r="AO334" s="102"/>
      <c r="AP334" s="102"/>
      <c r="AQ334" s="102"/>
      <c r="AR334" s="102"/>
      <c r="AS334" s="102"/>
      <c r="AT334" s="102"/>
      <c r="AU334" s="102"/>
      <c r="AV334" s="102"/>
      <c r="AW334" s="102"/>
      <c r="AX334" s="102"/>
      <c r="AY334" s="102"/>
    </row>
    <row r="335" spans="1:5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02"/>
      <c r="AJ335" s="102"/>
      <c r="AK335" s="102"/>
      <c r="AL335" s="102"/>
      <c r="AM335" s="102"/>
      <c r="AN335" s="102"/>
      <c r="AO335" s="102"/>
      <c r="AP335" s="102"/>
      <c r="AQ335" s="102"/>
      <c r="AR335" s="102"/>
      <c r="AS335" s="102"/>
      <c r="AT335" s="102"/>
      <c r="AU335" s="102"/>
      <c r="AV335" s="102"/>
      <c r="AW335" s="102"/>
      <c r="AX335" s="102"/>
      <c r="AY335" s="102"/>
    </row>
    <row r="336" spans="1:5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02"/>
      <c r="AJ336" s="102"/>
      <c r="AK336" s="102"/>
      <c r="AL336" s="102"/>
      <c r="AM336" s="102"/>
      <c r="AN336" s="102"/>
      <c r="AO336" s="102"/>
      <c r="AP336" s="102"/>
      <c r="AQ336" s="102"/>
      <c r="AR336" s="102"/>
      <c r="AS336" s="102"/>
      <c r="AT336" s="102"/>
      <c r="AU336" s="102"/>
      <c r="AV336" s="102"/>
      <c r="AW336" s="102"/>
      <c r="AX336" s="102"/>
      <c r="AY336" s="102"/>
    </row>
    <row r="337" spans="1:5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02"/>
      <c r="AJ337" s="102"/>
      <c r="AK337" s="102"/>
      <c r="AL337" s="102"/>
      <c r="AM337" s="102"/>
      <c r="AN337" s="102"/>
      <c r="AO337" s="102"/>
      <c r="AP337" s="102"/>
      <c r="AQ337" s="102"/>
      <c r="AR337" s="102"/>
      <c r="AS337" s="102"/>
      <c r="AT337" s="102"/>
      <c r="AU337" s="102"/>
      <c r="AV337" s="102"/>
      <c r="AW337" s="102"/>
      <c r="AX337" s="102"/>
      <c r="AY337" s="102"/>
    </row>
    <row r="338" spans="1:5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02"/>
      <c r="AJ338" s="102"/>
      <c r="AK338" s="102"/>
      <c r="AL338" s="102"/>
      <c r="AM338" s="102"/>
      <c r="AN338" s="102"/>
      <c r="AO338" s="102"/>
      <c r="AP338" s="102"/>
      <c r="AQ338" s="102"/>
      <c r="AR338" s="102"/>
      <c r="AS338" s="102"/>
      <c r="AT338" s="102"/>
      <c r="AU338" s="102"/>
      <c r="AV338" s="102"/>
      <c r="AW338" s="102"/>
      <c r="AX338" s="102"/>
      <c r="AY338" s="102"/>
    </row>
    <row r="339" spans="1:5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2"/>
      <c r="AJ339" s="102"/>
      <c r="AK339" s="102"/>
      <c r="AL339" s="102"/>
      <c r="AM339" s="102"/>
      <c r="AN339" s="102"/>
      <c r="AO339" s="102"/>
      <c r="AP339" s="102"/>
      <c r="AQ339" s="102"/>
      <c r="AR339" s="102"/>
      <c r="AS339" s="102"/>
      <c r="AT339" s="102"/>
      <c r="AU339" s="102"/>
      <c r="AV339" s="102"/>
      <c r="AW339" s="102"/>
      <c r="AX339" s="102"/>
      <c r="AY339" s="102"/>
    </row>
    <row r="340" spans="1:5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02"/>
      <c r="AJ340" s="102"/>
      <c r="AK340" s="102"/>
      <c r="AL340" s="102"/>
      <c r="AM340" s="102"/>
      <c r="AN340" s="102"/>
      <c r="AO340" s="102"/>
      <c r="AP340" s="102"/>
      <c r="AQ340" s="102"/>
      <c r="AR340" s="102"/>
      <c r="AS340" s="102"/>
      <c r="AT340" s="102"/>
      <c r="AU340" s="102"/>
      <c r="AV340" s="102"/>
      <c r="AW340" s="102"/>
      <c r="AX340" s="102"/>
      <c r="AY340" s="102"/>
    </row>
    <row r="341" spans="1:5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02"/>
      <c r="AJ341" s="102"/>
      <c r="AK341" s="102"/>
      <c r="AL341" s="102"/>
      <c r="AM341" s="102"/>
      <c r="AN341" s="102"/>
      <c r="AO341" s="102"/>
      <c r="AP341" s="102"/>
      <c r="AQ341" s="102"/>
      <c r="AR341" s="102"/>
      <c r="AS341" s="102"/>
      <c r="AT341" s="102"/>
      <c r="AU341" s="102"/>
      <c r="AV341" s="102"/>
      <c r="AW341" s="102"/>
      <c r="AX341" s="102"/>
      <c r="AY341" s="102"/>
    </row>
    <row r="342" spans="1:5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02"/>
      <c r="AJ342" s="102"/>
      <c r="AK342" s="102"/>
      <c r="AL342" s="102"/>
      <c r="AM342" s="102"/>
      <c r="AN342" s="102"/>
      <c r="AO342" s="102"/>
      <c r="AP342" s="102"/>
      <c r="AQ342" s="102"/>
      <c r="AR342" s="102"/>
      <c r="AS342" s="102"/>
      <c r="AT342" s="102"/>
      <c r="AU342" s="102"/>
      <c r="AV342" s="102"/>
      <c r="AW342" s="102"/>
      <c r="AX342" s="102"/>
      <c r="AY342" s="102"/>
    </row>
    <row r="343" spans="1:5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02"/>
      <c r="AJ343" s="102"/>
      <c r="AK343" s="102"/>
      <c r="AL343" s="102"/>
      <c r="AM343" s="102"/>
      <c r="AN343" s="102"/>
      <c r="AO343" s="102"/>
      <c r="AP343" s="102"/>
      <c r="AQ343" s="102"/>
      <c r="AR343" s="102"/>
      <c r="AS343" s="102"/>
      <c r="AT343" s="102"/>
      <c r="AU343" s="102"/>
      <c r="AV343" s="102"/>
      <c r="AW343" s="102"/>
      <c r="AX343" s="102"/>
      <c r="AY343" s="102"/>
    </row>
    <row r="344" spans="1:5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02"/>
      <c r="AJ344" s="102"/>
      <c r="AK344" s="102"/>
      <c r="AL344" s="102"/>
      <c r="AM344" s="102"/>
      <c r="AN344" s="102"/>
      <c r="AO344" s="102"/>
      <c r="AP344" s="102"/>
      <c r="AQ344" s="102"/>
      <c r="AR344" s="102"/>
      <c r="AS344" s="102"/>
      <c r="AT344" s="102"/>
      <c r="AU344" s="102"/>
      <c r="AV344" s="102"/>
      <c r="AW344" s="102"/>
      <c r="AX344" s="102"/>
      <c r="AY344" s="102"/>
    </row>
    <row r="345" spans="1:5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02"/>
      <c r="AJ345" s="102"/>
      <c r="AK345" s="102"/>
      <c r="AL345" s="102"/>
      <c r="AM345" s="102"/>
      <c r="AN345" s="102"/>
      <c r="AO345" s="102"/>
      <c r="AP345" s="102"/>
      <c r="AQ345" s="102"/>
      <c r="AR345" s="102"/>
      <c r="AS345" s="102"/>
      <c r="AT345" s="102"/>
      <c r="AU345" s="102"/>
      <c r="AV345" s="102"/>
      <c r="AW345" s="102"/>
      <c r="AX345" s="102"/>
      <c r="AY345" s="102"/>
    </row>
    <row r="346" spans="1:5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02"/>
      <c r="AJ346" s="102"/>
      <c r="AK346" s="102"/>
      <c r="AL346" s="102"/>
      <c r="AM346" s="102"/>
      <c r="AN346" s="102"/>
      <c r="AO346" s="102"/>
      <c r="AP346" s="102"/>
      <c r="AQ346" s="102"/>
      <c r="AR346" s="102"/>
      <c r="AS346" s="102"/>
      <c r="AT346" s="102"/>
      <c r="AU346" s="102"/>
      <c r="AV346" s="102"/>
      <c r="AW346" s="102"/>
      <c r="AX346" s="102"/>
      <c r="AY346" s="102"/>
    </row>
    <row r="347" spans="1:5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2"/>
      <c r="AJ347" s="102"/>
      <c r="AK347" s="102"/>
      <c r="AL347" s="102"/>
      <c r="AM347" s="102"/>
      <c r="AN347" s="102"/>
      <c r="AO347" s="102"/>
      <c r="AP347" s="102"/>
      <c r="AQ347" s="102"/>
      <c r="AR347" s="102"/>
      <c r="AS347" s="102"/>
      <c r="AT347" s="102"/>
      <c r="AU347" s="102"/>
      <c r="AV347" s="102"/>
      <c r="AW347" s="102"/>
      <c r="AX347" s="102"/>
      <c r="AY347" s="102"/>
    </row>
    <row r="348" spans="1:5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02"/>
      <c r="AJ348" s="102"/>
      <c r="AK348" s="102"/>
      <c r="AL348" s="102"/>
      <c r="AM348" s="102"/>
      <c r="AN348" s="102"/>
      <c r="AO348" s="102"/>
      <c r="AP348" s="102"/>
      <c r="AQ348" s="102"/>
      <c r="AR348" s="102"/>
      <c r="AS348" s="102"/>
      <c r="AT348" s="102"/>
      <c r="AU348" s="102"/>
      <c r="AV348" s="102"/>
      <c r="AW348" s="102"/>
      <c r="AX348" s="102"/>
      <c r="AY348" s="102"/>
    </row>
    <row r="349" spans="1:5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02"/>
      <c r="AJ349" s="102"/>
      <c r="AK349" s="102"/>
      <c r="AL349" s="102"/>
      <c r="AM349" s="102"/>
      <c r="AN349" s="102"/>
      <c r="AO349" s="102"/>
      <c r="AP349" s="102"/>
      <c r="AQ349" s="102"/>
      <c r="AR349" s="102"/>
      <c r="AS349" s="102"/>
      <c r="AT349" s="102"/>
      <c r="AU349" s="102"/>
      <c r="AV349" s="102"/>
      <c r="AW349" s="102"/>
      <c r="AX349" s="102"/>
      <c r="AY349" s="102"/>
    </row>
    <row r="350" spans="1:5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02"/>
      <c r="AJ350" s="102"/>
      <c r="AK350" s="102"/>
      <c r="AL350" s="102"/>
      <c r="AM350" s="102"/>
      <c r="AN350" s="102"/>
      <c r="AO350" s="102"/>
      <c r="AP350" s="102"/>
      <c r="AQ350" s="102"/>
      <c r="AR350" s="102"/>
      <c r="AS350" s="102"/>
      <c r="AT350" s="102"/>
      <c r="AU350" s="102"/>
      <c r="AV350" s="102"/>
      <c r="AW350" s="102"/>
      <c r="AX350" s="102"/>
      <c r="AY350" s="102"/>
    </row>
    <row r="351" spans="1:5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  <c r="AI351" s="102"/>
      <c r="AJ351" s="102"/>
      <c r="AK351" s="102"/>
      <c r="AL351" s="102"/>
      <c r="AM351" s="102"/>
      <c r="AN351" s="102"/>
      <c r="AO351" s="102"/>
      <c r="AP351" s="102"/>
      <c r="AQ351" s="102"/>
      <c r="AR351" s="102"/>
      <c r="AS351" s="102"/>
      <c r="AT351" s="102"/>
      <c r="AU351" s="102"/>
      <c r="AV351" s="102"/>
      <c r="AW351" s="102"/>
      <c r="AX351" s="102"/>
      <c r="AY351" s="102"/>
    </row>
    <row r="352" spans="1:5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  <c r="AI352" s="102"/>
      <c r="AJ352" s="102"/>
      <c r="AK352" s="102"/>
      <c r="AL352" s="102"/>
      <c r="AM352" s="102"/>
      <c r="AN352" s="102"/>
      <c r="AO352" s="102"/>
      <c r="AP352" s="102"/>
      <c r="AQ352" s="102"/>
      <c r="AR352" s="102"/>
      <c r="AS352" s="102"/>
      <c r="AT352" s="102"/>
      <c r="AU352" s="102"/>
      <c r="AV352" s="102"/>
      <c r="AW352" s="102"/>
      <c r="AX352" s="102"/>
      <c r="AY352" s="102"/>
    </row>
    <row r="353" spans="1:5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  <c r="AI353" s="102"/>
      <c r="AJ353" s="102"/>
      <c r="AK353" s="102"/>
      <c r="AL353" s="102"/>
      <c r="AM353" s="102"/>
      <c r="AN353" s="102"/>
      <c r="AO353" s="102"/>
      <c r="AP353" s="102"/>
      <c r="AQ353" s="102"/>
      <c r="AR353" s="102"/>
      <c r="AS353" s="102"/>
      <c r="AT353" s="102"/>
      <c r="AU353" s="102"/>
      <c r="AV353" s="102"/>
      <c r="AW353" s="102"/>
      <c r="AX353" s="102"/>
      <c r="AY353" s="102"/>
    </row>
    <row r="354" spans="1:5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  <c r="AI354" s="102"/>
      <c r="AJ354" s="102"/>
      <c r="AK354" s="102"/>
      <c r="AL354" s="102"/>
      <c r="AM354" s="102"/>
      <c r="AN354" s="102"/>
      <c r="AO354" s="102"/>
      <c r="AP354" s="102"/>
      <c r="AQ354" s="102"/>
      <c r="AR354" s="102"/>
      <c r="AS354" s="102"/>
      <c r="AT354" s="102"/>
      <c r="AU354" s="102"/>
      <c r="AV354" s="102"/>
      <c r="AW354" s="102"/>
      <c r="AX354" s="102"/>
      <c r="AY354" s="102"/>
    </row>
    <row r="355" spans="1:5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  <c r="AI355" s="102"/>
      <c r="AJ355" s="102"/>
      <c r="AK355" s="102"/>
      <c r="AL355" s="102"/>
      <c r="AM355" s="102"/>
      <c r="AN355" s="102"/>
      <c r="AO355" s="102"/>
      <c r="AP355" s="102"/>
      <c r="AQ355" s="102"/>
      <c r="AR355" s="102"/>
      <c r="AS355" s="102"/>
      <c r="AT355" s="102"/>
      <c r="AU355" s="102"/>
      <c r="AV355" s="102"/>
      <c r="AW355" s="102"/>
      <c r="AX355" s="102"/>
      <c r="AY355" s="102"/>
    </row>
    <row r="356" spans="1:5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  <c r="AI356" s="102"/>
      <c r="AJ356" s="102"/>
      <c r="AK356" s="102"/>
      <c r="AL356" s="102"/>
      <c r="AM356" s="102"/>
      <c r="AN356" s="102"/>
      <c r="AO356" s="102"/>
      <c r="AP356" s="102"/>
      <c r="AQ356" s="102"/>
      <c r="AR356" s="102"/>
      <c r="AS356" s="102"/>
      <c r="AT356" s="102"/>
      <c r="AU356" s="102"/>
      <c r="AV356" s="102"/>
      <c r="AW356" s="102"/>
      <c r="AX356" s="102"/>
      <c r="AY356" s="102"/>
    </row>
    <row r="357" spans="1:5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  <c r="AI357" s="102"/>
      <c r="AJ357" s="102"/>
      <c r="AK357" s="102"/>
      <c r="AL357" s="102"/>
      <c r="AM357" s="102"/>
      <c r="AN357" s="102"/>
      <c r="AO357" s="102"/>
      <c r="AP357" s="102"/>
      <c r="AQ357" s="102"/>
      <c r="AR357" s="102"/>
      <c r="AS357" s="102"/>
      <c r="AT357" s="102"/>
      <c r="AU357" s="102"/>
      <c r="AV357" s="102"/>
      <c r="AW357" s="102"/>
      <c r="AX357" s="102"/>
      <c r="AY357" s="102"/>
    </row>
    <row r="358" spans="1:5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  <c r="AI358" s="102"/>
      <c r="AJ358" s="102"/>
      <c r="AK358" s="102"/>
      <c r="AL358" s="102"/>
      <c r="AM358" s="102"/>
      <c r="AN358" s="102"/>
      <c r="AO358" s="102"/>
      <c r="AP358" s="102"/>
      <c r="AQ358" s="102"/>
      <c r="AR358" s="102"/>
      <c r="AS358" s="102"/>
      <c r="AT358" s="102"/>
      <c r="AU358" s="102"/>
      <c r="AV358" s="102"/>
      <c r="AW358" s="102"/>
      <c r="AX358" s="102"/>
      <c r="AY358" s="102"/>
    </row>
    <row r="359" spans="1:5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02"/>
      <c r="AJ359" s="102"/>
      <c r="AK359" s="102"/>
      <c r="AL359" s="102"/>
      <c r="AM359" s="102"/>
      <c r="AN359" s="102"/>
      <c r="AO359" s="102"/>
      <c r="AP359" s="102"/>
      <c r="AQ359" s="102"/>
      <c r="AR359" s="102"/>
      <c r="AS359" s="102"/>
      <c r="AT359" s="102"/>
      <c r="AU359" s="102"/>
      <c r="AV359" s="102"/>
      <c r="AW359" s="102"/>
      <c r="AX359" s="102"/>
      <c r="AY359" s="102"/>
    </row>
    <row r="360" spans="1:5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02"/>
      <c r="AJ360" s="102"/>
      <c r="AK360" s="102"/>
      <c r="AL360" s="102"/>
      <c r="AM360" s="102"/>
      <c r="AN360" s="102"/>
      <c r="AO360" s="102"/>
      <c r="AP360" s="102"/>
      <c r="AQ360" s="102"/>
      <c r="AR360" s="102"/>
      <c r="AS360" s="102"/>
      <c r="AT360" s="102"/>
      <c r="AU360" s="102"/>
      <c r="AV360" s="102"/>
      <c r="AW360" s="102"/>
      <c r="AX360" s="102"/>
      <c r="AY360" s="102"/>
    </row>
    <row r="361" spans="1:5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  <c r="AI361" s="102"/>
      <c r="AJ361" s="102"/>
      <c r="AK361" s="102"/>
      <c r="AL361" s="102"/>
      <c r="AM361" s="102"/>
      <c r="AN361" s="102"/>
      <c r="AO361" s="102"/>
      <c r="AP361" s="102"/>
      <c r="AQ361" s="102"/>
      <c r="AR361" s="102"/>
      <c r="AS361" s="102"/>
      <c r="AT361" s="102"/>
      <c r="AU361" s="102"/>
      <c r="AV361" s="102"/>
      <c r="AW361" s="102"/>
      <c r="AX361" s="102"/>
      <c r="AY361" s="102"/>
    </row>
    <row r="362" spans="1:5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  <c r="AI362" s="102"/>
      <c r="AJ362" s="102"/>
      <c r="AK362" s="102"/>
      <c r="AL362" s="102"/>
      <c r="AM362" s="102"/>
      <c r="AN362" s="102"/>
      <c r="AO362" s="102"/>
      <c r="AP362" s="102"/>
      <c r="AQ362" s="102"/>
      <c r="AR362" s="102"/>
      <c r="AS362" s="102"/>
      <c r="AT362" s="102"/>
      <c r="AU362" s="102"/>
      <c r="AV362" s="102"/>
      <c r="AW362" s="102"/>
      <c r="AX362" s="102"/>
      <c r="AY362" s="102"/>
    </row>
    <row r="363" spans="1:5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  <c r="AI363" s="102"/>
      <c r="AJ363" s="102"/>
      <c r="AK363" s="102"/>
      <c r="AL363" s="102"/>
      <c r="AM363" s="102"/>
      <c r="AN363" s="102"/>
      <c r="AO363" s="102"/>
      <c r="AP363" s="102"/>
      <c r="AQ363" s="102"/>
      <c r="AR363" s="102"/>
      <c r="AS363" s="102"/>
      <c r="AT363" s="102"/>
      <c r="AU363" s="102"/>
      <c r="AV363" s="102"/>
      <c r="AW363" s="102"/>
      <c r="AX363" s="102"/>
      <c r="AY363" s="102"/>
    </row>
    <row r="364" spans="1:5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  <c r="AI364" s="102"/>
      <c r="AJ364" s="102"/>
      <c r="AK364" s="102"/>
      <c r="AL364" s="102"/>
      <c r="AM364" s="102"/>
      <c r="AN364" s="102"/>
      <c r="AO364" s="102"/>
      <c r="AP364" s="102"/>
      <c r="AQ364" s="102"/>
      <c r="AR364" s="102"/>
      <c r="AS364" s="102"/>
      <c r="AT364" s="102"/>
      <c r="AU364" s="102"/>
      <c r="AV364" s="102"/>
      <c r="AW364" s="102"/>
      <c r="AX364" s="102"/>
      <c r="AY364" s="102"/>
    </row>
    <row r="365" spans="1:5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  <c r="AI365" s="102"/>
      <c r="AJ365" s="102"/>
      <c r="AK365" s="102"/>
      <c r="AL365" s="102"/>
      <c r="AM365" s="102"/>
      <c r="AN365" s="102"/>
      <c r="AO365" s="102"/>
      <c r="AP365" s="102"/>
      <c r="AQ365" s="102"/>
      <c r="AR365" s="102"/>
      <c r="AS365" s="102"/>
      <c r="AT365" s="102"/>
      <c r="AU365" s="102"/>
      <c r="AV365" s="102"/>
      <c r="AW365" s="102"/>
      <c r="AX365" s="102"/>
      <c r="AY365" s="102"/>
    </row>
    <row r="366" spans="1:5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  <c r="AI366" s="102"/>
      <c r="AJ366" s="102"/>
      <c r="AK366" s="102"/>
      <c r="AL366" s="102"/>
      <c r="AM366" s="102"/>
      <c r="AN366" s="102"/>
      <c r="AO366" s="102"/>
      <c r="AP366" s="102"/>
      <c r="AQ366" s="102"/>
      <c r="AR366" s="102"/>
      <c r="AS366" s="102"/>
      <c r="AT366" s="102"/>
      <c r="AU366" s="102"/>
      <c r="AV366" s="102"/>
      <c r="AW366" s="102"/>
      <c r="AX366" s="102"/>
      <c r="AY366" s="102"/>
    </row>
    <row r="367" spans="1:5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  <c r="AI367" s="102"/>
      <c r="AJ367" s="102"/>
      <c r="AK367" s="102"/>
      <c r="AL367" s="102"/>
      <c r="AM367" s="102"/>
      <c r="AN367" s="102"/>
      <c r="AO367" s="102"/>
      <c r="AP367" s="102"/>
      <c r="AQ367" s="102"/>
      <c r="AR367" s="102"/>
      <c r="AS367" s="102"/>
      <c r="AT367" s="102"/>
      <c r="AU367" s="102"/>
      <c r="AV367" s="102"/>
      <c r="AW367" s="102"/>
      <c r="AX367" s="102"/>
      <c r="AY367" s="102"/>
    </row>
    <row r="368" spans="1:5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02"/>
      <c r="AJ368" s="102"/>
      <c r="AK368" s="102"/>
      <c r="AL368" s="102"/>
      <c r="AM368" s="102"/>
      <c r="AN368" s="102"/>
      <c r="AO368" s="102"/>
      <c r="AP368" s="102"/>
      <c r="AQ368" s="102"/>
      <c r="AR368" s="102"/>
      <c r="AS368" s="102"/>
      <c r="AT368" s="102"/>
      <c r="AU368" s="102"/>
      <c r="AV368" s="102"/>
      <c r="AW368" s="102"/>
      <c r="AX368" s="102"/>
      <c r="AY368" s="102"/>
    </row>
    <row r="369" spans="1:5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  <c r="AI369" s="102"/>
      <c r="AJ369" s="102"/>
      <c r="AK369" s="102"/>
      <c r="AL369" s="102"/>
      <c r="AM369" s="102"/>
      <c r="AN369" s="102"/>
      <c r="AO369" s="102"/>
      <c r="AP369" s="102"/>
      <c r="AQ369" s="102"/>
      <c r="AR369" s="102"/>
      <c r="AS369" s="102"/>
      <c r="AT369" s="102"/>
      <c r="AU369" s="102"/>
      <c r="AV369" s="102"/>
      <c r="AW369" s="102"/>
      <c r="AX369" s="102"/>
      <c r="AY369" s="102"/>
    </row>
    <row r="370" spans="1:5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  <c r="AI370" s="102"/>
      <c r="AJ370" s="102"/>
      <c r="AK370" s="102"/>
      <c r="AL370" s="102"/>
      <c r="AM370" s="102"/>
      <c r="AN370" s="102"/>
      <c r="AO370" s="102"/>
      <c r="AP370" s="102"/>
      <c r="AQ370" s="102"/>
      <c r="AR370" s="102"/>
      <c r="AS370" s="102"/>
      <c r="AT370" s="102"/>
      <c r="AU370" s="102"/>
      <c r="AV370" s="102"/>
      <c r="AW370" s="102"/>
      <c r="AX370" s="102"/>
      <c r="AY370" s="102"/>
    </row>
    <row r="371" spans="1:5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  <c r="AI371" s="102"/>
      <c r="AJ371" s="102"/>
      <c r="AK371" s="102"/>
      <c r="AL371" s="102"/>
      <c r="AM371" s="102"/>
      <c r="AN371" s="102"/>
      <c r="AO371" s="102"/>
      <c r="AP371" s="102"/>
      <c r="AQ371" s="102"/>
      <c r="AR371" s="102"/>
      <c r="AS371" s="102"/>
      <c r="AT371" s="102"/>
      <c r="AU371" s="102"/>
      <c r="AV371" s="102"/>
      <c r="AW371" s="102"/>
      <c r="AX371" s="102"/>
      <c r="AY371" s="102"/>
    </row>
    <row r="372" spans="1:5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  <c r="AI372" s="102"/>
      <c r="AJ372" s="102"/>
      <c r="AK372" s="102"/>
      <c r="AL372" s="102"/>
      <c r="AM372" s="102"/>
      <c r="AN372" s="102"/>
      <c r="AO372" s="102"/>
      <c r="AP372" s="102"/>
      <c r="AQ372" s="102"/>
      <c r="AR372" s="102"/>
      <c r="AS372" s="102"/>
      <c r="AT372" s="102"/>
      <c r="AU372" s="102"/>
      <c r="AV372" s="102"/>
      <c r="AW372" s="102"/>
      <c r="AX372" s="102"/>
      <c r="AY372" s="102"/>
    </row>
    <row r="373" spans="1:5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  <c r="AI373" s="102"/>
      <c r="AJ373" s="102"/>
      <c r="AK373" s="102"/>
      <c r="AL373" s="102"/>
      <c r="AM373" s="102"/>
      <c r="AN373" s="102"/>
      <c r="AO373" s="102"/>
      <c r="AP373" s="102"/>
      <c r="AQ373" s="102"/>
      <c r="AR373" s="102"/>
      <c r="AS373" s="102"/>
      <c r="AT373" s="102"/>
      <c r="AU373" s="102"/>
      <c r="AV373" s="102"/>
      <c r="AW373" s="102"/>
      <c r="AX373" s="102"/>
      <c r="AY373" s="102"/>
    </row>
    <row r="374" spans="1:5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  <c r="AI374" s="102"/>
      <c r="AJ374" s="102"/>
      <c r="AK374" s="102"/>
      <c r="AL374" s="102"/>
      <c r="AM374" s="102"/>
      <c r="AN374" s="102"/>
      <c r="AO374" s="102"/>
      <c r="AP374" s="102"/>
      <c r="AQ374" s="102"/>
      <c r="AR374" s="102"/>
      <c r="AS374" s="102"/>
      <c r="AT374" s="102"/>
      <c r="AU374" s="102"/>
      <c r="AV374" s="102"/>
      <c r="AW374" s="102"/>
      <c r="AX374" s="102"/>
      <c r="AY374" s="102"/>
    </row>
    <row r="375" spans="1:5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  <c r="AI375" s="102"/>
      <c r="AJ375" s="102"/>
      <c r="AK375" s="102"/>
      <c r="AL375" s="102"/>
      <c r="AM375" s="102"/>
      <c r="AN375" s="102"/>
      <c r="AO375" s="102"/>
      <c r="AP375" s="102"/>
      <c r="AQ375" s="102"/>
      <c r="AR375" s="102"/>
      <c r="AS375" s="102"/>
      <c r="AT375" s="102"/>
      <c r="AU375" s="102"/>
      <c r="AV375" s="102"/>
      <c r="AW375" s="102"/>
      <c r="AX375" s="102"/>
      <c r="AY375" s="102"/>
    </row>
    <row r="376" spans="1:5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  <c r="AI376" s="102"/>
      <c r="AJ376" s="102"/>
      <c r="AK376" s="102"/>
      <c r="AL376" s="102"/>
      <c r="AM376" s="102"/>
      <c r="AN376" s="102"/>
      <c r="AO376" s="102"/>
      <c r="AP376" s="102"/>
      <c r="AQ376" s="102"/>
      <c r="AR376" s="102"/>
      <c r="AS376" s="102"/>
      <c r="AT376" s="102"/>
      <c r="AU376" s="102"/>
      <c r="AV376" s="102"/>
      <c r="AW376" s="102"/>
      <c r="AX376" s="102"/>
      <c r="AY376" s="102"/>
    </row>
    <row r="377" spans="1:5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  <c r="AI377" s="102"/>
      <c r="AJ377" s="102"/>
      <c r="AK377" s="102"/>
      <c r="AL377" s="102"/>
      <c r="AM377" s="102"/>
      <c r="AN377" s="102"/>
      <c r="AO377" s="102"/>
      <c r="AP377" s="102"/>
      <c r="AQ377" s="102"/>
      <c r="AR377" s="102"/>
      <c r="AS377" s="102"/>
      <c r="AT377" s="102"/>
      <c r="AU377" s="102"/>
      <c r="AV377" s="102"/>
      <c r="AW377" s="102"/>
      <c r="AX377" s="102"/>
      <c r="AY377" s="102"/>
    </row>
    <row r="378" spans="1:5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  <c r="AI378" s="102"/>
      <c r="AJ378" s="102"/>
      <c r="AK378" s="102"/>
      <c r="AL378" s="102"/>
      <c r="AM378" s="102"/>
      <c r="AN378" s="102"/>
      <c r="AO378" s="102"/>
      <c r="AP378" s="102"/>
      <c r="AQ378" s="102"/>
      <c r="AR378" s="102"/>
      <c r="AS378" s="102"/>
      <c r="AT378" s="102"/>
      <c r="AU378" s="102"/>
      <c r="AV378" s="102"/>
      <c r="AW378" s="102"/>
      <c r="AX378" s="102"/>
      <c r="AY378" s="102"/>
    </row>
    <row r="379" spans="1:5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02"/>
      <c r="AJ379" s="102"/>
      <c r="AK379" s="102"/>
      <c r="AL379" s="102"/>
      <c r="AM379" s="102"/>
      <c r="AN379" s="102"/>
      <c r="AO379" s="102"/>
      <c r="AP379" s="102"/>
      <c r="AQ379" s="102"/>
      <c r="AR379" s="102"/>
      <c r="AS379" s="102"/>
      <c r="AT379" s="102"/>
      <c r="AU379" s="102"/>
      <c r="AV379" s="102"/>
      <c r="AW379" s="102"/>
      <c r="AX379" s="102"/>
      <c r="AY379" s="102"/>
    </row>
    <row r="380" spans="1:5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02"/>
      <c r="AJ380" s="102"/>
      <c r="AK380" s="102"/>
      <c r="AL380" s="102"/>
      <c r="AM380" s="102"/>
      <c r="AN380" s="102"/>
      <c r="AO380" s="102"/>
      <c r="AP380" s="102"/>
      <c r="AQ380" s="102"/>
      <c r="AR380" s="102"/>
      <c r="AS380" s="102"/>
      <c r="AT380" s="102"/>
      <c r="AU380" s="102"/>
      <c r="AV380" s="102"/>
      <c r="AW380" s="102"/>
      <c r="AX380" s="102"/>
      <c r="AY380" s="102"/>
    </row>
    <row r="381" spans="1:5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02"/>
      <c r="AJ381" s="102"/>
      <c r="AK381" s="102"/>
      <c r="AL381" s="102"/>
      <c r="AM381" s="102"/>
      <c r="AN381" s="102"/>
      <c r="AO381" s="102"/>
      <c r="AP381" s="102"/>
      <c r="AQ381" s="102"/>
      <c r="AR381" s="102"/>
      <c r="AS381" s="102"/>
      <c r="AT381" s="102"/>
      <c r="AU381" s="102"/>
      <c r="AV381" s="102"/>
      <c r="AW381" s="102"/>
      <c r="AX381" s="102"/>
      <c r="AY381" s="102"/>
    </row>
    <row r="382" spans="1:5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02"/>
      <c r="AJ382" s="102"/>
      <c r="AK382" s="102"/>
      <c r="AL382" s="102"/>
      <c r="AM382" s="102"/>
      <c r="AN382" s="102"/>
      <c r="AO382" s="102"/>
      <c r="AP382" s="102"/>
      <c r="AQ382" s="102"/>
      <c r="AR382" s="102"/>
      <c r="AS382" s="102"/>
      <c r="AT382" s="102"/>
      <c r="AU382" s="102"/>
      <c r="AV382" s="102"/>
      <c r="AW382" s="102"/>
      <c r="AX382" s="102"/>
      <c r="AY382" s="102"/>
    </row>
    <row r="383" spans="1:5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02"/>
      <c r="AJ383" s="102"/>
      <c r="AK383" s="102"/>
      <c r="AL383" s="102"/>
      <c r="AM383" s="102"/>
      <c r="AN383" s="102"/>
      <c r="AO383" s="102"/>
      <c r="AP383" s="102"/>
      <c r="AQ383" s="102"/>
      <c r="AR383" s="102"/>
      <c r="AS383" s="102"/>
      <c r="AT383" s="102"/>
      <c r="AU383" s="102"/>
      <c r="AV383" s="102"/>
      <c r="AW383" s="102"/>
      <c r="AX383" s="102"/>
      <c r="AY383" s="102"/>
    </row>
    <row r="384" spans="1:5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02"/>
      <c r="AJ384" s="102"/>
      <c r="AK384" s="102"/>
      <c r="AL384" s="102"/>
      <c r="AM384" s="102"/>
      <c r="AN384" s="102"/>
      <c r="AO384" s="102"/>
      <c r="AP384" s="102"/>
      <c r="AQ384" s="102"/>
      <c r="AR384" s="102"/>
      <c r="AS384" s="102"/>
      <c r="AT384" s="102"/>
      <c r="AU384" s="102"/>
      <c r="AV384" s="102"/>
      <c r="AW384" s="102"/>
      <c r="AX384" s="102"/>
      <c r="AY384" s="102"/>
    </row>
    <row r="385" spans="1:5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02"/>
      <c r="AJ385" s="102"/>
      <c r="AK385" s="102"/>
      <c r="AL385" s="102"/>
      <c r="AM385" s="102"/>
      <c r="AN385" s="102"/>
      <c r="AO385" s="102"/>
      <c r="AP385" s="102"/>
      <c r="AQ385" s="102"/>
      <c r="AR385" s="102"/>
      <c r="AS385" s="102"/>
      <c r="AT385" s="102"/>
      <c r="AU385" s="102"/>
      <c r="AV385" s="102"/>
      <c r="AW385" s="102"/>
      <c r="AX385" s="102"/>
      <c r="AY385" s="102"/>
    </row>
    <row r="386" spans="1:5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02"/>
      <c r="AJ386" s="102"/>
      <c r="AK386" s="102"/>
      <c r="AL386" s="102"/>
      <c r="AM386" s="102"/>
      <c r="AN386" s="102"/>
      <c r="AO386" s="102"/>
      <c r="AP386" s="102"/>
      <c r="AQ386" s="102"/>
      <c r="AR386" s="102"/>
      <c r="AS386" s="102"/>
      <c r="AT386" s="102"/>
      <c r="AU386" s="102"/>
      <c r="AV386" s="102"/>
      <c r="AW386" s="102"/>
      <c r="AX386" s="102"/>
      <c r="AY386" s="102"/>
    </row>
    <row r="387" spans="1:5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02"/>
      <c r="AJ387" s="102"/>
      <c r="AK387" s="102"/>
      <c r="AL387" s="102"/>
      <c r="AM387" s="102"/>
      <c r="AN387" s="102"/>
      <c r="AO387" s="102"/>
      <c r="AP387" s="102"/>
      <c r="AQ387" s="102"/>
      <c r="AR387" s="102"/>
      <c r="AS387" s="102"/>
      <c r="AT387" s="102"/>
      <c r="AU387" s="102"/>
      <c r="AV387" s="102"/>
      <c r="AW387" s="102"/>
      <c r="AX387" s="102"/>
      <c r="AY387" s="102"/>
    </row>
    <row r="388" spans="1:5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02"/>
      <c r="AJ388" s="102"/>
      <c r="AK388" s="102"/>
      <c r="AL388" s="102"/>
      <c r="AM388" s="102"/>
      <c r="AN388" s="102"/>
      <c r="AO388" s="102"/>
      <c r="AP388" s="102"/>
      <c r="AQ388" s="102"/>
      <c r="AR388" s="102"/>
      <c r="AS388" s="102"/>
      <c r="AT388" s="102"/>
      <c r="AU388" s="102"/>
      <c r="AV388" s="102"/>
      <c r="AW388" s="102"/>
      <c r="AX388" s="102"/>
      <c r="AY388" s="102"/>
    </row>
    <row r="389" spans="1:5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02"/>
      <c r="AJ389" s="102"/>
      <c r="AK389" s="102"/>
      <c r="AL389" s="102"/>
      <c r="AM389" s="102"/>
      <c r="AN389" s="102"/>
      <c r="AO389" s="102"/>
      <c r="AP389" s="102"/>
      <c r="AQ389" s="102"/>
      <c r="AR389" s="102"/>
      <c r="AS389" s="102"/>
      <c r="AT389" s="102"/>
      <c r="AU389" s="102"/>
      <c r="AV389" s="102"/>
      <c r="AW389" s="102"/>
      <c r="AX389" s="102"/>
      <c r="AY389" s="102"/>
    </row>
    <row r="390" spans="1:5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02"/>
      <c r="AJ390" s="102"/>
      <c r="AK390" s="102"/>
      <c r="AL390" s="102"/>
      <c r="AM390" s="102"/>
      <c r="AN390" s="102"/>
      <c r="AO390" s="102"/>
      <c r="AP390" s="102"/>
      <c r="AQ390" s="102"/>
      <c r="AR390" s="102"/>
      <c r="AS390" s="102"/>
      <c r="AT390" s="102"/>
      <c r="AU390" s="102"/>
      <c r="AV390" s="102"/>
      <c r="AW390" s="102"/>
      <c r="AX390" s="102"/>
      <c r="AY390" s="102"/>
    </row>
    <row r="391" spans="1:5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02"/>
      <c r="AJ391" s="102"/>
      <c r="AK391" s="102"/>
      <c r="AL391" s="102"/>
      <c r="AM391" s="102"/>
      <c r="AN391" s="102"/>
      <c r="AO391" s="102"/>
      <c r="AP391" s="102"/>
      <c r="AQ391" s="102"/>
      <c r="AR391" s="102"/>
      <c r="AS391" s="102"/>
      <c r="AT391" s="102"/>
      <c r="AU391" s="102"/>
      <c r="AV391" s="102"/>
      <c r="AW391" s="102"/>
      <c r="AX391" s="102"/>
      <c r="AY391" s="102"/>
    </row>
    <row r="392" spans="1:5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02"/>
      <c r="AJ392" s="102"/>
      <c r="AK392" s="102"/>
      <c r="AL392" s="102"/>
      <c r="AM392" s="102"/>
      <c r="AN392" s="102"/>
      <c r="AO392" s="102"/>
      <c r="AP392" s="102"/>
      <c r="AQ392" s="102"/>
      <c r="AR392" s="102"/>
      <c r="AS392" s="102"/>
      <c r="AT392" s="102"/>
      <c r="AU392" s="102"/>
      <c r="AV392" s="102"/>
      <c r="AW392" s="102"/>
      <c r="AX392" s="102"/>
      <c r="AY392" s="102"/>
    </row>
    <row r="393" spans="1:5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02"/>
      <c r="AJ393" s="102"/>
      <c r="AK393" s="102"/>
      <c r="AL393" s="102"/>
      <c r="AM393" s="102"/>
      <c r="AN393" s="102"/>
      <c r="AO393" s="102"/>
      <c r="AP393" s="102"/>
      <c r="AQ393" s="102"/>
      <c r="AR393" s="102"/>
      <c r="AS393" s="102"/>
      <c r="AT393" s="102"/>
      <c r="AU393" s="102"/>
      <c r="AV393" s="102"/>
      <c r="AW393" s="102"/>
      <c r="AX393" s="102"/>
      <c r="AY393" s="102"/>
    </row>
    <row r="394" spans="1:5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02"/>
      <c r="AJ394" s="102"/>
      <c r="AK394" s="102"/>
      <c r="AL394" s="102"/>
      <c r="AM394" s="102"/>
      <c r="AN394" s="102"/>
      <c r="AO394" s="102"/>
      <c r="AP394" s="102"/>
      <c r="AQ394" s="102"/>
      <c r="AR394" s="102"/>
      <c r="AS394" s="102"/>
      <c r="AT394" s="102"/>
      <c r="AU394" s="102"/>
      <c r="AV394" s="102"/>
      <c r="AW394" s="102"/>
      <c r="AX394" s="102"/>
      <c r="AY394" s="102"/>
    </row>
    <row r="395" spans="1:5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02"/>
      <c r="AJ395" s="102"/>
      <c r="AK395" s="102"/>
      <c r="AL395" s="102"/>
      <c r="AM395" s="102"/>
      <c r="AN395" s="102"/>
      <c r="AO395" s="102"/>
      <c r="AP395" s="102"/>
      <c r="AQ395" s="102"/>
      <c r="AR395" s="102"/>
      <c r="AS395" s="102"/>
      <c r="AT395" s="102"/>
      <c r="AU395" s="102"/>
      <c r="AV395" s="102"/>
      <c r="AW395" s="102"/>
      <c r="AX395" s="102"/>
      <c r="AY395" s="102"/>
    </row>
    <row r="396" spans="1:5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02"/>
      <c r="AJ396" s="102"/>
      <c r="AK396" s="102"/>
      <c r="AL396" s="102"/>
      <c r="AM396" s="102"/>
      <c r="AN396" s="102"/>
      <c r="AO396" s="102"/>
      <c r="AP396" s="102"/>
      <c r="AQ396" s="102"/>
      <c r="AR396" s="102"/>
      <c r="AS396" s="102"/>
      <c r="AT396" s="102"/>
      <c r="AU396" s="102"/>
      <c r="AV396" s="102"/>
      <c r="AW396" s="102"/>
      <c r="AX396" s="102"/>
      <c r="AY396" s="102"/>
    </row>
    <row r="397" spans="1:5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02"/>
      <c r="AJ397" s="102"/>
      <c r="AK397" s="102"/>
      <c r="AL397" s="102"/>
      <c r="AM397" s="102"/>
      <c r="AN397" s="102"/>
      <c r="AO397" s="102"/>
      <c r="AP397" s="102"/>
      <c r="AQ397" s="102"/>
      <c r="AR397" s="102"/>
      <c r="AS397" s="102"/>
      <c r="AT397" s="102"/>
      <c r="AU397" s="102"/>
      <c r="AV397" s="102"/>
      <c r="AW397" s="102"/>
      <c r="AX397" s="102"/>
      <c r="AY397" s="102"/>
    </row>
    <row r="398" spans="1:5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02"/>
      <c r="AJ398" s="102"/>
      <c r="AK398" s="102"/>
      <c r="AL398" s="102"/>
      <c r="AM398" s="102"/>
      <c r="AN398" s="102"/>
      <c r="AO398" s="102"/>
      <c r="AP398" s="102"/>
      <c r="AQ398" s="102"/>
      <c r="AR398" s="102"/>
      <c r="AS398" s="102"/>
      <c r="AT398" s="102"/>
      <c r="AU398" s="102"/>
      <c r="AV398" s="102"/>
      <c r="AW398" s="102"/>
      <c r="AX398" s="102"/>
      <c r="AY398" s="102"/>
    </row>
    <row r="399" spans="1:5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02"/>
      <c r="AJ399" s="102"/>
      <c r="AK399" s="102"/>
      <c r="AL399" s="102"/>
      <c r="AM399" s="102"/>
      <c r="AN399" s="102"/>
      <c r="AO399" s="102"/>
      <c r="AP399" s="102"/>
      <c r="AQ399" s="102"/>
      <c r="AR399" s="102"/>
      <c r="AS399" s="102"/>
      <c r="AT399" s="102"/>
      <c r="AU399" s="102"/>
      <c r="AV399" s="102"/>
      <c r="AW399" s="102"/>
      <c r="AX399" s="102"/>
      <c r="AY399" s="102"/>
    </row>
    <row r="400" spans="1:5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  <c r="AI400" s="102"/>
      <c r="AJ400" s="102"/>
      <c r="AK400" s="102"/>
      <c r="AL400" s="102"/>
      <c r="AM400" s="102"/>
      <c r="AN400" s="102"/>
      <c r="AO400" s="102"/>
      <c r="AP400" s="102"/>
      <c r="AQ400" s="102"/>
      <c r="AR400" s="102"/>
      <c r="AS400" s="102"/>
      <c r="AT400" s="102"/>
      <c r="AU400" s="102"/>
      <c r="AV400" s="102"/>
      <c r="AW400" s="102"/>
      <c r="AX400" s="102"/>
      <c r="AY400" s="102"/>
    </row>
    <row r="401" spans="1:5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  <c r="AI401" s="102"/>
      <c r="AJ401" s="102"/>
      <c r="AK401" s="102"/>
      <c r="AL401" s="102"/>
      <c r="AM401" s="102"/>
      <c r="AN401" s="102"/>
      <c r="AO401" s="102"/>
      <c r="AP401" s="102"/>
      <c r="AQ401" s="102"/>
      <c r="AR401" s="102"/>
      <c r="AS401" s="102"/>
      <c r="AT401" s="102"/>
      <c r="AU401" s="102"/>
      <c r="AV401" s="102"/>
      <c r="AW401" s="102"/>
      <c r="AX401" s="102"/>
      <c r="AY401" s="102"/>
    </row>
    <row r="402" spans="1:5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  <c r="AI402" s="102"/>
      <c r="AJ402" s="102"/>
      <c r="AK402" s="102"/>
      <c r="AL402" s="102"/>
      <c r="AM402" s="102"/>
      <c r="AN402" s="102"/>
      <c r="AO402" s="102"/>
      <c r="AP402" s="102"/>
      <c r="AQ402" s="102"/>
      <c r="AR402" s="102"/>
      <c r="AS402" s="102"/>
      <c r="AT402" s="102"/>
      <c r="AU402" s="102"/>
      <c r="AV402" s="102"/>
      <c r="AW402" s="102"/>
      <c r="AX402" s="102"/>
      <c r="AY402" s="102"/>
    </row>
    <row r="403" spans="1:5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  <c r="AI403" s="102"/>
      <c r="AJ403" s="102"/>
      <c r="AK403" s="102"/>
      <c r="AL403" s="102"/>
      <c r="AM403" s="102"/>
      <c r="AN403" s="102"/>
      <c r="AO403" s="102"/>
      <c r="AP403" s="102"/>
      <c r="AQ403" s="102"/>
      <c r="AR403" s="102"/>
      <c r="AS403" s="102"/>
      <c r="AT403" s="102"/>
      <c r="AU403" s="102"/>
      <c r="AV403" s="102"/>
      <c r="AW403" s="102"/>
      <c r="AX403" s="102"/>
      <c r="AY403" s="102"/>
    </row>
    <row r="404" spans="1:5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  <c r="AI404" s="102"/>
      <c r="AJ404" s="102"/>
      <c r="AK404" s="102"/>
      <c r="AL404" s="102"/>
      <c r="AM404" s="102"/>
      <c r="AN404" s="102"/>
      <c r="AO404" s="102"/>
      <c r="AP404" s="102"/>
      <c r="AQ404" s="102"/>
      <c r="AR404" s="102"/>
      <c r="AS404" s="102"/>
      <c r="AT404" s="102"/>
      <c r="AU404" s="102"/>
      <c r="AV404" s="102"/>
      <c r="AW404" s="102"/>
      <c r="AX404" s="102"/>
      <c r="AY404" s="102"/>
    </row>
    <row r="405" spans="1:5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  <c r="AI405" s="102"/>
      <c r="AJ405" s="102"/>
      <c r="AK405" s="102"/>
      <c r="AL405" s="102"/>
      <c r="AM405" s="102"/>
      <c r="AN405" s="102"/>
      <c r="AO405" s="102"/>
      <c r="AP405" s="102"/>
      <c r="AQ405" s="102"/>
      <c r="AR405" s="102"/>
      <c r="AS405" s="102"/>
      <c r="AT405" s="102"/>
      <c r="AU405" s="102"/>
      <c r="AV405" s="102"/>
      <c r="AW405" s="102"/>
      <c r="AX405" s="102"/>
      <c r="AY405" s="102"/>
    </row>
    <row r="406" spans="1:5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  <c r="AI406" s="102"/>
      <c r="AJ406" s="102"/>
      <c r="AK406" s="102"/>
      <c r="AL406" s="102"/>
      <c r="AM406" s="102"/>
      <c r="AN406" s="102"/>
      <c r="AO406" s="102"/>
      <c r="AP406" s="102"/>
      <c r="AQ406" s="102"/>
      <c r="AR406" s="102"/>
      <c r="AS406" s="102"/>
      <c r="AT406" s="102"/>
      <c r="AU406" s="102"/>
      <c r="AV406" s="102"/>
      <c r="AW406" s="102"/>
      <c r="AX406" s="102"/>
      <c r="AY406" s="102"/>
    </row>
    <row r="407" spans="1:5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  <c r="AI407" s="102"/>
      <c r="AJ407" s="102"/>
      <c r="AK407" s="102"/>
      <c r="AL407" s="102"/>
      <c r="AM407" s="102"/>
      <c r="AN407" s="102"/>
      <c r="AO407" s="102"/>
      <c r="AP407" s="102"/>
      <c r="AQ407" s="102"/>
      <c r="AR407" s="102"/>
      <c r="AS407" s="102"/>
      <c r="AT407" s="102"/>
      <c r="AU407" s="102"/>
      <c r="AV407" s="102"/>
      <c r="AW407" s="102"/>
      <c r="AX407" s="102"/>
      <c r="AY407" s="102"/>
    </row>
    <row r="408" spans="1:5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  <c r="AI408" s="102"/>
      <c r="AJ408" s="102"/>
      <c r="AK408" s="102"/>
      <c r="AL408" s="102"/>
      <c r="AM408" s="102"/>
      <c r="AN408" s="102"/>
      <c r="AO408" s="102"/>
      <c r="AP408" s="102"/>
      <c r="AQ408" s="102"/>
      <c r="AR408" s="102"/>
      <c r="AS408" s="102"/>
      <c r="AT408" s="102"/>
      <c r="AU408" s="102"/>
      <c r="AV408" s="102"/>
      <c r="AW408" s="102"/>
      <c r="AX408" s="102"/>
      <c r="AY408" s="102"/>
    </row>
    <row r="409" spans="1:5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  <c r="AI409" s="102"/>
      <c r="AJ409" s="102"/>
      <c r="AK409" s="102"/>
      <c r="AL409" s="102"/>
      <c r="AM409" s="102"/>
      <c r="AN409" s="102"/>
      <c r="AO409" s="102"/>
      <c r="AP409" s="102"/>
      <c r="AQ409" s="102"/>
      <c r="AR409" s="102"/>
      <c r="AS409" s="102"/>
      <c r="AT409" s="102"/>
      <c r="AU409" s="102"/>
      <c r="AV409" s="102"/>
      <c r="AW409" s="102"/>
      <c r="AX409" s="102"/>
      <c r="AY409" s="102"/>
    </row>
    <row r="410" spans="1:5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  <c r="AI410" s="102"/>
      <c r="AJ410" s="102"/>
      <c r="AK410" s="102"/>
      <c r="AL410" s="102"/>
      <c r="AM410" s="102"/>
      <c r="AN410" s="102"/>
      <c r="AO410" s="102"/>
      <c r="AP410" s="102"/>
      <c r="AQ410" s="102"/>
      <c r="AR410" s="102"/>
      <c r="AS410" s="102"/>
      <c r="AT410" s="102"/>
      <c r="AU410" s="102"/>
      <c r="AV410" s="102"/>
      <c r="AW410" s="102"/>
      <c r="AX410" s="102"/>
      <c r="AY410" s="102"/>
    </row>
    <row r="411" spans="1:5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  <c r="AI411" s="102"/>
      <c r="AJ411" s="102"/>
      <c r="AK411" s="102"/>
      <c r="AL411" s="102"/>
      <c r="AM411" s="102"/>
      <c r="AN411" s="102"/>
      <c r="AO411" s="102"/>
      <c r="AP411" s="102"/>
      <c r="AQ411" s="102"/>
      <c r="AR411" s="102"/>
      <c r="AS411" s="102"/>
      <c r="AT411" s="102"/>
      <c r="AU411" s="102"/>
      <c r="AV411" s="102"/>
      <c r="AW411" s="102"/>
      <c r="AX411" s="102"/>
      <c r="AY411" s="102"/>
    </row>
    <row r="412" spans="1:5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  <c r="AI412" s="102"/>
      <c r="AJ412" s="102"/>
      <c r="AK412" s="102"/>
      <c r="AL412" s="102"/>
      <c r="AM412" s="102"/>
      <c r="AN412" s="102"/>
      <c r="AO412" s="102"/>
      <c r="AP412" s="102"/>
      <c r="AQ412" s="102"/>
      <c r="AR412" s="102"/>
      <c r="AS412" s="102"/>
      <c r="AT412" s="102"/>
      <c r="AU412" s="102"/>
      <c r="AV412" s="102"/>
      <c r="AW412" s="102"/>
      <c r="AX412" s="102"/>
      <c r="AY412" s="102"/>
    </row>
    <row r="413" spans="1:5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  <c r="AI413" s="102"/>
      <c r="AJ413" s="102"/>
      <c r="AK413" s="102"/>
      <c r="AL413" s="102"/>
      <c r="AM413" s="102"/>
      <c r="AN413" s="102"/>
      <c r="AO413" s="102"/>
      <c r="AP413" s="102"/>
      <c r="AQ413" s="102"/>
      <c r="AR413" s="102"/>
      <c r="AS413" s="102"/>
      <c r="AT413" s="102"/>
      <c r="AU413" s="102"/>
      <c r="AV413" s="102"/>
      <c r="AW413" s="102"/>
      <c r="AX413" s="102"/>
      <c r="AY413" s="102"/>
    </row>
    <row r="414" spans="1:5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  <c r="AI414" s="102"/>
      <c r="AJ414" s="102"/>
      <c r="AK414" s="102"/>
      <c r="AL414" s="102"/>
      <c r="AM414" s="102"/>
      <c r="AN414" s="102"/>
      <c r="AO414" s="102"/>
      <c r="AP414" s="102"/>
      <c r="AQ414" s="102"/>
      <c r="AR414" s="102"/>
      <c r="AS414" s="102"/>
      <c r="AT414" s="102"/>
      <c r="AU414" s="102"/>
      <c r="AV414" s="102"/>
      <c r="AW414" s="102"/>
      <c r="AX414" s="102"/>
      <c r="AY414" s="102"/>
    </row>
    <row r="415" spans="1:5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02"/>
      <c r="AJ415" s="102"/>
      <c r="AK415" s="102"/>
      <c r="AL415" s="102"/>
      <c r="AM415" s="102"/>
      <c r="AN415" s="102"/>
      <c r="AO415" s="102"/>
      <c r="AP415" s="102"/>
      <c r="AQ415" s="102"/>
      <c r="AR415" s="102"/>
      <c r="AS415" s="102"/>
      <c r="AT415" s="102"/>
      <c r="AU415" s="102"/>
      <c r="AV415" s="102"/>
      <c r="AW415" s="102"/>
      <c r="AX415" s="102"/>
      <c r="AY415" s="102"/>
    </row>
    <row r="416" spans="1:5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02"/>
      <c r="AJ416" s="102"/>
      <c r="AK416" s="102"/>
      <c r="AL416" s="102"/>
      <c r="AM416" s="102"/>
      <c r="AN416" s="102"/>
      <c r="AO416" s="102"/>
      <c r="AP416" s="102"/>
      <c r="AQ416" s="102"/>
      <c r="AR416" s="102"/>
      <c r="AS416" s="102"/>
      <c r="AT416" s="102"/>
      <c r="AU416" s="102"/>
      <c r="AV416" s="102"/>
      <c r="AW416" s="102"/>
      <c r="AX416" s="102"/>
      <c r="AY416" s="102"/>
    </row>
    <row r="417" spans="1:5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02"/>
      <c r="AJ417" s="102"/>
      <c r="AK417" s="102"/>
      <c r="AL417" s="102"/>
      <c r="AM417" s="102"/>
      <c r="AN417" s="102"/>
      <c r="AO417" s="102"/>
      <c r="AP417" s="102"/>
      <c r="AQ417" s="102"/>
      <c r="AR417" s="102"/>
      <c r="AS417" s="102"/>
      <c r="AT417" s="102"/>
      <c r="AU417" s="102"/>
      <c r="AV417" s="102"/>
      <c r="AW417" s="102"/>
      <c r="AX417" s="102"/>
      <c r="AY417" s="102"/>
    </row>
    <row r="418" spans="1:5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02"/>
      <c r="AJ418" s="102"/>
      <c r="AK418" s="102"/>
      <c r="AL418" s="102"/>
      <c r="AM418" s="102"/>
      <c r="AN418" s="102"/>
      <c r="AO418" s="102"/>
      <c r="AP418" s="102"/>
      <c r="AQ418" s="102"/>
      <c r="AR418" s="102"/>
      <c r="AS418" s="102"/>
      <c r="AT418" s="102"/>
      <c r="AU418" s="102"/>
      <c r="AV418" s="102"/>
      <c r="AW418" s="102"/>
      <c r="AX418" s="102"/>
      <c r="AY418" s="102"/>
    </row>
    <row r="419" spans="1:5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102"/>
      <c r="AM419" s="102"/>
      <c r="AN419" s="102"/>
      <c r="AO419" s="102"/>
      <c r="AP419" s="102"/>
      <c r="AQ419" s="102"/>
      <c r="AR419" s="102"/>
      <c r="AS419" s="102"/>
      <c r="AT419" s="102"/>
      <c r="AU419" s="102"/>
      <c r="AV419" s="102"/>
      <c r="AW419" s="102"/>
      <c r="AX419" s="102"/>
      <c r="AY419" s="102"/>
    </row>
    <row r="420" spans="1:5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02"/>
      <c r="AJ420" s="102"/>
      <c r="AK420" s="102"/>
      <c r="AL420" s="102"/>
      <c r="AM420" s="102"/>
      <c r="AN420" s="102"/>
      <c r="AO420" s="102"/>
      <c r="AP420" s="102"/>
      <c r="AQ420" s="102"/>
      <c r="AR420" s="102"/>
      <c r="AS420" s="102"/>
      <c r="AT420" s="102"/>
      <c r="AU420" s="102"/>
      <c r="AV420" s="102"/>
      <c r="AW420" s="102"/>
      <c r="AX420" s="102"/>
      <c r="AY420" s="102"/>
    </row>
    <row r="421" spans="1:5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02"/>
      <c r="AJ421" s="102"/>
      <c r="AK421" s="102"/>
      <c r="AL421" s="102"/>
      <c r="AM421" s="102"/>
      <c r="AN421" s="102"/>
      <c r="AO421" s="102"/>
      <c r="AP421" s="102"/>
      <c r="AQ421" s="102"/>
      <c r="AR421" s="102"/>
      <c r="AS421" s="102"/>
      <c r="AT421" s="102"/>
      <c r="AU421" s="102"/>
      <c r="AV421" s="102"/>
      <c r="AW421" s="102"/>
      <c r="AX421" s="102"/>
      <c r="AY421" s="102"/>
    </row>
    <row r="422" spans="1:5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  <c r="AI422" s="102"/>
      <c r="AJ422" s="102"/>
      <c r="AK422" s="102"/>
      <c r="AL422" s="102"/>
      <c r="AM422" s="102"/>
      <c r="AN422" s="102"/>
      <c r="AO422" s="102"/>
      <c r="AP422" s="102"/>
      <c r="AQ422" s="102"/>
      <c r="AR422" s="102"/>
      <c r="AS422" s="102"/>
      <c r="AT422" s="102"/>
      <c r="AU422" s="102"/>
      <c r="AV422" s="102"/>
      <c r="AW422" s="102"/>
      <c r="AX422" s="102"/>
      <c r="AY422" s="102"/>
    </row>
    <row r="423" spans="1:5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02"/>
      <c r="AJ423" s="102"/>
      <c r="AK423" s="102"/>
      <c r="AL423" s="102"/>
      <c r="AM423" s="102"/>
      <c r="AN423" s="102"/>
      <c r="AO423" s="102"/>
      <c r="AP423" s="102"/>
      <c r="AQ423" s="102"/>
      <c r="AR423" s="102"/>
      <c r="AS423" s="102"/>
      <c r="AT423" s="102"/>
      <c r="AU423" s="102"/>
      <c r="AV423" s="102"/>
      <c r="AW423" s="102"/>
      <c r="AX423" s="102"/>
      <c r="AY423" s="102"/>
    </row>
    <row r="424" spans="1:5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  <c r="AI424" s="102"/>
      <c r="AJ424" s="102"/>
      <c r="AK424" s="102"/>
      <c r="AL424" s="102"/>
      <c r="AM424" s="102"/>
      <c r="AN424" s="102"/>
      <c r="AO424" s="102"/>
      <c r="AP424" s="102"/>
      <c r="AQ424" s="102"/>
      <c r="AR424" s="102"/>
      <c r="AS424" s="102"/>
      <c r="AT424" s="102"/>
      <c r="AU424" s="102"/>
      <c r="AV424" s="102"/>
      <c r="AW424" s="102"/>
      <c r="AX424" s="102"/>
      <c r="AY424" s="102"/>
    </row>
    <row r="425" spans="1:5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  <c r="AI425" s="102"/>
      <c r="AJ425" s="102"/>
      <c r="AK425" s="102"/>
      <c r="AL425" s="102"/>
      <c r="AM425" s="102"/>
      <c r="AN425" s="102"/>
      <c r="AO425" s="102"/>
      <c r="AP425" s="102"/>
      <c r="AQ425" s="102"/>
      <c r="AR425" s="102"/>
      <c r="AS425" s="102"/>
      <c r="AT425" s="102"/>
      <c r="AU425" s="102"/>
      <c r="AV425" s="102"/>
      <c r="AW425" s="102"/>
      <c r="AX425" s="102"/>
      <c r="AY425" s="102"/>
    </row>
    <row r="426" spans="1:5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  <c r="AI426" s="102"/>
      <c r="AJ426" s="102"/>
      <c r="AK426" s="102"/>
      <c r="AL426" s="102"/>
      <c r="AM426" s="102"/>
      <c r="AN426" s="102"/>
      <c r="AO426" s="102"/>
      <c r="AP426" s="102"/>
      <c r="AQ426" s="102"/>
      <c r="AR426" s="102"/>
      <c r="AS426" s="102"/>
      <c r="AT426" s="102"/>
      <c r="AU426" s="102"/>
      <c r="AV426" s="102"/>
      <c r="AW426" s="102"/>
      <c r="AX426" s="102"/>
      <c r="AY426" s="102"/>
    </row>
    <row r="427" spans="1:5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  <c r="AI427" s="102"/>
      <c r="AJ427" s="102"/>
      <c r="AK427" s="102"/>
      <c r="AL427" s="102"/>
      <c r="AM427" s="102"/>
      <c r="AN427" s="102"/>
      <c r="AO427" s="102"/>
      <c r="AP427" s="102"/>
      <c r="AQ427" s="102"/>
      <c r="AR427" s="102"/>
      <c r="AS427" s="102"/>
      <c r="AT427" s="102"/>
      <c r="AU427" s="102"/>
      <c r="AV427" s="102"/>
      <c r="AW427" s="102"/>
      <c r="AX427" s="102"/>
      <c r="AY427" s="102"/>
    </row>
    <row r="428" spans="1:5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02"/>
      <c r="AJ428" s="102"/>
      <c r="AK428" s="102"/>
      <c r="AL428" s="102"/>
      <c r="AM428" s="102"/>
      <c r="AN428" s="102"/>
      <c r="AO428" s="102"/>
      <c r="AP428" s="102"/>
      <c r="AQ428" s="102"/>
      <c r="AR428" s="102"/>
      <c r="AS428" s="102"/>
      <c r="AT428" s="102"/>
      <c r="AU428" s="102"/>
      <c r="AV428" s="102"/>
      <c r="AW428" s="102"/>
      <c r="AX428" s="102"/>
      <c r="AY428" s="102"/>
    </row>
    <row r="429" spans="1:5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02"/>
      <c r="AJ429" s="102"/>
      <c r="AK429" s="102"/>
      <c r="AL429" s="102"/>
      <c r="AM429" s="102"/>
      <c r="AN429" s="102"/>
      <c r="AO429" s="102"/>
      <c r="AP429" s="102"/>
      <c r="AQ429" s="102"/>
      <c r="AR429" s="102"/>
      <c r="AS429" s="102"/>
      <c r="AT429" s="102"/>
      <c r="AU429" s="102"/>
      <c r="AV429" s="102"/>
      <c r="AW429" s="102"/>
      <c r="AX429" s="102"/>
      <c r="AY429" s="102"/>
    </row>
    <row r="430" spans="1:5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02"/>
      <c r="AJ430" s="102"/>
      <c r="AK430" s="102"/>
      <c r="AL430" s="102"/>
      <c r="AM430" s="102"/>
      <c r="AN430" s="102"/>
      <c r="AO430" s="102"/>
      <c r="AP430" s="102"/>
      <c r="AQ430" s="102"/>
      <c r="AR430" s="102"/>
      <c r="AS430" s="102"/>
      <c r="AT430" s="102"/>
      <c r="AU430" s="102"/>
      <c r="AV430" s="102"/>
      <c r="AW430" s="102"/>
      <c r="AX430" s="102"/>
      <c r="AY430" s="102"/>
    </row>
    <row r="431" spans="1:5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02"/>
      <c r="AJ431" s="102"/>
      <c r="AK431" s="102"/>
      <c r="AL431" s="102"/>
      <c r="AM431" s="102"/>
      <c r="AN431" s="102"/>
      <c r="AO431" s="102"/>
      <c r="AP431" s="102"/>
      <c r="AQ431" s="102"/>
      <c r="AR431" s="102"/>
      <c r="AS431" s="102"/>
      <c r="AT431" s="102"/>
      <c r="AU431" s="102"/>
      <c r="AV431" s="102"/>
      <c r="AW431" s="102"/>
      <c r="AX431" s="102"/>
      <c r="AY431" s="102"/>
    </row>
    <row r="432" spans="1:5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02"/>
      <c r="AJ432" s="102"/>
      <c r="AK432" s="102"/>
      <c r="AL432" s="102"/>
      <c r="AM432" s="102"/>
      <c r="AN432" s="102"/>
      <c r="AO432" s="102"/>
      <c r="AP432" s="102"/>
      <c r="AQ432" s="102"/>
      <c r="AR432" s="102"/>
      <c r="AS432" s="102"/>
      <c r="AT432" s="102"/>
      <c r="AU432" s="102"/>
      <c r="AV432" s="102"/>
      <c r="AW432" s="102"/>
      <c r="AX432" s="102"/>
      <c r="AY432" s="102"/>
    </row>
    <row r="433" spans="1:5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02"/>
      <c r="AJ433" s="102"/>
      <c r="AK433" s="102"/>
      <c r="AL433" s="102"/>
      <c r="AM433" s="102"/>
      <c r="AN433" s="102"/>
      <c r="AO433" s="102"/>
      <c r="AP433" s="102"/>
      <c r="AQ433" s="102"/>
      <c r="AR433" s="102"/>
      <c r="AS433" s="102"/>
      <c r="AT433" s="102"/>
      <c r="AU433" s="102"/>
      <c r="AV433" s="102"/>
      <c r="AW433" s="102"/>
      <c r="AX433" s="102"/>
      <c r="AY433" s="102"/>
    </row>
    <row r="434" spans="1:5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02"/>
      <c r="AJ434" s="102"/>
      <c r="AK434" s="102"/>
      <c r="AL434" s="102"/>
      <c r="AM434" s="102"/>
      <c r="AN434" s="102"/>
      <c r="AO434" s="102"/>
      <c r="AP434" s="102"/>
      <c r="AQ434" s="102"/>
      <c r="AR434" s="102"/>
      <c r="AS434" s="102"/>
      <c r="AT434" s="102"/>
      <c r="AU434" s="102"/>
      <c r="AV434" s="102"/>
      <c r="AW434" s="102"/>
      <c r="AX434" s="102"/>
      <c r="AY434" s="102"/>
    </row>
    <row r="435" spans="1:5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02"/>
      <c r="AJ435" s="102"/>
      <c r="AK435" s="102"/>
      <c r="AL435" s="102"/>
      <c r="AM435" s="102"/>
      <c r="AN435" s="102"/>
      <c r="AO435" s="102"/>
      <c r="AP435" s="102"/>
      <c r="AQ435" s="102"/>
      <c r="AR435" s="102"/>
      <c r="AS435" s="102"/>
      <c r="AT435" s="102"/>
      <c r="AU435" s="102"/>
      <c r="AV435" s="102"/>
      <c r="AW435" s="102"/>
      <c r="AX435" s="102"/>
      <c r="AY435" s="102"/>
    </row>
    <row r="436" spans="1:5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02"/>
      <c r="AJ436" s="102"/>
      <c r="AK436" s="102"/>
      <c r="AL436" s="102"/>
      <c r="AM436" s="102"/>
      <c r="AN436" s="102"/>
      <c r="AO436" s="102"/>
      <c r="AP436" s="102"/>
      <c r="AQ436" s="102"/>
      <c r="AR436" s="102"/>
      <c r="AS436" s="102"/>
      <c r="AT436" s="102"/>
      <c r="AU436" s="102"/>
      <c r="AV436" s="102"/>
      <c r="AW436" s="102"/>
      <c r="AX436" s="102"/>
      <c r="AY436" s="102"/>
    </row>
    <row r="437" spans="1:5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02"/>
      <c r="AJ437" s="102"/>
      <c r="AK437" s="102"/>
      <c r="AL437" s="102"/>
      <c r="AM437" s="102"/>
      <c r="AN437" s="102"/>
      <c r="AO437" s="102"/>
      <c r="AP437" s="102"/>
      <c r="AQ437" s="102"/>
      <c r="AR437" s="102"/>
      <c r="AS437" s="102"/>
      <c r="AT437" s="102"/>
      <c r="AU437" s="102"/>
      <c r="AV437" s="102"/>
      <c r="AW437" s="102"/>
      <c r="AX437" s="102"/>
      <c r="AY437" s="102"/>
    </row>
    <row r="438" spans="1:5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02"/>
      <c r="AJ438" s="102"/>
      <c r="AK438" s="102"/>
      <c r="AL438" s="102"/>
      <c r="AM438" s="102"/>
      <c r="AN438" s="102"/>
      <c r="AO438" s="102"/>
      <c r="AP438" s="102"/>
      <c r="AQ438" s="102"/>
      <c r="AR438" s="102"/>
      <c r="AS438" s="102"/>
      <c r="AT438" s="102"/>
      <c r="AU438" s="102"/>
      <c r="AV438" s="102"/>
      <c r="AW438" s="102"/>
      <c r="AX438" s="102"/>
      <c r="AY438" s="102"/>
    </row>
    <row r="439" spans="1:5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02"/>
      <c r="AJ439" s="102"/>
      <c r="AK439" s="102"/>
      <c r="AL439" s="102"/>
      <c r="AM439" s="102"/>
      <c r="AN439" s="102"/>
      <c r="AO439" s="102"/>
      <c r="AP439" s="102"/>
      <c r="AQ439" s="102"/>
      <c r="AR439" s="102"/>
      <c r="AS439" s="102"/>
      <c r="AT439" s="102"/>
      <c r="AU439" s="102"/>
      <c r="AV439" s="102"/>
      <c r="AW439" s="102"/>
      <c r="AX439" s="102"/>
      <c r="AY439" s="102"/>
    </row>
    <row r="440" spans="1:5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02"/>
      <c r="AJ440" s="102"/>
      <c r="AK440" s="102"/>
      <c r="AL440" s="102"/>
      <c r="AM440" s="102"/>
      <c r="AN440" s="102"/>
      <c r="AO440" s="102"/>
      <c r="AP440" s="102"/>
      <c r="AQ440" s="102"/>
      <c r="AR440" s="102"/>
      <c r="AS440" s="102"/>
      <c r="AT440" s="102"/>
      <c r="AU440" s="102"/>
      <c r="AV440" s="102"/>
      <c r="AW440" s="102"/>
      <c r="AX440" s="102"/>
      <c r="AY440" s="102"/>
    </row>
    <row r="441" spans="1:5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02"/>
      <c r="AJ441" s="102"/>
      <c r="AK441" s="102"/>
      <c r="AL441" s="102"/>
      <c r="AM441" s="102"/>
      <c r="AN441" s="102"/>
      <c r="AO441" s="102"/>
      <c r="AP441" s="102"/>
      <c r="AQ441" s="102"/>
      <c r="AR441" s="102"/>
      <c r="AS441" s="102"/>
      <c r="AT441" s="102"/>
      <c r="AU441" s="102"/>
      <c r="AV441" s="102"/>
      <c r="AW441" s="102"/>
      <c r="AX441" s="102"/>
      <c r="AY441" s="102"/>
    </row>
    <row r="442" spans="1:5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2"/>
      <c r="AJ442" s="102"/>
      <c r="AK442" s="102"/>
      <c r="AL442" s="102"/>
      <c r="AM442" s="102"/>
      <c r="AN442" s="102"/>
      <c r="AO442" s="102"/>
      <c r="AP442" s="102"/>
      <c r="AQ442" s="102"/>
      <c r="AR442" s="102"/>
      <c r="AS442" s="102"/>
      <c r="AT442" s="102"/>
      <c r="AU442" s="102"/>
      <c r="AV442" s="102"/>
      <c r="AW442" s="102"/>
      <c r="AX442" s="102"/>
      <c r="AY442" s="102"/>
    </row>
    <row r="443" spans="1:5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2"/>
      <c r="AK443" s="102"/>
      <c r="AL443" s="102"/>
      <c r="AM443" s="102"/>
      <c r="AN443" s="102"/>
      <c r="AO443" s="102"/>
      <c r="AP443" s="102"/>
      <c r="AQ443" s="102"/>
      <c r="AR443" s="102"/>
      <c r="AS443" s="102"/>
      <c r="AT443" s="102"/>
      <c r="AU443" s="102"/>
      <c r="AV443" s="102"/>
      <c r="AW443" s="102"/>
      <c r="AX443" s="102"/>
      <c r="AY443" s="102"/>
    </row>
    <row r="444" spans="1:5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2"/>
      <c r="AJ444" s="102"/>
      <c r="AK444" s="102"/>
      <c r="AL444" s="102"/>
      <c r="AM444" s="102"/>
      <c r="AN444" s="102"/>
      <c r="AO444" s="102"/>
      <c r="AP444" s="102"/>
      <c r="AQ444" s="102"/>
      <c r="AR444" s="102"/>
      <c r="AS444" s="102"/>
      <c r="AT444" s="102"/>
      <c r="AU444" s="102"/>
      <c r="AV444" s="102"/>
      <c r="AW444" s="102"/>
      <c r="AX444" s="102"/>
      <c r="AY444" s="102"/>
    </row>
    <row r="445" spans="1:5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2"/>
      <c r="AJ445" s="102"/>
      <c r="AK445" s="102"/>
      <c r="AL445" s="102"/>
      <c r="AM445" s="102"/>
      <c r="AN445" s="102"/>
      <c r="AO445" s="102"/>
      <c r="AP445" s="102"/>
      <c r="AQ445" s="102"/>
      <c r="AR445" s="102"/>
      <c r="AS445" s="102"/>
      <c r="AT445" s="102"/>
      <c r="AU445" s="102"/>
      <c r="AV445" s="102"/>
      <c r="AW445" s="102"/>
      <c r="AX445" s="102"/>
      <c r="AY445" s="102"/>
    </row>
    <row r="446" spans="1:5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02"/>
      <c r="AJ446" s="102"/>
      <c r="AK446" s="102"/>
      <c r="AL446" s="102"/>
      <c r="AM446" s="102"/>
      <c r="AN446" s="102"/>
      <c r="AO446" s="102"/>
      <c r="AP446" s="102"/>
      <c r="AQ446" s="102"/>
      <c r="AR446" s="102"/>
      <c r="AS446" s="102"/>
      <c r="AT446" s="102"/>
      <c r="AU446" s="102"/>
      <c r="AV446" s="102"/>
      <c r="AW446" s="102"/>
      <c r="AX446" s="102"/>
      <c r="AY446" s="102"/>
    </row>
    <row r="447" spans="1:5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02"/>
      <c r="AJ447" s="102"/>
      <c r="AK447" s="102"/>
      <c r="AL447" s="102"/>
      <c r="AM447" s="102"/>
      <c r="AN447" s="102"/>
      <c r="AO447" s="102"/>
      <c r="AP447" s="102"/>
      <c r="AQ447" s="102"/>
      <c r="AR447" s="102"/>
      <c r="AS447" s="102"/>
      <c r="AT447" s="102"/>
      <c r="AU447" s="102"/>
      <c r="AV447" s="102"/>
      <c r="AW447" s="102"/>
      <c r="AX447" s="102"/>
      <c r="AY447" s="102"/>
    </row>
    <row r="448" spans="1:5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  <c r="AI448" s="102"/>
      <c r="AJ448" s="102"/>
      <c r="AK448" s="102"/>
      <c r="AL448" s="102"/>
      <c r="AM448" s="102"/>
      <c r="AN448" s="102"/>
      <c r="AO448" s="102"/>
      <c r="AP448" s="102"/>
      <c r="AQ448" s="102"/>
      <c r="AR448" s="102"/>
      <c r="AS448" s="102"/>
      <c r="AT448" s="102"/>
      <c r="AU448" s="102"/>
      <c r="AV448" s="102"/>
      <c r="AW448" s="102"/>
      <c r="AX448" s="102"/>
      <c r="AY448" s="102"/>
    </row>
    <row r="449" spans="1:5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  <c r="AI449" s="102"/>
      <c r="AJ449" s="102"/>
      <c r="AK449" s="102"/>
      <c r="AL449" s="102"/>
      <c r="AM449" s="102"/>
      <c r="AN449" s="102"/>
      <c r="AO449" s="102"/>
      <c r="AP449" s="102"/>
      <c r="AQ449" s="102"/>
      <c r="AR449" s="102"/>
      <c r="AS449" s="102"/>
      <c r="AT449" s="102"/>
      <c r="AU449" s="102"/>
      <c r="AV449" s="102"/>
      <c r="AW449" s="102"/>
      <c r="AX449" s="102"/>
      <c r="AY449" s="102"/>
    </row>
    <row r="450" spans="1:5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  <c r="AI450" s="102"/>
      <c r="AJ450" s="102"/>
      <c r="AK450" s="102"/>
      <c r="AL450" s="102"/>
      <c r="AM450" s="102"/>
      <c r="AN450" s="102"/>
      <c r="AO450" s="102"/>
      <c r="AP450" s="102"/>
      <c r="AQ450" s="102"/>
      <c r="AR450" s="102"/>
      <c r="AS450" s="102"/>
      <c r="AT450" s="102"/>
      <c r="AU450" s="102"/>
      <c r="AV450" s="102"/>
      <c r="AW450" s="102"/>
      <c r="AX450" s="102"/>
      <c r="AY450" s="102"/>
    </row>
    <row r="451" spans="1:5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  <c r="AI451" s="102"/>
      <c r="AJ451" s="102"/>
      <c r="AK451" s="102"/>
      <c r="AL451" s="102"/>
      <c r="AM451" s="102"/>
      <c r="AN451" s="102"/>
      <c r="AO451" s="102"/>
      <c r="AP451" s="102"/>
      <c r="AQ451" s="102"/>
      <c r="AR451" s="102"/>
      <c r="AS451" s="102"/>
      <c r="AT451" s="102"/>
      <c r="AU451" s="102"/>
      <c r="AV451" s="102"/>
      <c r="AW451" s="102"/>
      <c r="AX451" s="102"/>
      <c r="AY451" s="102"/>
    </row>
    <row r="452" spans="1:5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  <c r="AI452" s="102"/>
      <c r="AJ452" s="102"/>
      <c r="AK452" s="102"/>
      <c r="AL452" s="102"/>
      <c r="AM452" s="102"/>
      <c r="AN452" s="102"/>
      <c r="AO452" s="102"/>
      <c r="AP452" s="102"/>
      <c r="AQ452" s="102"/>
      <c r="AR452" s="102"/>
      <c r="AS452" s="102"/>
      <c r="AT452" s="102"/>
      <c r="AU452" s="102"/>
      <c r="AV452" s="102"/>
      <c r="AW452" s="102"/>
      <c r="AX452" s="102"/>
      <c r="AY452" s="102"/>
    </row>
    <row r="453" spans="1:5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  <c r="AI453" s="102"/>
      <c r="AJ453" s="102"/>
      <c r="AK453" s="102"/>
      <c r="AL453" s="102"/>
      <c r="AM453" s="102"/>
      <c r="AN453" s="102"/>
      <c r="AO453" s="102"/>
      <c r="AP453" s="102"/>
      <c r="AQ453" s="102"/>
      <c r="AR453" s="102"/>
      <c r="AS453" s="102"/>
      <c r="AT453" s="102"/>
      <c r="AU453" s="102"/>
      <c r="AV453" s="102"/>
      <c r="AW453" s="102"/>
      <c r="AX453" s="102"/>
      <c r="AY453" s="102"/>
    </row>
    <row r="454" spans="1:5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02"/>
      <c r="AJ454" s="102"/>
      <c r="AK454" s="102"/>
      <c r="AL454" s="102"/>
      <c r="AM454" s="102"/>
      <c r="AN454" s="102"/>
      <c r="AO454" s="102"/>
      <c r="AP454" s="102"/>
      <c r="AQ454" s="102"/>
      <c r="AR454" s="102"/>
      <c r="AS454" s="102"/>
      <c r="AT454" s="102"/>
      <c r="AU454" s="102"/>
      <c r="AV454" s="102"/>
      <c r="AW454" s="102"/>
      <c r="AX454" s="102"/>
      <c r="AY454" s="102"/>
    </row>
    <row r="455" spans="1:5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  <c r="AI455" s="102"/>
      <c r="AJ455" s="102"/>
      <c r="AK455" s="102"/>
      <c r="AL455" s="102"/>
      <c r="AM455" s="102"/>
      <c r="AN455" s="102"/>
      <c r="AO455" s="102"/>
      <c r="AP455" s="102"/>
      <c r="AQ455" s="102"/>
      <c r="AR455" s="102"/>
      <c r="AS455" s="102"/>
      <c r="AT455" s="102"/>
      <c r="AU455" s="102"/>
      <c r="AV455" s="102"/>
      <c r="AW455" s="102"/>
      <c r="AX455" s="102"/>
      <c r="AY455" s="102"/>
    </row>
    <row r="456" spans="1:5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  <c r="AI456" s="102"/>
      <c r="AJ456" s="102"/>
      <c r="AK456" s="102"/>
      <c r="AL456" s="102"/>
      <c r="AM456" s="102"/>
      <c r="AN456" s="102"/>
      <c r="AO456" s="102"/>
      <c r="AP456" s="102"/>
      <c r="AQ456" s="102"/>
      <c r="AR456" s="102"/>
      <c r="AS456" s="102"/>
      <c r="AT456" s="102"/>
      <c r="AU456" s="102"/>
      <c r="AV456" s="102"/>
      <c r="AW456" s="102"/>
      <c r="AX456" s="102"/>
      <c r="AY456" s="102"/>
    </row>
    <row r="457" spans="1:5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  <c r="AI457" s="102"/>
      <c r="AJ457" s="102"/>
      <c r="AK457" s="102"/>
      <c r="AL457" s="102"/>
      <c r="AM457" s="102"/>
      <c r="AN457" s="102"/>
      <c r="AO457" s="102"/>
      <c r="AP457" s="102"/>
      <c r="AQ457" s="102"/>
      <c r="AR457" s="102"/>
      <c r="AS457" s="102"/>
      <c r="AT457" s="102"/>
      <c r="AU457" s="102"/>
      <c r="AV457" s="102"/>
      <c r="AW457" s="102"/>
      <c r="AX457" s="102"/>
      <c r="AY457" s="102"/>
    </row>
    <row r="458" spans="1:5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  <c r="AI458" s="102"/>
      <c r="AJ458" s="102"/>
      <c r="AK458" s="102"/>
      <c r="AL458" s="102"/>
      <c r="AM458" s="102"/>
      <c r="AN458" s="102"/>
      <c r="AO458" s="102"/>
      <c r="AP458" s="102"/>
      <c r="AQ458" s="102"/>
      <c r="AR458" s="102"/>
      <c r="AS458" s="102"/>
      <c r="AT458" s="102"/>
      <c r="AU458" s="102"/>
      <c r="AV458" s="102"/>
      <c r="AW458" s="102"/>
      <c r="AX458" s="102"/>
      <c r="AY458" s="102"/>
    </row>
    <row r="459" spans="1:5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  <c r="AI459" s="102"/>
      <c r="AJ459" s="102"/>
      <c r="AK459" s="102"/>
      <c r="AL459" s="102"/>
      <c r="AM459" s="102"/>
      <c r="AN459" s="102"/>
      <c r="AO459" s="102"/>
      <c r="AP459" s="102"/>
      <c r="AQ459" s="102"/>
      <c r="AR459" s="102"/>
      <c r="AS459" s="102"/>
      <c r="AT459" s="102"/>
      <c r="AU459" s="102"/>
      <c r="AV459" s="102"/>
      <c r="AW459" s="102"/>
      <c r="AX459" s="102"/>
      <c r="AY459" s="102"/>
    </row>
    <row r="460" spans="1:5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  <c r="AI460" s="102"/>
      <c r="AJ460" s="102"/>
      <c r="AK460" s="102"/>
      <c r="AL460" s="102"/>
      <c r="AM460" s="102"/>
      <c r="AN460" s="102"/>
      <c r="AO460" s="102"/>
      <c r="AP460" s="102"/>
      <c r="AQ460" s="102"/>
      <c r="AR460" s="102"/>
      <c r="AS460" s="102"/>
      <c r="AT460" s="102"/>
      <c r="AU460" s="102"/>
      <c r="AV460" s="102"/>
      <c r="AW460" s="102"/>
      <c r="AX460" s="102"/>
      <c r="AY460" s="102"/>
    </row>
    <row r="461" spans="1:5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  <c r="AI461" s="102"/>
      <c r="AJ461" s="102"/>
      <c r="AK461" s="102"/>
      <c r="AL461" s="102"/>
      <c r="AM461" s="102"/>
      <c r="AN461" s="102"/>
      <c r="AO461" s="102"/>
      <c r="AP461" s="102"/>
      <c r="AQ461" s="102"/>
      <c r="AR461" s="102"/>
      <c r="AS461" s="102"/>
      <c r="AT461" s="102"/>
      <c r="AU461" s="102"/>
      <c r="AV461" s="102"/>
      <c r="AW461" s="102"/>
      <c r="AX461" s="102"/>
      <c r="AY461" s="102"/>
    </row>
    <row r="462" spans="1:5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  <c r="AI462" s="102"/>
      <c r="AJ462" s="102"/>
      <c r="AK462" s="102"/>
      <c r="AL462" s="102"/>
      <c r="AM462" s="102"/>
      <c r="AN462" s="102"/>
      <c r="AO462" s="102"/>
      <c r="AP462" s="102"/>
      <c r="AQ462" s="102"/>
      <c r="AR462" s="102"/>
      <c r="AS462" s="102"/>
      <c r="AT462" s="102"/>
      <c r="AU462" s="102"/>
      <c r="AV462" s="102"/>
      <c r="AW462" s="102"/>
      <c r="AX462" s="102"/>
      <c r="AY462" s="102"/>
    </row>
    <row r="463" spans="1:5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  <c r="AI463" s="102"/>
      <c r="AJ463" s="102"/>
      <c r="AK463" s="102"/>
      <c r="AL463" s="102"/>
      <c r="AM463" s="102"/>
      <c r="AN463" s="102"/>
      <c r="AO463" s="102"/>
      <c r="AP463" s="102"/>
      <c r="AQ463" s="102"/>
      <c r="AR463" s="102"/>
      <c r="AS463" s="102"/>
      <c r="AT463" s="102"/>
      <c r="AU463" s="102"/>
      <c r="AV463" s="102"/>
      <c r="AW463" s="102"/>
      <c r="AX463" s="102"/>
      <c r="AY463" s="102"/>
    </row>
    <row r="464" spans="1:5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102"/>
      <c r="AM464" s="102"/>
      <c r="AN464" s="102"/>
      <c r="AO464" s="102"/>
      <c r="AP464" s="102"/>
      <c r="AQ464" s="102"/>
      <c r="AR464" s="102"/>
      <c r="AS464" s="102"/>
      <c r="AT464" s="102"/>
      <c r="AU464" s="102"/>
      <c r="AV464" s="102"/>
      <c r="AW464" s="102"/>
      <c r="AX464" s="102"/>
      <c r="AY464" s="102"/>
    </row>
    <row r="465" spans="1:5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  <c r="AI465" s="102"/>
      <c r="AJ465" s="102"/>
      <c r="AK465" s="102"/>
      <c r="AL465" s="102"/>
      <c r="AM465" s="102"/>
      <c r="AN465" s="102"/>
      <c r="AO465" s="102"/>
      <c r="AP465" s="102"/>
      <c r="AQ465" s="102"/>
      <c r="AR465" s="102"/>
      <c r="AS465" s="102"/>
      <c r="AT465" s="102"/>
      <c r="AU465" s="102"/>
      <c r="AV465" s="102"/>
      <c r="AW465" s="102"/>
      <c r="AX465" s="102"/>
      <c r="AY465" s="102"/>
    </row>
    <row r="466" spans="1:5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  <c r="AI466" s="102"/>
      <c r="AJ466" s="102"/>
      <c r="AK466" s="102"/>
      <c r="AL466" s="102"/>
      <c r="AM466" s="102"/>
      <c r="AN466" s="102"/>
      <c r="AO466" s="102"/>
      <c r="AP466" s="102"/>
      <c r="AQ466" s="102"/>
      <c r="AR466" s="102"/>
      <c r="AS466" s="102"/>
      <c r="AT466" s="102"/>
      <c r="AU466" s="102"/>
      <c r="AV466" s="102"/>
      <c r="AW466" s="102"/>
      <c r="AX466" s="102"/>
      <c r="AY466" s="102"/>
    </row>
    <row r="467" spans="1:5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  <c r="AI467" s="102"/>
      <c r="AJ467" s="102"/>
      <c r="AK467" s="102"/>
      <c r="AL467" s="102"/>
      <c r="AM467" s="102"/>
      <c r="AN467" s="102"/>
      <c r="AO467" s="102"/>
      <c r="AP467" s="102"/>
      <c r="AQ467" s="102"/>
      <c r="AR467" s="102"/>
      <c r="AS467" s="102"/>
      <c r="AT467" s="102"/>
      <c r="AU467" s="102"/>
      <c r="AV467" s="102"/>
      <c r="AW467" s="102"/>
      <c r="AX467" s="102"/>
      <c r="AY467" s="102"/>
    </row>
    <row r="468" spans="1:5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02"/>
      <c r="AJ468" s="102"/>
      <c r="AK468" s="102"/>
      <c r="AL468" s="102"/>
      <c r="AM468" s="102"/>
      <c r="AN468" s="102"/>
      <c r="AO468" s="102"/>
      <c r="AP468" s="102"/>
      <c r="AQ468" s="102"/>
      <c r="AR468" s="102"/>
      <c r="AS468" s="102"/>
      <c r="AT468" s="102"/>
      <c r="AU468" s="102"/>
      <c r="AV468" s="102"/>
      <c r="AW468" s="102"/>
      <c r="AX468" s="102"/>
      <c r="AY468" s="102"/>
    </row>
    <row r="469" spans="1:5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  <c r="AI469" s="102"/>
      <c r="AJ469" s="102"/>
      <c r="AK469" s="102"/>
      <c r="AL469" s="102"/>
      <c r="AM469" s="102"/>
      <c r="AN469" s="102"/>
      <c r="AO469" s="102"/>
      <c r="AP469" s="102"/>
      <c r="AQ469" s="102"/>
      <c r="AR469" s="102"/>
      <c r="AS469" s="102"/>
      <c r="AT469" s="102"/>
      <c r="AU469" s="102"/>
      <c r="AV469" s="102"/>
      <c r="AW469" s="102"/>
      <c r="AX469" s="102"/>
      <c r="AY469" s="102"/>
    </row>
    <row r="470" spans="1:5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  <c r="AI470" s="102"/>
      <c r="AJ470" s="102"/>
      <c r="AK470" s="102"/>
      <c r="AL470" s="102"/>
      <c r="AM470" s="102"/>
      <c r="AN470" s="102"/>
      <c r="AO470" s="102"/>
      <c r="AP470" s="102"/>
      <c r="AQ470" s="102"/>
      <c r="AR470" s="102"/>
      <c r="AS470" s="102"/>
      <c r="AT470" s="102"/>
      <c r="AU470" s="102"/>
      <c r="AV470" s="102"/>
      <c r="AW470" s="102"/>
      <c r="AX470" s="102"/>
      <c r="AY470" s="102"/>
    </row>
    <row r="471" spans="1:5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02"/>
      <c r="AJ471" s="102"/>
      <c r="AK471" s="102"/>
      <c r="AL471" s="102"/>
      <c r="AM471" s="102"/>
      <c r="AN471" s="102"/>
      <c r="AO471" s="102"/>
      <c r="AP471" s="102"/>
      <c r="AQ471" s="102"/>
      <c r="AR471" s="102"/>
      <c r="AS471" s="102"/>
      <c r="AT471" s="102"/>
      <c r="AU471" s="102"/>
      <c r="AV471" s="102"/>
      <c r="AW471" s="102"/>
      <c r="AX471" s="102"/>
      <c r="AY471" s="102"/>
    </row>
    <row r="472" spans="1:5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02"/>
      <c r="AJ472" s="102"/>
      <c r="AK472" s="102"/>
      <c r="AL472" s="102"/>
      <c r="AM472" s="102"/>
      <c r="AN472" s="102"/>
      <c r="AO472" s="102"/>
      <c r="AP472" s="102"/>
      <c r="AQ472" s="102"/>
      <c r="AR472" s="102"/>
      <c r="AS472" s="102"/>
      <c r="AT472" s="102"/>
      <c r="AU472" s="102"/>
      <c r="AV472" s="102"/>
      <c r="AW472" s="102"/>
      <c r="AX472" s="102"/>
      <c r="AY472" s="102"/>
    </row>
    <row r="473" spans="1:5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  <c r="AI473" s="102"/>
      <c r="AJ473" s="102"/>
      <c r="AK473" s="102"/>
      <c r="AL473" s="102"/>
      <c r="AM473" s="102"/>
      <c r="AN473" s="102"/>
      <c r="AO473" s="102"/>
      <c r="AP473" s="102"/>
      <c r="AQ473" s="102"/>
      <c r="AR473" s="102"/>
      <c r="AS473" s="102"/>
      <c r="AT473" s="102"/>
      <c r="AU473" s="102"/>
      <c r="AV473" s="102"/>
      <c r="AW473" s="102"/>
      <c r="AX473" s="102"/>
      <c r="AY473" s="102"/>
    </row>
    <row r="474" spans="1:5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  <c r="AI474" s="102"/>
      <c r="AJ474" s="102"/>
      <c r="AK474" s="102"/>
      <c r="AL474" s="102"/>
      <c r="AM474" s="102"/>
      <c r="AN474" s="102"/>
      <c r="AO474" s="102"/>
      <c r="AP474" s="102"/>
      <c r="AQ474" s="102"/>
      <c r="AR474" s="102"/>
      <c r="AS474" s="102"/>
      <c r="AT474" s="102"/>
      <c r="AU474" s="102"/>
      <c r="AV474" s="102"/>
      <c r="AW474" s="102"/>
      <c r="AX474" s="102"/>
      <c r="AY474" s="102"/>
    </row>
    <row r="475" spans="1:5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  <c r="AI475" s="102"/>
      <c r="AJ475" s="102"/>
      <c r="AK475" s="102"/>
      <c r="AL475" s="102"/>
      <c r="AM475" s="102"/>
      <c r="AN475" s="102"/>
      <c r="AO475" s="102"/>
      <c r="AP475" s="102"/>
      <c r="AQ475" s="102"/>
      <c r="AR475" s="102"/>
      <c r="AS475" s="102"/>
      <c r="AT475" s="102"/>
      <c r="AU475" s="102"/>
      <c r="AV475" s="102"/>
      <c r="AW475" s="102"/>
      <c r="AX475" s="102"/>
      <c r="AY475" s="102"/>
    </row>
    <row r="476" spans="1:5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  <c r="AI476" s="102"/>
      <c r="AJ476" s="102"/>
      <c r="AK476" s="102"/>
      <c r="AL476" s="102"/>
      <c r="AM476" s="102"/>
      <c r="AN476" s="102"/>
      <c r="AO476" s="102"/>
      <c r="AP476" s="102"/>
      <c r="AQ476" s="102"/>
      <c r="AR476" s="102"/>
      <c r="AS476" s="102"/>
      <c r="AT476" s="102"/>
      <c r="AU476" s="102"/>
      <c r="AV476" s="102"/>
      <c r="AW476" s="102"/>
      <c r="AX476" s="102"/>
      <c r="AY476" s="102"/>
    </row>
    <row r="477" spans="1:5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02"/>
      <c r="AJ477" s="102"/>
      <c r="AK477" s="102"/>
      <c r="AL477" s="102"/>
      <c r="AM477" s="102"/>
      <c r="AN477" s="102"/>
      <c r="AO477" s="102"/>
      <c r="AP477" s="102"/>
      <c r="AQ477" s="102"/>
      <c r="AR477" s="102"/>
      <c r="AS477" s="102"/>
      <c r="AT477" s="102"/>
      <c r="AU477" s="102"/>
      <c r="AV477" s="102"/>
      <c r="AW477" s="102"/>
      <c r="AX477" s="102"/>
      <c r="AY477" s="102"/>
    </row>
    <row r="478" spans="1:5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  <c r="AH478" s="102"/>
      <c r="AI478" s="102"/>
      <c r="AJ478" s="102"/>
      <c r="AK478" s="102"/>
      <c r="AL478" s="102"/>
      <c r="AM478" s="102"/>
      <c r="AN478" s="102"/>
      <c r="AO478" s="102"/>
      <c r="AP478" s="102"/>
      <c r="AQ478" s="102"/>
      <c r="AR478" s="102"/>
      <c r="AS478" s="102"/>
      <c r="AT478" s="102"/>
      <c r="AU478" s="102"/>
      <c r="AV478" s="102"/>
      <c r="AW478" s="102"/>
      <c r="AX478" s="102"/>
      <c r="AY478" s="102"/>
    </row>
    <row r="479" spans="1:5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  <c r="AI479" s="102"/>
      <c r="AJ479" s="102"/>
      <c r="AK479" s="102"/>
      <c r="AL479" s="102"/>
      <c r="AM479" s="102"/>
      <c r="AN479" s="102"/>
      <c r="AO479" s="102"/>
      <c r="AP479" s="102"/>
      <c r="AQ479" s="102"/>
      <c r="AR479" s="102"/>
      <c r="AS479" s="102"/>
      <c r="AT479" s="102"/>
      <c r="AU479" s="102"/>
      <c r="AV479" s="102"/>
      <c r="AW479" s="102"/>
      <c r="AX479" s="102"/>
      <c r="AY479" s="102"/>
    </row>
    <row r="480" spans="1:5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  <c r="AH480" s="102"/>
      <c r="AI480" s="102"/>
      <c r="AJ480" s="102"/>
      <c r="AK480" s="102"/>
      <c r="AL480" s="102"/>
      <c r="AM480" s="102"/>
      <c r="AN480" s="102"/>
      <c r="AO480" s="102"/>
      <c r="AP480" s="102"/>
      <c r="AQ480" s="102"/>
      <c r="AR480" s="102"/>
      <c r="AS480" s="102"/>
      <c r="AT480" s="102"/>
      <c r="AU480" s="102"/>
      <c r="AV480" s="102"/>
      <c r="AW480" s="102"/>
      <c r="AX480" s="102"/>
      <c r="AY480" s="102"/>
    </row>
    <row r="481" spans="1:5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  <c r="AH481" s="102"/>
      <c r="AI481" s="102"/>
      <c r="AJ481" s="102"/>
      <c r="AK481" s="102"/>
      <c r="AL481" s="102"/>
      <c r="AM481" s="102"/>
      <c r="AN481" s="102"/>
      <c r="AO481" s="102"/>
      <c r="AP481" s="102"/>
      <c r="AQ481" s="102"/>
      <c r="AR481" s="102"/>
      <c r="AS481" s="102"/>
      <c r="AT481" s="102"/>
      <c r="AU481" s="102"/>
      <c r="AV481" s="102"/>
      <c r="AW481" s="102"/>
      <c r="AX481" s="102"/>
      <c r="AY481" s="102"/>
    </row>
    <row r="482" spans="1:5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  <c r="AH482" s="102"/>
      <c r="AI482" s="102"/>
      <c r="AJ482" s="102"/>
      <c r="AK482" s="102"/>
      <c r="AL482" s="102"/>
      <c r="AM482" s="102"/>
      <c r="AN482" s="102"/>
      <c r="AO482" s="102"/>
      <c r="AP482" s="102"/>
      <c r="AQ482" s="102"/>
      <c r="AR482" s="102"/>
      <c r="AS482" s="102"/>
      <c r="AT482" s="102"/>
      <c r="AU482" s="102"/>
      <c r="AV482" s="102"/>
      <c r="AW482" s="102"/>
      <c r="AX482" s="102"/>
      <c r="AY482" s="102"/>
    </row>
    <row r="483" spans="1:5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  <c r="AH483" s="102"/>
      <c r="AI483" s="102"/>
      <c r="AJ483" s="102"/>
      <c r="AK483" s="102"/>
      <c r="AL483" s="102"/>
      <c r="AM483" s="102"/>
      <c r="AN483" s="102"/>
      <c r="AO483" s="102"/>
      <c r="AP483" s="102"/>
      <c r="AQ483" s="102"/>
      <c r="AR483" s="102"/>
      <c r="AS483" s="102"/>
      <c r="AT483" s="102"/>
      <c r="AU483" s="102"/>
      <c r="AV483" s="102"/>
      <c r="AW483" s="102"/>
      <c r="AX483" s="102"/>
      <c r="AY483" s="102"/>
    </row>
    <row r="484" spans="1:5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  <c r="AI484" s="102"/>
      <c r="AJ484" s="102"/>
      <c r="AK484" s="102"/>
      <c r="AL484" s="102"/>
      <c r="AM484" s="102"/>
      <c r="AN484" s="102"/>
      <c r="AO484" s="102"/>
      <c r="AP484" s="102"/>
      <c r="AQ484" s="102"/>
      <c r="AR484" s="102"/>
      <c r="AS484" s="102"/>
      <c r="AT484" s="102"/>
      <c r="AU484" s="102"/>
      <c r="AV484" s="102"/>
      <c r="AW484" s="102"/>
      <c r="AX484" s="102"/>
      <c r="AY484" s="102"/>
    </row>
    <row r="485" spans="1:5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  <c r="AH485" s="102"/>
      <c r="AI485" s="102"/>
      <c r="AJ485" s="102"/>
      <c r="AK485" s="102"/>
      <c r="AL485" s="102"/>
      <c r="AM485" s="102"/>
      <c r="AN485" s="102"/>
      <c r="AO485" s="102"/>
      <c r="AP485" s="102"/>
      <c r="AQ485" s="102"/>
      <c r="AR485" s="102"/>
      <c r="AS485" s="102"/>
      <c r="AT485" s="102"/>
      <c r="AU485" s="102"/>
      <c r="AV485" s="102"/>
      <c r="AW485" s="102"/>
      <c r="AX485" s="102"/>
      <c r="AY485" s="102"/>
    </row>
    <row r="486" spans="1:5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  <c r="AH486" s="102"/>
      <c r="AI486" s="102"/>
      <c r="AJ486" s="102"/>
      <c r="AK486" s="102"/>
      <c r="AL486" s="102"/>
      <c r="AM486" s="102"/>
      <c r="AN486" s="102"/>
      <c r="AO486" s="102"/>
      <c r="AP486" s="102"/>
      <c r="AQ486" s="102"/>
      <c r="AR486" s="102"/>
      <c r="AS486" s="102"/>
      <c r="AT486" s="102"/>
      <c r="AU486" s="102"/>
      <c r="AV486" s="102"/>
      <c r="AW486" s="102"/>
      <c r="AX486" s="102"/>
      <c r="AY486" s="102"/>
    </row>
    <row r="487" spans="1:5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  <c r="AH487" s="102"/>
      <c r="AI487" s="102"/>
      <c r="AJ487" s="102"/>
      <c r="AK487" s="102"/>
      <c r="AL487" s="102"/>
      <c r="AM487" s="102"/>
      <c r="AN487" s="102"/>
      <c r="AO487" s="102"/>
      <c r="AP487" s="102"/>
      <c r="AQ487" s="102"/>
      <c r="AR487" s="102"/>
      <c r="AS487" s="102"/>
      <c r="AT487" s="102"/>
      <c r="AU487" s="102"/>
      <c r="AV487" s="102"/>
      <c r="AW487" s="102"/>
      <c r="AX487" s="102"/>
      <c r="AY487" s="102"/>
    </row>
    <row r="488" spans="1:5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  <c r="AH488" s="102"/>
      <c r="AI488" s="102"/>
      <c r="AJ488" s="102"/>
      <c r="AK488" s="102"/>
      <c r="AL488" s="102"/>
      <c r="AM488" s="102"/>
      <c r="AN488" s="102"/>
      <c r="AO488" s="102"/>
      <c r="AP488" s="102"/>
      <c r="AQ488" s="102"/>
      <c r="AR488" s="102"/>
      <c r="AS488" s="102"/>
      <c r="AT488" s="102"/>
      <c r="AU488" s="102"/>
      <c r="AV488" s="102"/>
      <c r="AW488" s="102"/>
      <c r="AX488" s="102"/>
      <c r="AY488" s="102"/>
    </row>
    <row r="489" spans="1:5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  <c r="AH489" s="102"/>
      <c r="AI489" s="102"/>
      <c r="AJ489" s="102"/>
      <c r="AK489" s="102"/>
      <c r="AL489" s="102"/>
      <c r="AM489" s="102"/>
      <c r="AN489" s="102"/>
      <c r="AO489" s="102"/>
      <c r="AP489" s="102"/>
      <c r="AQ489" s="102"/>
      <c r="AR489" s="102"/>
      <c r="AS489" s="102"/>
      <c r="AT489" s="102"/>
      <c r="AU489" s="102"/>
      <c r="AV489" s="102"/>
      <c r="AW489" s="102"/>
      <c r="AX489" s="102"/>
      <c r="AY489" s="102"/>
    </row>
    <row r="490" spans="1:5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  <c r="AH490" s="102"/>
      <c r="AI490" s="102"/>
      <c r="AJ490" s="102"/>
      <c r="AK490" s="102"/>
      <c r="AL490" s="102"/>
      <c r="AM490" s="102"/>
      <c r="AN490" s="102"/>
      <c r="AO490" s="102"/>
      <c r="AP490" s="102"/>
      <c r="AQ490" s="102"/>
      <c r="AR490" s="102"/>
      <c r="AS490" s="102"/>
      <c r="AT490" s="102"/>
      <c r="AU490" s="102"/>
      <c r="AV490" s="102"/>
      <c r="AW490" s="102"/>
      <c r="AX490" s="102"/>
      <c r="AY490" s="102"/>
    </row>
    <row r="491" spans="1:5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  <c r="AH491" s="102"/>
      <c r="AI491" s="102"/>
      <c r="AJ491" s="102"/>
      <c r="AK491" s="102"/>
      <c r="AL491" s="102"/>
      <c r="AM491" s="102"/>
      <c r="AN491" s="102"/>
      <c r="AO491" s="102"/>
      <c r="AP491" s="102"/>
      <c r="AQ491" s="102"/>
      <c r="AR491" s="102"/>
      <c r="AS491" s="102"/>
      <c r="AT491" s="102"/>
      <c r="AU491" s="102"/>
      <c r="AV491" s="102"/>
      <c r="AW491" s="102"/>
      <c r="AX491" s="102"/>
      <c r="AY491" s="102"/>
    </row>
    <row r="492" spans="1:5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  <c r="AH492" s="102"/>
      <c r="AI492" s="102"/>
      <c r="AJ492" s="102"/>
      <c r="AK492" s="102"/>
      <c r="AL492" s="102"/>
      <c r="AM492" s="102"/>
      <c r="AN492" s="102"/>
      <c r="AO492" s="102"/>
      <c r="AP492" s="102"/>
      <c r="AQ492" s="102"/>
      <c r="AR492" s="102"/>
      <c r="AS492" s="102"/>
      <c r="AT492" s="102"/>
      <c r="AU492" s="102"/>
      <c r="AV492" s="102"/>
      <c r="AW492" s="102"/>
      <c r="AX492" s="102"/>
      <c r="AY492" s="102"/>
    </row>
    <row r="493" spans="1:5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  <c r="AH493" s="102"/>
      <c r="AI493" s="102"/>
      <c r="AJ493" s="102"/>
      <c r="AK493" s="102"/>
      <c r="AL493" s="102"/>
      <c r="AM493" s="102"/>
      <c r="AN493" s="102"/>
      <c r="AO493" s="102"/>
      <c r="AP493" s="102"/>
      <c r="AQ493" s="102"/>
      <c r="AR493" s="102"/>
      <c r="AS493" s="102"/>
      <c r="AT493" s="102"/>
      <c r="AU493" s="102"/>
      <c r="AV493" s="102"/>
      <c r="AW493" s="102"/>
      <c r="AX493" s="102"/>
      <c r="AY493" s="102"/>
    </row>
    <row r="494" spans="1:5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  <c r="AH494" s="102"/>
      <c r="AI494" s="102"/>
      <c r="AJ494" s="102"/>
      <c r="AK494" s="102"/>
      <c r="AL494" s="102"/>
      <c r="AM494" s="102"/>
      <c r="AN494" s="102"/>
      <c r="AO494" s="102"/>
      <c r="AP494" s="102"/>
      <c r="AQ494" s="102"/>
      <c r="AR494" s="102"/>
      <c r="AS494" s="102"/>
      <c r="AT494" s="102"/>
      <c r="AU494" s="102"/>
      <c r="AV494" s="102"/>
      <c r="AW494" s="102"/>
      <c r="AX494" s="102"/>
      <c r="AY494" s="102"/>
    </row>
    <row r="495" spans="1:5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  <c r="AH495" s="102"/>
      <c r="AI495" s="102"/>
      <c r="AJ495" s="102"/>
      <c r="AK495" s="102"/>
      <c r="AL495" s="102"/>
      <c r="AM495" s="102"/>
      <c r="AN495" s="102"/>
      <c r="AO495" s="102"/>
      <c r="AP495" s="102"/>
      <c r="AQ495" s="102"/>
      <c r="AR495" s="102"/>
      <c r="AS495" s="102"/>
      <c r="AT495" s="102"/>
      <c r="AU495" s="102"/>
      <c r="AV495" s="102"/>
      <c r="AW495" s="102"/>
      <c r="AX495" s="102"/>
      <c r="AY495" s="102"/>
    </row>
    <row r="496" spans="1:5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  <c r="AH496" s="102"/>
      <c r="AI496" s="102"/>
      <c r="AJ496" s="102"/>
      <c r="AK496" s="102"/>
      <c r="AL496" s="102"/>
      <c r="AM496" s="102"/>
      <c r="AN496" s="102"/>
      <c r="AO496" s="102"/>
      <c r="AP496" s="102"/>
      <c r="AQ496" s="102"/>
      <c r="AR496" s="102"/>
      <c r="AS496" s="102"/>
      <c r="AT496" s="102"/>
      <c r="AU496" s="102"/>
      <c r="AV496" s="102"/>
      <c r="AW496" s="102"/>
      <c r="AX496" s="102"/>
      <c r="AY496" s="102"/>
    </row>
    <row r="497" spans="1:5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  <c r="AH497" s="102"/>
      <c r="AI497" s="102"/>
      <c r="AJ497" s="102"/>
      <c r="AK497" s="102"/>
      <c r="AL497" s="102"/>
      <c r="AM497" s="102"/>
      <c r="AN497" s="102"/>
      <c r="AO497" s="102"/>
      <c r="AP497" s="102"/>
      <c r="AQ497" s="102"/>
      <c r="AR497" s="102"/>
      <c r="AS497" s="102"/>
      <c r="AT497" s="102"/>
      <c r="AU497" s="102"/>
      <c r="AV497" s="102"/>
      <c r="AW497" s="102"/>
      <c r="AX497" s="102"/>
      <c r="AY497" s="102"/>
    </row>
    <row r="498" spans="1:5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  <c r="AH498" s="102"/>
      <c r="AI498" s="102"/>
      <c r="AJ498" s="102"/>
      <c r="AK498" s="102"/>
      <c r="AL498" s="102"/>
      <c r="AM498" s="102"/>
      <c r="AN498" s="102"/>
      <c r="AO498" s="102"/>
      <c r="AP498" s="102"/>
      <c r="AQ498" s="102"/>
      <c r="AR498" s="102"/>
      <c r="AS498" s="102"/>
      <c r="AT498" s="102"/>
      <c r="AU498" s="102"/>
      <c r="AV498" s="102"/>
      <c r="AW498" s="102"/>
      <c r="AX498" s="102"/>
      <c r="AY498" s="102"/>
    </row>
    <row r="499" spans="1:5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  <c r="AI499" s="102"/>
      <c r="AJ499" s="102"/>
      <c r="AK499" s="102"/>
      <c r="AL499" s="102"/>
      <c r="AM499" s="102"/>
      <c r="AN499" s="102"/>
      <c r="AO499" s="102"/>
      <c r="AP499" s="102"/>
      <c r="AQ499" s="102"/>
      <c r="AR499" s="102"/>
      <c r="AS499" s="102"/>
      <c r="AT499" s="102"/>
      <c r="AU499" s="102"/>
      <c r="AV499" s="102"/>
      <c r="AW499" s="102"/>
      <c r="AX499" s="102"/>
      <c r="AY499" s="102"/>
    </row>
    <row r="500" spans="1:5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  <c r="AI500" s="102"/>
      <c r="AJ500" s="102"/>
      <c r="AK500" s="102"/>
      <c r="AL500" s="102"/>
      <c r="AM500" s="102"/>
      <c r="AN500" s="102"/>
      <c r="AO500" s="102"/>
      <c r="AP500" s="102"/>
      <c r="AQ500" s="102"/>
      <c r="AR500" s="102"/>
      <c r="AS500" s="102"/>
      <c r="AT500" s="102"/>
      <c r="AU500" s="102"/>
      <c r="AV500" s="102"/>
      <c r="AW500" s="102"/>
      <c r="AX500" s="102"/>
      <c r="AY500" s="102"/>
    </row>
    <row r="501" spans="1:5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  <c r="AH501" s="102"/>
      <c r="AI501" s="102"/>
      <c r="AJ501" s="102"/>
      <c r="AK501" s="102"/>
      <c r="AL501" s="102"/>
      <c r="AM501" s="102"/>
      <c r="AN501" s="102"/>
      <c r="AO501" s="102"/>
      <c r="AP501" s="102"/>
      <c r="AQ501" s="102"/>
      <c r="AR501" s="102"/>
      <c r="AS501" s="102"/>
      <c r="AT501" s="102"/>
      <c r="AU501" s="102"/>
      <c r="AV501" s="102"/>
      <c r="AW501" s="102"/>
      <c r="AX501" s="102"/>
      <c r="AY501" s="102"/>
    </row>
    <row r="502" spans="1:5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  <c r="AH502" s="102"/>
      <c r="AI502" s="102"/>
      <c r="AJ502" s="102"/>
      <c r="AK502" s="102"/>
      <c r="AL502" s="102"/>
      <c r="AM502" s="102"/>
      <c r="AN502" s="102"/>
      <c r="AO502" s="102"/>
      <c r="AP502" s="102"/>
      <c r="AQ502" s="102"/>
      <c r="AR502" s="102"/>
      <c r="AS502" s="102"/>
      <c r="AT502" s="102"/>
      <c r="AU502" s="102"/>
      <c r="AV502" s="102"/>
      <c r="AW502" s="102"/>
      <c r="AX502" s="102"/>
      <c r="AY502" s="102"/>
    </row>
    <row r="503" spans="1:5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  <c r="AH503" s="102"/>
      <c r="AI503" s="102"/>
      <c r="AJ503" s="102"/>
      <c r="AK503" s="102"/>
      <c r="AL503" s="102"/>
      <c r="AM503" s="102"/>
      <c r="AN503" s="102"/>
      <c r="AO503" s="102"/>
      <c r="AP503" s="102"/>
      <c r="AQ503" s="102"/>
      <c r="AR503" s="102"/>
      <c r="AS503" s="102"/>
      <c r="AT503" s="102"/>
      <c r="AU503" s="102"/>
      <c r="AV503" s="102"/>
      <c r="AW503" s="102"/>
      <c r="AX503" s="102"/>
      <c r="AY503" s="102"/>
    </row>
    <row r="504" spans="1:5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  <c r="AI504" s="102"/>
      <c r="AJ504" s="102"/>
      <c r="AK504" s="102"/>
      <c r="AL504" s="102"/>
      <c r="AM504" s="102"/>
      <c r="AN504" s="102"/>
      <c r="AO504" s="102"/>
      <c r="AP504" s="102"/>
      <c r="AQ504" s="102"/>
      <c r="AR504" s="102"/>
      <c r="AS504" s="102"/>
      <c r="AT504" s="102"/>
      <c r="AU504" s="102"/>
      <c r="AV504" s="102"/>
      <c r="AW504" s="102"/>
      <c r="AX504" s="102"/>
      <c r="AY504" s="102"/>
    </row>
    <row r="505" spans="1:5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  <c r="AH505" s="102"/>
      <c r="AI505" s="102"/>
      <c r="AJ505" s="102"/>
      <c r="AK505" s="102"/>
      <c r="AL505" s="102"/>
      <c r="AM505" s="102"/>
      <c r="AN505" s="102"/>
      <c r="AO505" s="102"/>
      <c r="AP505" s="102"/>
      <c r="AQ505" s="102"/>
      <c r="AR505" s="102"/>
      <c r="AS505" s="102"/>
      <c r="AT505" s="102"/>
      <c r="AU505" s="102"/>
      <c r="AV505" s="102"/>
      <c r="AW505" s="102"/>
      <c r="AX505" s="102"/>
      <c r="AY505" s="102"/>
    </row>
    <row r="506" spans="1:5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  <c r="AH506" s="102"/>
      <c r="AI506" s="102"/>
      <c r="AJ506" s="102"/>
      <c r="AK506" s="102"/>
      <c r="AL506" s="102"/>
      <c r="AM506" s="102"/>
      <c r="AN506" s="102"/>
      <c r="AO506" s="102"/>
      <c r="AP506" s="102"/>
      <c r="AQ506" s="102"/>
      <c r="AR506" s="102"/>
      <c r="AS506" s="102"/>
      <c r="AT506" s="102"/>
      <c r="AU506" s="102"/>
      <c r="AV506" s="102"/>
      <c r="AW506" s="102"/>
      <c r="AX506" s="102"/>
      <c r="AY506" s="102"/>
    </row>
    <row r="507" spans="1:5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  <c r="AH507" s="102"/>
      <c r="AI507" s="102"/>
      <c r="AJ507" s="102"/>
      <c r="AK507" s="102"/>
      <c r="AL507" s="102"/>
      <c r="AM507" s="102"/>
      <c r="AN507" s="102"/>
      <c r="AO507" s="102"/>
      <c r="AP507" s="102"/>
      <c r="AQ507" s="102"/>
      <c r="AR507" s="102"/>
      <c r="AS507" s="102"/>
      <c r="AT507" s="102"/>
      <c r="AU507" s="102"/>
      <c r="AV507" s="102"/>
      <c r="AW507" s="102"/>
      <c r="AX507" s="102"/>
      <c r="AY507" s="102"/>
    </row>
    <row r="508" spans="1:5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  <c r="AH508" s="102"/>
      <c r="AI508" s="102"/>
      <c r="AJ508" s="102"/>
      <c r="AK508" s="102"/>
      <c r="AL508" s="102"/>
      <c r="AM508" s="102"/>
      <c r="AN508" s="102"/>
      <c r="AO508" s="102"/>
      <c r="AP508" s="102"/>
      <c r="AQ508" s="102"/>
      <c r="AR508" s="102"/>
      <c r="AS508" s="102"/>
      <c r="AT508" s="102"/>
      <c r="AU508" s="102"/>
      <c r="AV508" s="102"/>
      <c r="AW508" s="102"/>
      <c r="AX508" s="102"/>
      <c r="AY508" s="102"/>
    </row>
    <row r="509" spans="1:5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  <c r="AH509" s="102"/>
      <c r="AI509" s="102"/>
      <c r="AJ509" s="102"/>
      <c r="AK509" s="102"/>
      <c r="AL509" s="102"/>
      <c r="AM509" s="102"/>
      <c r="AN509" s="102"/>
      <c r="AO509" s="102"/>
      <c r="AP509" s="102"/>
      <c r="AQ509" s="102"/>
      <c r="AR509" s="102"/>
      <c r="AS509" s="102"/>
      <c r="AT509" s="102"/>
      <c r="AU509" s="102"/>
      <c r="AV509" s="102"/>
      <c r="AW509" s="102"/>
      <c r="AX509" s="102"/>
      <c r="AY509" s="102"/>
    </row>
    <row r="510" spans="1:5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  <c r="AH510" s="102"/>
      <c r="AI510" s="102"/>
      <c r="AJ510" s="102"/>
      <c r="AK510" s="102"/>
      <c r="AL510" s="102"/>
      <c r="AM510" s="102"/>
      <c r="AN510" s="102"/>
      <c r="AO510" s="102"/>
      <c r="AP510" s="102"/>
      <c r="AQ510" s="102"/>
      <c r="AR510" s="102"/>
      <c r="AS510" s="102"/>
      <c r="AT510" s="102"/>
      <c r="AU510" s="102"/>
      <c r="AV510" s="102"/>
      <c r="AW510" s="102"/>
      <c r="AX510" s="102"/>
      <c r="AY510" s="102"/>
    </row>
    <row r="511" spans="1:5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  <c r="AH511" s="102"/>
      <c r="AI511" s="102"/>
      <c r="AJ511" s="102"/>
      <c r="AK511" s="102"/>
      <c r="AL511" s="102"/>
      <c r="AM511" s="102"/>
      <c r="AN511" s="102"/>
      <c r="AO511" s="102"/>
      <c r="AP511" s="102"/>
      <c r="AQ511" s="102"/>
      <c r="AR511" s="102"/>
      <c r="AS511" s="102"/>
      <c r="AT511" s="102"/>
      <c r="AU511" s="102"/>
      <c r="AV511" s="102"/>
      <c r="AW511" s="102"/>
      <c r="AX511" s="102"/>
      <c r="AY511" s="102"/>
    </row>
    <row r="512" spans="1:5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  <c r="AH512" s="102"/>
      <c r="AI512" s="102"/>
      <c r="AJ512" s="102"/>
      <c r="AK512" s="102"/>
      <c r="AL512" s="102"/>
      <c r="AM512" s="102"/>
      <c r="AN512" s="102"/>
      <c r="AO512" s="102"/>
      <c r="AP512" s="102"/>
      <c r="AQ512" s="102"/>
      <c r="AR512" s="102"/>
      <c r="AS512" s="102"/>
      <c r="AT512" s="102"/>
      <c r="AU512" s="102"/>
      <c r="AV512" s="102"/>
      <c r="AW512" s="102"/>
      <c r="AX512" s="102"/>
      <c r="AY512" s="102"/>
    </row>
    <row r="513" spans="1:5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  <c r="AH513" s="102"/>
      <c r="AI513" s="102"/>
      <c r="AJ513" s="102"/>
      <c r="AK513" s="102"/>
      <c r="AL513" s="102"/>
      <c r="AM513" s="102"/>
      <c r="AN513" s="102"/>
      <c r="AO513" s="102"/>
      <c r="AP513" s="102"/>
      <c r="AQ513" s="102"/>
      <c r="AR513" s="102"/>
      <c r="AS513" s="102"/>
      <c r="AT513" s="102"/>
      <c r="AU513" s="102"/>
      <c r="AV513" s="102"/>
      <c r="AW513" s="102"/>
      <c r="AX513" s="102"/>
      <c r="AY513" s="102"/>
    </row>
    <row r="514" spans="1:5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  <c r="AH514" s="102"/>
      <c r="AI514" s="102"/>
      <c r="AJ514" s="102"/>
      <c r="AK514" s="102"/>
      <c r="AL514" s="102"/>
      <c r="AM514" s="102"/>
      <c r="AN514" s="102"/>
      <c r="AO514" s="102"/>
      <c r="AP514" s="102"/>
      <c r="AQ514" s="102"/>
      <c r="AR514" s="102"/>
      <c r="AS514" s="102"/>
      <c r="AT514" s="102"/>
      <c r="AU514" s="102"/>
      <c r="AV514" s="102"/>
      <c r="AW514" s="102"/>
      <c r="AX514" s="102"/>
      <c r="AY514" s="102"/>
    </row>
    <row r="515" spans="1:5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  <c r="AH515" s="102"/>
      <c r="AI515" s="102"/>
      <c r="AJ515" s="102"/>
      <c r="AK515" s="102"/>
      <c r="AL515" s="102"/>
      <c r="AM515" s="102"/>
      <c r="AN515" s="102"/>
      <c r="AO515" s="102"/>
      <c r="AP515" s="102"/>
      <c r="AQ515" s="102"/>
      <c r="AR515" s="102"/>
      <c r="AS515" s="102"/>
      <c r="AT515" s="102"/>
      <c r="AU515" s="102"/>
      <c r="AV515" s="102"/>
      <c r="AW515" s="102"/>
      <c r="AX515" s="102"/>
      <c r="AY515" s="102"/>
    </row>
    <row r="516" spans="1:5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  <c r="AH516" s="102"/>
      <c r="AI516" s="102"/>
      <c r="AJ516" s="102"/>
      <c r="AK516" s="102"/>
      <c r="AL516" s="102"/>
      <c r="AM516" s="102"/>
      <c r="AN516" s="102"/>
      <c r="AO516" s="102"/>
      <c r="AP516" s="102"/>
      <c r="AQ516" s="102"/>
      <c r="AR516" s="102"/>
      <c r="AS516" s="102"/>
      <c r="AT516" s="102"/>
      <c r="AU516" s="102"/>
      <c r="AV516" s="102"/>
      <c r="AW516" s="102"/>
      <c r="AX516" s="102"/>
      <c r="AY516" s="102"/>
    </row>
    <row r="517" spans="1:5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  <c r="AH517" s="102"/>
      <c r="AI517" s="102"/>
      <c r="AJ517" s="102"/>
      <c r="AK517" s="102"/>
      <c r="AL517" s="102"/>
      <c r="AM517" s="102"/>
      <c r="AN517" s="102"/>
      <c r="AO517" s="102"/>
      <c r="AP517" s="102"/>
      <c r="AQ517" s="102"/>
      <c r="AR517" s="102"/>
      <c r="AS517" s="102"/>
      <c r="AT517" s="102"/>
      <c r="AU517" s="102"/>
      <c r="AV517" s="102"/>
      <c r="AW517" s="102"/>
      <c r="AX517" s="102"/>
      <c r="AY517" s="102"/>
    </row>
    <row r="518" spans="1:5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  <c r="AH518" s="102"/>
      <c r="AI518" s="102"/>
      <c r="AJ518" s="102"/>
      <c r="AK518" s="102"/>
      <c r="AL518" s="102"/>
      <c r="AM518" s="102"/>
      <c r="AN518" s="102"/>
      <c r="AO518" s="102"/>
      <c r="AP518" s="102"/>
      <c r="AQ518" s="102"/>
      <c r="AR518" s="102"/>
      <c r="AS518" s="102"/>
      <c r="AT518" s="102"/>
      <c r="AU518" s="102"/>
      <c r="AV518" s="102"/>
      <c r="AW518" s="102"/>
      <c r="AX518" s="102"/>
      <c r="AY518" s="102"/>
    </row>
    <row r="519" spans="1:5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  <c r="AH519" s="102"/>
      <c r="AI519" s="102"/>
      <c r="AJ519" s="102"/>
      <c r="AK519" s="102"/>
      <c r="AL519" s="102"/>
      <c r="AM519" s="102"/>
      <c r="AN519" s="102"/>
      <c r="AO519" s="102"/>
      <c r="AP519" s="102"/>
      <c r="AQ519" s="102"/>
      <c r="AR519" s="102"/>
      <c r="AS519" s="102"/>
      <c r="AT519" s="102"/>
      <c r="AU519" s="102"/>
      <c r="AV519" s="102"/>
      <c r="AW519" s="102"/>
      <c r="AX519" s="102"/>
      <c r="AY519" s="102"/>
    </row>
    <row r="520" spans="1:5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  <c r="AH520" s="102"/>
      <c r="AI520" s="102"/>
      <c r="AJ520" s="102"/>
      <c r="AK520" s="102"/>
      <c r="AL520" s="102"/>
      <c r="AM520" s="102"/>
      <c r="AN520" s="102"/>
      <c r="AO520" s="102"/>
      <c r="AP520" s="102"/>
      <c r="AQ520" s="102"/>
      <c r="AR520" s="102"/>
      <c r="AS520" s="102"/>
      <c r="AT520" s="102"/>
      <c r="AU520" s="102"/>
      <c r="AV520" s="102"/>
      <c r="AW520" s="102"/>
      <c r="AX520" s="102"/>
      <c r="AY520" s="102"/>
    </row>
    <row r="521" spans="1:5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  <c r="AH521" s="102"/>
      <c r="AI521" s="102"/>
      <c r="AJ521" s="102"/>
      <c r="AK521" s="102"/>
      <c r="AL521" s="102"/>
      <c r="AM521" s="102"/>
      <c r="AN521" s="102"/>
      <c r="AO521" s="102"/>
      <c r="AP521" s="102"/>
      <c r="AQ521" s="102"/>
      <c r="AR521" s="102"/>
      <c r="AS521" s="102"/>
      <c r="AT521" s="102"/>
      <c r="AU521" s="102"/>
      <c r="AV521" s="102"/>
      <c r="AW521" s="102"/>
      <c r="AX521" s="102"/>
      <c r="AY521" s="102"/>
    </row>
    <row r="522" spans="1:5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  <c r="AH522" s="102"/>
      <c r="AI522" s="102"/>
      <c r="AJ522" s="102"/>
      <c r="AK522" s="102"/>
      <c r="AL522" s="102"/>
      <c r="AM522" s="102"/>
      <c r="AN522" s="102"/>
      <c r="AO522" s="102"/>
      <c r="AP522" s="102"/>
      <c r="AQ522" s="102"/>
      <c r="AR522" s="102"/>
      <c r="AS522" s="102"/>
      <c r="AT522" s="102"/>
      <c r="AU522" s="102"/>
      <c r="AV522" s="102"/>
      <c r="AW522" s="102"/>
      <c r="AX522" s="102"/>
      <c r="AY522" s="102"/>
    </row>
    <row r="523" spans="1:5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  <c r="AH523" s="102"/>
      <c r="AI523" s="102"/>
      <c r="AJ523" s="102"/>
      <c r="AK523" s="102"/>
      <c r="AL523" s="102"/>
      <c r="AM523" s="102"/>
      <c r="AN523" s="102"/>
      <c r="AO523" s="102"/>
      <c r="AP523" s="102"/>
      <c r="AQ523" s="102"/>
      <c r="AR523" s="102"/>
      <c r="AS523" s="102"/>
      <c r="AT523" s="102"/>
      <c r="AU523" s="102"/>
      <c r="AV523" s="102"/>
      <c r="AW523" s="102"/>
      <c r="AX523" s="102"/>
      <c r="AY523" s="102"/>
    </row>
    <row r="524" spans="1:5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  <c r="AH524" s="102"/>
      <c r="AI524" s="102"/>
      <c r="AJ524" s="102"/>
      <c r="AK524" s="102"/>
      <c r="AL524" s="102"/>
      <c r="AM524" s="102"/>
      <c r="AN524" s="102"/>
      <c r="AO524" s="102"/>
      <c r="AP524" s="102"/>
      <c r="AQ524" s="102"/>
      <c r="AR524" s="102"/>
      <c r="AS524" s="102"/>
      <c r="AT524" s="102"/>
      <c r="AU524" s="102"/>
      <c r="AV524" s="102"/>
      <c r="AW524" s="102"/>
      <c r="AX524" s="102"/>
      <c r="AY524" s="102"/>
    </row>
    <row r="525" spans="1:5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  <c r="AH525" s="102"/>
      <c r="AI525" s="102"/>
      <c r="AJ525" s="102"/>
      <c r="AK525" s="102"/>
      <c r="AL525" s="102"/>
      <c r="AM525" s="102"/>
      <c r="AN525" s="102"/>
      <c r="AO525" s="102"/>
      <c r="AP525" s="102"/>
      <c r="AQ525" s="102"/>
      <c r="AR525" s="102"/>
      <c r="AS525" s="102"/>
      <c r="AT525" s="102"/>
      <c r="AU525" s="102"/>
      <c r="AV525" s="102"/>
      <c r="AW525" s="102"/>
      <c r="AX525" s="102"/>
      <c r="AY525" s="102"/>
    </row>
    <row r="526" spans="1:5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  <c r="AH526" s="102"/>
      <c r="AI526" s="102"/>
      <c r="AJ526" s="102"/>
      <c r="AK526" s="102"/>
      <c r="AL526" s="102"/>
      <c r="AM526" s="102"/>
      <c r="AN526" s="102"/>
      <c r="AO526" s="102"/>
      <c r="AP526" s="102"/>
      <c r="AQ526" s="102"/>
      <c r="AR526" s="102"/>
      <c r="AS526" s="102"/>
      <c r="AT526" s="102"/>
      <c r="AU526" s="102"/>
      <c r="AV526" s="102"/>
      <c r="AW526" s="102"/>
      <c r="AX526" s="102"/>
      <c r="AY526" s="102"/>
    </row>
    <row r="527" spans="1:5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  <c r="AI527" s="102"/>
      <c r="AJ527" s="102"/>
      <c r="AK527" s="102"/>
      <c r="AL527" s="102"/>
      <c r="AM527" s="102"/>
      <c r="AN527" s="102"/>
      <c r="AO527" s="102"/>
      <c r="AP527" s="102"/>
      <c r="AQ527" s="102"/>
      <c r="AR527" s="102"/>
      <c r="AS527" s="102"/>
      <c r="AT527" s="102"/>
      <c r="AU527" s="102"/>
      <c r="AV527" s="102"/>
      <c r="AW527" s="102"/>
      <c r="AX527" s="102"/>
      <c r="AY527" s="102"/>
    </row>
    <row r="528" spans="1:5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  <c r="AI528" s="102"/>
      <c r="AJ528" s="102"/>
      <c r="AK528" s="102"/>
      <c r="AL528" s="102"/>
      <c r="AM528" s="102"/>
      <c r="AN528" s="102"/>
      <c r="AO528" s="102"/>
      <c r="AP528" s="102"/>
      <c r="AQ528" s="102"/>
      <c r="AR528" s="102"/>
      <c r="AS528" s="102"/>
      <c r="AT528" s="102"/>
      <c r="AU528" s="102"/>
      <c r="AV528" s="102"/>
      <c r="AW528" s="102"/>
      <c r="AX528" s="102"/>
      <c r="AY528" s="102"/>
    </row>
    <row r="529" spans="1:5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  <c r="AH529" s="102"/>
      <c r="AI529" s="102"/>
      <c r="AJ529" s="102"/>
      <c r="AK529" s="102"/>
      <c r="AL529" s="102"/>
      <c r="AM529" s="102"/>
      <c r="AN529" s="102"/>
      <c r="AO529" s="102"/>
      <c r="AP529" s="102"/>
      <c r="AQ529" s="102"/>
      <c r="AR529" s="102"/>
      <c r="AS529" s="102"/>
      <c r="AT529" s="102"/>
      <c r="AU529" s="102"/>
      <c r="AV529" s="102"/>
      <c r="AW529" s="102"/>
      <c r="AX529" s="102"/>
      <c r="AY529" s="102"/>
    </row>
    <row r="530" spans="1:5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  <c r="AH530" s="102"/>
      <c r="AI530" s="102"/>
      <c r="AJ530" s="102"/>
      <c r="AK530" s="102"/>
      <c r="AL530" s="102"/>
      <c r="AM530" s="102"/>
      <c r="AN530" s="102"/>
      <c r="AO530" s="102"/>
      <c r="AP530" s="102"/>
      <c r="AQ530" s="102"/>
      <c r="AR530" s="102"/>
      <c r="AS530" s="102"/>
      <c r="AT530" s="102"/>
      <c r="AU530" s="102"/>
      <c r="AV530" s="102"/>
      <c r="AW530" s="102"/>
      <c r="AX530" s="102"/>
      <c r="AY530" s="102"/>
    </row>
    <row r="531" spans="1:5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  <c r="AH531" s="102"/>
      <c r="AI531" s="102"/>
      <c r="AJ531" s="102"/>
      <c r="AK531" s="102"/>
      <c r="AL531" s="102"/>
      <c r="AM531" s="102"/>
      <c r="AN531" s="102"/>
      <c r="AO531" s="102"/>
      <c r="AP531" s="102"/>
      <c r="AQ531" s="102"/>
      <c r="AR531" s="102"/>
      <c r="AS531" s="102"/>
      <c r="AT531" s="102"/>
      <c r="AU531" s="102"/>
      <c r="AV531" s="102"/>
      <c r="AW531" s="102"/>
      <c r="AX531" s="102"/>
      <c r="AY531" s="102"/>
    </row>
    <row r="532" spans="1:5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  <c r="AH532" s="102"/>
      <c r="AI532" s="102"/>
      <c r="AJ532" s="102"/>
      <c r="AK532" s="102"/>
      <c r="AL532" s="102"/>
      <c r="AM532" s="102"/>
      <c r="AN532" s="102"/>
      <c r="AO532" s="102"/>
      <c r="AP532" s="102"/>
      <c r="AQ532" s="102"/>
      <c r="AR532" s="102"/>
      <c r="AS532" s="102"/>
      <c r="AT532" s="102"/>
      <c r="AU532" s="102"/>
      <c r="AV532" s="102"/>
      <c r="AW532" s="102"/>
      <c r="AX532" s="102"/>
      <c r="AY532" s="102"/>
    </row>
    <row r="533" spans="1:5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  <c r="AH533" s="102"/>
      <c r="AI533" s="102"/>
      <c r="AJ533" s="102"/>
      <c r="AK533" s="102"/>
      <c r="AL533" s="102"/>
      <c r="AM533" s="102"/>
      <c r="AN533" s="102"/>
      <c r="AO533" s="102"/>
      <c r="AP533" s="102"/>
      <c r="AQ533" s="102"/>
      <c r="AR533" s="102"/>
      <c r="AS533" s="102"/>
      <c r="AT533" s="102"/>
      <c r="AU533" s="102"/>
      <c r="AV533" s="102"/>
      <c r="AW533" s="102"/>
      <c r="AX533" s="102"/>
      <c r="AY533" s="102"/>
    </row>
    <row r="534" spans="1:5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  <c r="AH534" s="102"/>
      <c r="AI534" s="102"/>
      <c r="AJ534" s="102"/>
      <c r="AK534" s="102"/>
      <c r="AL534" s="102"/>
      <c r="AM534" s="102"/>
      <c r="AN534" s="102"/>
      <c r="AO534" s="102"/>
      <c r="AP534" s="102"/>
      <c r="AQ534" s="102"/>
      <c r="AR534" s="102"/>
      <c r="AS534" s="102"/>
      <c r="AT534" s="102"/>
      <c r="AU534" s="102"/>
      <c r="AV534" s="102"/>
      <c r="AW534" s="102"/>
      <c r="AX534" s="102"/>
      <c r="AY534" s="102"/>
    </row>
    <row r="535" spans="1:5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  <c r="AH535" s="102"/>
      <c r="AI535" s="102"/>
      <c r="AJ535" s="102"/>
      <c r="AK535" s="102"/>
      <c r="AL535" s="102"/>
      <c r="AM535" s="102"/>
      <c r="AN535" s="102"/>
      <c r="AO535" s="102"/>
      <c r="AP535" s="102"/>
      <c r="AQ535" s="102"/>
      <c r="AR535" s="102"/>
      <c r="AS535" s="102"/>
      <c r="AT535" s="102"/>
      <c r="AU535" s="102"/>
      <c r="AV535" s="102"/>
      <c r="AW535" s="102"/>
      <c r="AX535" s="102"/>
      <c r="AY535" s="102"/>
    </row>
    <row r="536" spans="1:5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  <c r="AH536" s="102"/>
      <c r="AI536" s="102"/>
      <c r="AJ536" s="102"/>
      <c r="AK536" s="102"/>
      <c r="AL536" s="102"/>
      <c r="AM536" s="102"/>
      <c r="AN536" s="102"/>
      <c r="AO536" s="102"/>
      <c r="AP536" s="102"/>
      <c r="AQ536" s="102"/>
      <c r="AR536" s="102"/>
      <c r="AS536" s="102"/>
      <c r="AT536" s="102"/>
      <c r="AU536" s="102"/>
      <c r="AV536" s="102"/>
      <c r="AW536" s="102"/>
      <c r="AX536" s="102"/>
      <c r="AY536" s="102"/>
    </row>
    <row r="537" spans="1:5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  <c r="AH537" s="102"/>
      <c r="AI537" s="102"/>
      <c r="AJ537" s="102"/>
      <c r="AK537" s="102"/>
      <c r="AL537" s="102"/>
      <c r="AM537" s="102"/>
      <c r="AN537" s="102"/>
      <c r="AO537" s="102"/>
      <c r="AP537" s="102"/>
      <c r="AQ537" s="102"/>
      <c r="AR537" s="102"/>
      <c r="AS537" s="102"/>
      <c r="AT537" s="102"/>
      <c r="AU537" s="102"/>
      <c r="AV537" s="102"/>
      <c r="AW537" s="102"/>
      <c r="AX537" s="102"/>
      <c r="AY537" s="102"/>
    </row>
    <row r="538" spans="1:5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  <c r="AH538" s="102"/>
      <c r="AI538" s="102"/>
      <c r="AJ538" s="102"/>
      <c r="AK538" s="102"/>
      <c r="AL538" s="102"/>
      <c r="AM538" s="102"/>
      <c r="AN538" s="102"/>
      <c r="AO538" s="102"/>
      <c r="AP538" s="102"/>
      <c r="AQ538" s="102"/>
      <c r="AR538" s="102"/>
      <c r="AS538" s="102"/>
      <c r="AT538" s="102"/>
      <c r="AU538" s="102"/>
      <c r="AV538" s="102"/>
      <c r="AW538" s="102"/>
      <c r="AX538" s="102"/>
      <c r="AY538" s="102"/>
    </row>
    <row r="539" spans="1:5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  <c r="AH539" s="102"/>
      <c r="AI539" s="102"/>
      <c r="AJ539" s="102"/>
      <c r="AK539" s="102"/>
      <c r="AL539" s="102"/>
      <c r="AM539" s="102"/>
      <c r="AN539" s="102"/>
      <c r="AO539" s="102"/>
      <c r="AP539" s="102"/>
      <c r="AQ539" s="102"/>
      <c r="AR539" s="102"/>
      <c r="AS539" s="102"/>
      <c r="AT539" s="102"/>
      <c r="AU539" s="102"/>
      <c r="AV539" s="102"/>
      <c r="AW539" s="102"/>
      <c r="AX539" s="102"/>
      <c r="AY539" s="102"/>
    </row>
    <row r="540" spans="1:5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  <c r="AH540" s="102"/>
      <c r="AI540" s="102"/>
      <c r="AJ540" s="102"/>
      <c r="AK540" s="102"/>
      <c r="AL540" s="102"/>
      <c r="AM540" s="102"/>
      <c r="AN540" s="102"/>
      <c r="AO540" s="102"/>
      <c r="AP540" s="102"/>
      <c r="AQ540" s="102"/>
      <c r="AR540" s="102"/>
      <c r="AS540" s="102"/>
      <c r="AT540" s="102"/>
      <c r="AU540" s="102"/>
      <c r="AV540" s="102"/>
      <c r="AW540" s="102"/>
      <c r="AX540" s="102"/>
      <c r="AY540" s="102"/>
    </row>
    <row r="541" spans="1:5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  <c r="AH541" s="102"/>
      <c r="AI541" s="102"/>
      <c r="AJ541" s="102"/>
      <c r="AK541" s="102"/>
      <c r="AL541" s="102"/>
      <c r="AM541" s="102"/>
      <c r="AN541" s="102"/>
      <c r="AO541" s="102"/>
      <c r="AP541" s="102"/>
      <c r="AQ541" s="102"/>
      <c r="AR541" s="102"/>
      <c r="AS541" s="102"/>
      <c r="AT541" s="102"/>
      <c r="AU541" s="102"/>
      <c r="AV541" s="102"/>
      <c r="AW541" s="102"/>
      <c r="AX541" s="102"/>
      <c r="AY541" s="102"/>
    </row>
    <row r="542" spans="1:5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  <c r="AH542" s="102"/>
      <c r="AI542" s="102"/>
      <c r="AJ542" s="102"/>
      <c r="AK542" s="102"/>
      <c r="AL542" s="102"/>
      <c r="AM542" s="102"/>
      <c r="AN542" s="102"/>
      <c r="AO542" s="102"/>
      <c r="AP542" s="102"/>
      <c r="AQ542" s="102"/>
      <c r="AR542" s="102"/>
      <c r="AS542" s="102"/>
      <c r="AT542" s="102"/>
      <c r="AU542" s="102"/>
      <c r="AV542" s="102"/>
      <c r="AW542" s="102"/>
      <c r="AX542" s="102"/>
      <c r="AY542" s="102"/>
    </row>
    <row r="543" spans="1:5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/>
      <c r="AI543" s="102"/>
      <c r="AJ543" s="102"/>
      <c r="AK543" s="102"/>
      <c r="AL543" s="102"/>
      <c r="AM543" s="102"/>
      <c r="AN543" s="102"/>
      <c r="AO543" s="102"/>
      <c r="AP543" s="102"/>
      <c r="AQ543" s="102"/>
      <c r="AR543" s="102"/>
      <c r="AS543" s="102"/>
      <c r="AT543" s="102"/>
      <c r="AU543" s="102"/>
      <c r="AV543" s="102"/>
      <c r="AW543" s="102"/>
      <c r="AX543" s="102"/>
      <c r="AY543" s="102"/>
    </row>
    <row r="544" spans="1:5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  <c r="AH544" s="102"/>
      <c r="AI544" s="102"/>
      <c r="AJ544" s="102"/>
      <c r="AK544" s="102"/>
      <c r="AL544" s="102"/>
      <c r="AM544" s="102"/>
      <c r="AN544" s="102"/>
      <c r="AO544" s="102"/>
      <c r="AP544" s="102"/>
      <c r="AQ544" s="102"/>
      <c r="AR544" s="102"/>
      <c r="AS544" s="102"/>
      <c r="AT544" s="102"/>
      <c r="AU544" s="102"/>
      <c r="AV544" s="102"/>
      <c r="AW544" s="102"/>
      <c r="AX544" s="102"/>
      <c r="AY544" s="102"/>
    </row>
    <row r="545" spans="1:5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  <c r="AH545" s="102"/>
      <c r="AI545" s="102"/>
      <c r="AJ545" s="102"/>
      <c r="AK545" s="102"/>
      <c r="AL545" s="102"/>
      <c r="AM545" s="102"/>
      <c r="AN545" s="102"/>
      <c r="AO545" s="102"/>
      <c r="AP545" s="102"/>
      <c r="AQ545" s="102"/>
      <c r="AR545" s="102"/>
      <c r="AS545" s="102"/>
      <c r="AT545" s="102"/>
      <c r="AU545" s="102"/>
      <c r="AV545" s="102"/>
      <c r="AW545" s="102"/>
      <c r="AX545" s="102"/>
      <c r="AY545" s="102"/>
    </row>
    <row r="546" spans="1:5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  <c r="AH546" s="102"/>
      <c r="AI546" s="102"/>
      <c r="AJ546" s="102"/>
      <c r="AK546" s="102"/>
      <c r="AL546" s="102"/>
      <c r="AM546" s="102"/>
      <c r="AN546" s="102"/>
      <c r="AO546" s="102"/>
      <c r="AP546" s="102"/>
      <c r="AQ546" s="102"/>
      <c r="AR546" s="102"/>
      <c r="AS546" s="102"/>
      <c r="AT546" s="102"/>
      <c r="AU546" s="102"/>
      <c r="AV546" s="102"/>
      <c r="AW546" s="102"/>
      <c r="AX546" s="102"/>
      <c r="AY546" s="102"/>
    </row>
    <row r="547" spans="1:5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  <c r="AH547" s="102"/>
      <c r="AI547" s="102"/>
      <c r="AJ547" s="102"/>
      <c r="AK547" s="102"/>
      <c r="AL547" s="102"/>
      <c r="AM547" s="102"/>
      <c r="AN547" s="102"/>
      <c r="AO547" s="102"/>
      <c r="AP547" s="102"/>
      <c r="AQ547" s="102"/>
      <c r="AR547" s="102"/>
      <c r="AS547" s="102"/>
      <c r="AT547" s="102"/>
      <c r="AU547" s="102"/>
      <c r="AV547" s="102"/>
      <c r="AW547" s="102"/>
      <c r="AX547" s="102"/>
      <c r="AY547" s="102"/>
    </row>
    <row r="548" spans="1:5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  <c r="AH548" s="102"/>
      <c r="AI548" s="102"/>
      <c r="AJ548" s="102"/>
      <c r="AK548" s="102"/>
      <c r="AL548" s="102"/>
      <c r="AM548" s="102"/>
      <c r="AN548" s="102"/>
      <c r="AO548" s="102"/>
      <c r="AP548" s="102"/>
      <c r="AQ548" s="102"/>
      <c r="AR548" s="102"/>
      <c r="AS548" s="102"/>
      <c r="AT548" s="102"/>
      <c r="AU548" s="102"/>
      <c r="AV548" s="102"/>
      <c r="AW548" s="102"/>
      <c r="AX548" s="102"/>
      <c r="AY548" s="102"/>
    </row>
    <row r="549" spans="1:5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  <c r="AH549" s="102"/>
      <c r="AI549" s="102"/>
      <c r="AJ549" s="102"/>
      <c r="AK549" s="102"/>
      <c r="AL549" s="102"/>
      <c r="AM549" s="102"/>
      <c r="AN549" s="102"/>
      <c r="AO549" s="102"/>
      <c r="AP549" s="102"/>
      <c r="AQ549" s="102"/>
      <c r="AR549" s="102"/>
      <c r="AS549" s="102"/>
      <c r="AT549" s="102"/>
      <c r="AU549" s="102"/>
      <c r="AV549" s="102"/>
      <c r="AW549" s="102"/>
      <c r="AX549" s="102"/>
      <c r="AY549" s="102"/>
    </row>
    <row r="550" spans="1:5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  <c r="AH550" s="102"/>
      <c r="AI550" s="102"/>
      <c r="AJ550" s="102"/>
      <c r="AK550" s="102"/>
      <c r="AL550" s="102"/>
      <c r="AM550" s="102"/>
      <c r="AN550" s="102"/>
      <c r="AO550" s="102"/>
      <c r="AP550" s="102"/>
      <c r="AQ550" s="102"/>
      <c r="AR550" s="102"/>
      <c r="AS550" s="102"/>
      <c r="AT550" s="102"/>
      <c r="AU550" s="102"/>
      <c r="AV550" s="102"/>
      <c r="AW550" s="102"/>
      <c r="AX550" s="102"/>
      <c r="AY550" s="102"/>
    </row>
    <row r="551" spans="1:5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  <c r="AH551" s="102"/>
      <c r="AI551" s="102"/>
      <c r="AJ551" s="102"/>
      <c r="AK551" s="102"/>
      <c r="AL551" s="102"/>
      <c r="AM551" s="102"/>
      <c r="AN551" s="102"/>
      <c r="AO551" s="102"/>
      <c r="AP551" s="102"/>
      <c r="AQ551" s="102"/>
      <c r="AR551" s="102"/>
      <c r="AS551" s="102"/>
      <c r="AT551" s="102"/>
      <c r="AU551" s="102"/>
      <c r="AV551" s="102"/>
      <c r="AW551" s="102"/>
      <c r="AX551" s="102"/>
      <c r="AY551" s="102"/>
    </row>
    <row r="552" spans="1:5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  <c r="AH552" s="102"/>
      <c r="AI552" s="102"/>
      <c r="AJ552" s="102"/>
      <c r="AK552" s="102"/>
      <c r="AL552" s="102"/>
      <c r="AM552" s="102"/>
      <c r="AN552" s="102"/>
      <c r="AO552" s="102"/>
      <c r="AP552" s="102"/>
      <c r="AQ552" s="102"/>
      <c r="AR552" s="102"/>
      <c r="AS552" s="102"/>
      <c r="AT552" s="102"/>
      <c r="AU552" s="102"/>
      <c r="AV552" s="102"/>
      <c r="AW552" s="102"/>
      <c r="AX552" s="102"/>
      <c r="AY552" s="102"/>
    </row>
    <row r="553" spans="1:5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  <c r="AH553" s="102"/>
      <c r="AI553" s="102"/>
      <c r="AJ553" s="102"/>
      <c r="AK553" s="102"/>
      <c r="AL553" s="102"/>
      <c r="AM553" s="102"/>
      <c r="AN553" s="102"/>
      <c r="AO553" s="102"/>
      <c r="AP553" s="102"/>
      <c r="AQ553" s="102"/>
      <c r="AR553" s="102"/>
      <c r="AS553" s="102"/>
      <c r="AT553" s="102"/>
      <c r="AU553" s="102"/>
      <c r="AV553" s="102"/>
      <c r="AW553" s="102"/>
      <c r="AX553" s="102"/>
      <c r="AY553" s="102"/>
    </row>
    <row r="554" spans="1:5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  <c r="AH554" s="102"/>
      <c r="AI554" s="102"/>
      <c r="AJ554" s="102"/>
      <c r="AK554" s="102"/>
      <c r="AL554" s="102"/>
      <c r="AM554" s="102"/>
      <c r="AN554" s="102"/>
      <c r="AO554" s="102"/>
      <c r="AP554" s="102"/>
      <c r="AQ554" s="102"/>
      <c r="AR554" s="102"/>
      <c r="AS554" s="102"/>
      <c r="AT554" s="102"/>
      <c r="AU554" s="102"/>
      <c r="AV554" s="102"/>
      <c r="AW554" s="102"/>
      <c r="AX554" s="102"/>
      <c r="AY554" s="102"/>
    </row>
    <row r="555" spans="1:5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  <c r="AI555" s="102"/>
      <c r="AJ555" s="102"/>
      <c r="AK555" s="102"/>
      <c r="AL555" s="102"/>
      <c r="AM555" s="102"/>
      <c r="AN555" s="102"/>
      <c r="AO555" s="102"/>
      <c r="AP555" s="102"/>
      <c r="AQ555" s="102"/>
      <c r="AR555" s="102"/>
      <c r="AS555" s="102"/>
      <c r="AT555" s="102"/>
      <c r="AU555" s="102"/>
      <c r="AV555" s="102"/>
      <c r="AW555" s="102"/>
      <c r="AX555" s="102"/>
      <c r="AY555" s="102"/>
    </row>
    <row r="556" spans="1:5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  <c r="AI556" s="102"/>
      <c r="AJ556" s="102"/>
      <c r="AK556" s="102"/>
      <c r="AL556" s="102"/>
      <c r="AM556" s="102"/>
      <c r="AN556" s="102"/>
      <c r="AO556" s="102"/>
      <c r="AP556" s="102"/>
      <c r="AQ556" s="102"/>
      <c r="AR556" s="102"/>
      <c r="AS556" s="102"/>
      <c r="AT556" s="102"/>
      <c r="AU556" s="102"/>
      <c r="AV556" s="102"/>
      <c r="AW556" s="102"/>
      <c r="AX556" s="102"/>
      <c r="AY556" s="102"/>
    </row>
    <row r="557" spans="1:5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  <c r="AH557" s="102"/>
      <c r="AI557" s="102"/>
      <c r="AJ557" s="102"/>
      <c r="AK557" s="102"/>
      <c r="AL557" s="102"/>
      <c r="AM557" s="102"/>
      <c r="AN557" s="102"/>
      <c r="AO557" s="102"/>
      <c r="AP557" s="102"/>
      <c r="AQ557" s="102"/>
      <c r="AR557" s="102"/>
      <c r="AS557" s="102"/>
      <c r="AT557" s="102"/>
      <c r="AU557" s="102"/>
      <c r="AV557" s="102"/>
      <c r="AW557" s="102"/>
      <c r="AX557" s="102"/>
      <c r="AY557" s="102"/>
    </row>
    <row r="558" spans="1:5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  <c r="AH558" s="102"/>
      <c r="AI558" s="102"/>
      <c r="AJ558" s="102"/>
      <c r="AK558" s="102"/>
      <c r="AL558" s="102"/>
      <c r="AM558" s="102"/>
      <c r="AN558" s="102"/>
      <c r="AO558" s="102"/>
      <c r="AP558" s="102"/>
      <c r="AQ558" s="102"/>
      <c r="AR558" s="102"/>
      <c r="AS558" s="102"/>
      <c r="AT558" s="102"/>
      <c r="AU558" s="102"/>
      <c r="AV558" s="102"/>
      <c r="AW558" s="102"/>
      <c r="AX558" s="102"/>
      <c r="AY558" s="102"/>
    </row>
    <row r="559" spans="1:5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  <c r="AH559" s="102"/>
      <c r="AI559" s="102"/>
      <c r="AJ559" s="102"/>
      <c r="AK559" s="102"/>
      <c r="AL559" s="102"/>
      <c r="AM559" s="102"/>
      <c r="AN559" s="102"/>
      <c r="AO559" s="102"/>
      <c r="AP559" s="102"/>
      <c r="AQ559" s="102"/>
      <c r="AR559" s="102"/>
      <c r="AS559" s="102"/>
      <c r="AT559" s="102"/>
      <c r="AU559" s="102"/>
      <c r="AV559" s="102"/>
      <c r="AW559" s="102"/>
      <c r="AX559" s="102"/>
      <c r="AY559" s="102"/>
    </row>
    <row r="560" spans="1:5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  <c r="AH560" s="102"/>
      <c r="AI560" s="102"/>
      <c r="AJ560" s="102"/>
      <c r="AK560" s="102"/>
      <c r="AL560" s="102"/>
      <c r="AM560" s="102"/>
      <c r="AN560" s="102"/>
      <c r="AO560" s="102"/>
      <c r="AP560" s="102"/>
      <c r="AQ560" s="102"/>
      <c r="AR560" s="102"/>
      <c r="AS560" s="102"/>
      <c r="AT560" s="102"/>
      <c r="AU560" s="102"/>
      <c r="AV560" s="102"/>
      <c r="AW560" s="102"/>
      <c r="AX560" s="102"/>
      <c r="AY560" s="102"/>
    </row>
    <row r="561" spans="1:5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  <c r="AH561" s="102"/>
      <c r="AI561" s="102"/>
      <c r="AJ561" s="102"/>
      <c r="AK561" s="102"/>
      <c r="AL561" s="102"/>
      <c r="AM561" s="102"/>
      <c r="AN561" s="102"/>
      <c r="AO561" s="102"/>
      <c r="AP561" s="102"/>
      <c r="AQ561" s="102"/>
      <c r="AR561" s="102"/>
      <c r="AS561" s="102"/>
      <c r="AT561" s="102"/>
      <c r="AU561" s="102"/>
      <c r="AV561" s="102"/>
      <c r="AW561" s="102"/>
      <c r="AX561" s="102"/>
      <c r="AY561" s="102"/>
    </row>
    <row r="562" spans="1:5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  <c r="AH562" s="102"/>
      <c r="AI562" s="102"/>
      <c r="AJ562" s="102"/>
      <c r="AK562" s="102"/>
      <c r="AL562" s="102"/>
      <c r="AM562" s="102"/>
      <c r="AN562" s="102"/>
      <c r="AO562" s="102"/>
      <c r="AP562" s="102"/>
      <c r="AQ562" s="102"/>
      <c r="AR562" s="102"/>
      <c r="AS562" s="102"/>
      <c r="AT562" s="102"/>
      <c r="AU562" s="102"/>
      <c r="AV562" s="102"/>
      <c r="AW562" s="102"/>
      <c r="AX562" s="102"/>
      <c r="AY562" s="102"/>
    </row>
    <row r="563" spans="1:5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  <c r="AH563" s="102"/>
      <c r="AI563" s="102"/>
      <c r="AJ563" s="102"/>
      <c r="AK563" s="102"/>
      <c r="AL563" s="102"/>
      <c r="AM563" s="102"/>
      <c r="AN563" s="102"/>
      <c r="AO563" s="102"/>
      <c r="AP563" s="102"/>
      <c r="AQ563" s="102"/>
      <c r="AR563" s="102"/>
      <c r="AS563" s="102"/>
      <c r="AT563" s="102"/>
      <c r="AU563" s="102"/>
      <c r="AV563" s="102"/>
      <c r="AW563" s="102"/>
      <c r="AX563" s="102"/>
      <c r="AY563" s="102"/>
    </row>
    <row r="564" spans="1:5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  <c r="AH564" s="102"/>
      <c r="AI564" s="102"/>
      <c r="AJ564" s="102"/>
      <c r="AK564" s="102"/>
      <c r="AL564" s="102"/>
      <c r="AM564" s="102"/>
      <c r="AN564" s="102"/>
      <c r="AO564" s="102"/>
      <c r="AP564" s="102"/>
      <c r="AQ564" s="102"/>
      <c r="AR564" s="102"/>
      <c r="AS564" s="102"/>
      <c r="AT564" s="102"/>
      <c r="AU564" s="102"/>
      <c r="AV564" s="102"/>
      <c r="AW564" s="102"/>
      <c r="AX564" s="102"/>
      <c r="AY564" s="102"/>
    </row>
    <row r="565" spans="1:5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  <c r="AH565" s="102"/>
      <c r="AI565" s="102"/>
      <c r="AJ565" s="102"/>
      <c r="AK565" s="102"/>
      <c r="AL565" s="102"/>
      <c r="AM565" s="102"/>
      <c r="AN565" s="102"/>
      <c r="AO565" s="102"/>
      <c r="AP565" s="102"/>
      <c r="AQ565" s="102"/>
      <c r="AR565" s="102"/>
      <c r="AS565" s="102"/>
      <c r="AT565" s="102"/>
      <c r="AU565" s="102"/>
      <c r="AV565" s="102"/>
      <c r="AW565" s="102"/>
      <c r="AX565" s="102"/>
      <c r="AY565" s="102"/>
    </row>
    <row r="566" spans="1:5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  <c r="AH566" s="102"/>
      <c r="AI566" s="102"/>
      <c r="AJ566" s="102"/>
      <c r="AK566" s="102"/>
      <c r="AL566" s="102"/>
      <c r="AM566" s="102"/>
      <c r="AN566" s="102"/>
      <c r="AO566" s="102"/>
      <c r="AP566" s="102"/>
      <c r="AQ566" s="102"/>
      <c r="AR566" s="102"/>
      <c r="AS566" s="102"/>
      <c r="AT566" s="102"/>
      <c r="AU566" s="102"/>
      <c r="AV566" s="102"/>
      <c r="AW566" s="102"/>
      <c r="AX566" s="102"/>
      <c r="AY566" s="102"/>
    </row>
    <row r="567" spans="1:5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  <c r="AH567" s="102"/>
      <c r="AI567" s="102"/>
      <c r="AJ567" s="102"/>
      <c r="AK567" s="102"/>
      <c r="AL567" s="102"/>
      <c r="AM567" s="102"/>
      <c r="AN567" s="102"/>
      <c r="AO567" s="102"/>
      <c r="AP567" s="102"/>
      <c r="AQ567" s="102"/>
      <c r="AR567" s="102"/>
      <c r="AS567" s="102"/>
      <c r="AT567" s="102"/>
      <c r="AU567" s="102"/>
      <c r="AV567" s="102"/>
      <c r="AW567" s="102"/>
      <c r="AX567" s="102"/>
      <c r="AY567" s="102"/>
    </row>
    <row r="568" spans="1:5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  <c r="AH568" s="102"/>
      <c r="AI568" s="102"/>
      <c r="AJ568" s="102"/>
      <c r="AK568" s="102"/>
      <c r="AL568" s="102"/>
      <c r="AM568" s="102"/>
      <c r="AN568" s="102"/>
      <c r="AO568" s="102"/>
      <c r="AP568" s="102"/>
      <c r="AQ568" s="102"/>
      <c r="AR568" s="102"/>
      <c r="AS568" s="102"/>
      <c r="AT568" s="102"/>
      <c r="AU568" s="102"/>
      <c r="AV568" s="102"/>
      <c r="AW568" s="102"/>
      <c r="AX568" s="102"/>
      <c r="AY568" s="102"/>
    </row>
    <row r="569" spans="1:5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  <c r="AH569" s="102"/>
      <c r="AI569" s="102"/>
      <c r="AJ569" s="102"/>
      <c r="AK569" s="102"/>
      <c r="AL569" s="102"/>
      <c r="AM569" s="102"/>
      <c r="AN569" s="102"/>
      <c r="AO569" s="102"/>
      <c r="AP569" s="102"/>
      <c r="AQ569" s="102"/>
      <c r="AR569" s="102"/>
      <c r="AS569" s="102"/>
      <c r="AT569" s="102"/>
      <c r="AU569" s="102"/>
      <c r="AV569" s="102"/>
      <c r="AW569" s="102"/>
      <c r="AX569" s="102"/>
      <c r="AY569" s="102"/>
    </row>
    <row r="570" spans="1:5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  <c r="AH570" s="102"/>
      <c r="AI570" s="102"/>
      <c r="AJ570" s="102"/>
      <c r="AK570" s="102"/>
      <c r="AL570" s="102"/>
      <c r="AM570" s="102"/>
      <c r="AN570" s="102"/>
      <c r="AO570" s="102"/>
      <c r="AP570" s="102"/>
      <c r="AQ570" s="102"/>
      <c r="AR570" s="102"/>
      <c r="AS570" s="102"/>
      <c r="AT570" s="102"/>
      <c r="AU570" s="102"/>
      <c r="AV570" s="102"/>
      <c r="AW570" s="102"/>
      <c r="AX570" s="102"/>
      <c r="AY570" s="102"/>
    </row>
    <row r="571" spans="1:5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  <c r="AH571" s="102"/>
      <c r="AI571" s="102"/>
      <c r="AJ571" s="102"/>
      <c r="AK571" s="102"/>
      <c r="AL571" s="102"/>
      <c r="AM571" s="102"/>
      <c r="AN571" s="102"/>
      <c r="AO571" s="102"/>
      <c r="AP571" s="102"/>
      <c r="AQ571" s="102"/>
      <c r="AR571" s="102"/>
      <c r="AS571" s="102"/>
      <c r="AT571" s="102"/>
      <c r="AU571" s="102"/>
      <c r="AV571" s="102"/>
      <c r="AW571" s="102"/>
      <c r="AX571" s="102"/>
      <c r="AY571" s="102"/>
    </row>
    <row r="572" spans="1:5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  <c r="AH572" s="102"/>
      <c r="AI572" s="102"/>
      <c r="AJ572" s="102"/>
      <c r="AK572" s="102"/>
      <c r="AL572" s="102"/>
      <c r="AM572" s="102"/>
      <c r="AN572" s="102"/>
      <c r="AO572" s="102"/>
      <c r="AP572" s="102"/>
      <c r="AQ572" s="102"/>
      <c r="AR572" s="102"/>
      <c r="AS572" s="102"/>
      <c r="AT572" s="102"/>
      <c r="AU572" s="102"/>
      <c r="AV572" s="102"/>
      <c r="AW572" s="102"/>
      <c r="AX572" s="102"/>
      <c r="AY572" s="102"/>
    </row>
    <row r="573" spans="1:5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  <c r="AH573" s="102"/>
      <c r="AI573" s="102"/>
      <c r="AJ573" s="102"/>
      <c r="AK573" s="102"/>
      <c r="AL573" s="102"/>
      <c r="AM573" s="102"/>
      <c r="AN573" s="102"/>
      <c r="AO573" s="102"/>
      <c r="AP573" s="102"/>
      <c r="AQ573" s="102"/>
      <c r="AR573" s="102"/>
      <c r="AS573" s="102"/>
      <c r="AT573" s="102"/>
      <c r="AU573" s="102"/>
      <c r="AV573" s="102"/>
      <c r="AW573" s="102"/>
      <c r="AX573" s="102"/>
      <c r="AY573" s="102"/>
    </row>
    <row r="574" spans="1:5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  <c r="AH574" s="102"/>
      <c r="AI574" s="102"/>
      <c r="AJ574" s="102"/>
      <c r="AK574" s="102"/>
      <c r="AL574" s="102"/>
      <c r="AM574" s="102"/>
      <c r="AN574" s="102"/>
      <c r="AO574" s="102"/>
      <c r="AP574" s="102"/>
      <c r="AQ574" s="102"/>
      <c r="AR574" s="102"/>
      <c r="AS574" s="102"/>
      <c r="AT574" s="102"/>
      <c r="AU574" s="102"/>
      <c r="AV574" s="102"/>
      <c r="AW574" s="102"/>
      <c r="AX574" s="102"/>
      <c r="AY574" s="102"/>
    </row>
    <row r="575" spans="1:5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  <c r="AH575" s="102"/>
      <c r="AI575" s="102"/>
      <c r="AJ575" s="102"/>
      <c r="AK575" s="102"/>
      <c r="AL575" s="102"/>
      <c r="AM575" s="102"/>
      <c r="AN575" s="102"/>
      <c r="AO575" s="102"/>
      <c r="AP575" s="102"/>
      <c r="AQ575" s="102"/>
      <c r="AR575" s="102"/>
      <c r="AS575" s="102"/>
      <c r="AT575" s="102"/>
      <c r="AU575" s="102"/>
      <c r="AV575" s="102"/>
      <c r="AW575" s="102"/>
      <c r="AX575" s="102"/>
      <c r="AY575" s="102"/>
    </row>
    <row r="576" spans="1:5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  <c r="AH576" s="102"/>
      <c r="AI576" s="102"/>
      <c r="AJ576" s="102"/>
      <c r="AK576" s="102"/>
      <c r="AL576" s="102"/>
      <c r="AM576" s="102"/>
      <c r="AN576" s="102"/>
      <c r="AO576" s="102"/>
      <c r="AP576" s="102"/>
      <c r="AQ576" s="102"/>
      <c r="AR576" s="102"/>
      <c r="AS576" s="102"/>
      <c r="AT576" s="102"/>
      <c r="AU576" s="102"/>
      <c r="AV576" s="102"/>
      <c r="AW576" s="102"/>
      <c r="AX576" s="102"/>
      <c r="AY576" s="102"/>
    </row>
    <row r="577" spans="1:5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  <c r="AH577" s="102"/>
      <c r="AI577" s="102"/>
      <c r="AJ577" s="102"/>
      <c r="AK577" s="102"/>
      <c r="AL577" s="102"/>
      <c r="AM577" s="102"/>
      <c r="AN577" s="102"/>
      <c r="AO577" s="102"/>
      <c r="AP577" s="102"/>
      <c r="AQ577" s="102"/>
      <c r="AR577" s="102"/>
      <c r="AS577" s="102"/>
      <c r="AT577" s="102"/>
      <c r="AU577" s="102"/>
      <c r="AV577" s="102"/>
      <c r="AW577" s="102"/>
      <c r="AX577" s="102"/>
      <c r="AY577" s="102"/>
    </row>
    <row r="578" spans="1:5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  <c r="AH578" s="102"/>
      <c r="AI578" s="102"/>
      <c r="AJ578" s="102"/>
      <c r="AK578" s="102"/>
      <c r="AL578" s="102"/>
      <c r="AM578" s="102"/>
      <c r="AN578" s="102"/>
      <c r="AO578" s="102"/>
      <c r="AP578" s="102"/>
      <c r="AQ578" s="102"/>
      <c r="AR578" s="102"/>
      <c r="AS578" s="102"/>
      <c r="AT578" s="102"/>
      <c r="AU578" s="102"/>
      <c r="AV578" s="102"/>
      <c r="AW578" s="102"/>
      <c r="AX578" s="102"/>
      <c r="AY578" s="102"/>
    </row>
    <row r="579" spans="1:5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  <c r="AH579" s="102"/>
      <c r="AI579" s="102"/>
      <c r="AJ579" s="102"/>
      <c r="AK579" s="102"/>
      <c r="AL579" s="102"/>
      <c r="AM579" s="102"/>
      <c r="AN579" s="102"/>
      <c r="AO579" s="102"/>
      <c r="AP579" s="102"/>
      <c r="AQ579" s="102"/>
      <c r="AR579" s="102"/>
      <c r="AS579" s="102"/>
      <c r="AT579" s="102"/>
      <c r="AU579" s="102"/>
      <c r="AV579" s="102"/>
      <c r="AW579" s="102"/>
      <c r="AX579" s="102"/>
      <c r="AY579" s="102"/>
    </row>
    <row r="580" spans="1:5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  <c r="AH580" s="102"/>
      <c r="AI580" s="102"/>
      <c r="AJ580" s="102"/>
      <c r="AK580" s="102"/>
      <c r="AL580" s="102"/>
      <c r="AM580" s="102"/>
      <c r="AN580" s="102"/>
      <c r="AO580" s="102"/>
      <c r="AP580" s="102"/>
      <c r="AQ580" s="102"/>
      <c r="AR580" s="102"/>
      <c r="AS580" s="102"/>
      <c r="AT580" s="102"/>
      <c r="AU580" s="102"/>
      <c r="AV580" s="102"/>
      <c r="AW580" s="102"/>
      <c r="AX580" s="102"/>
      <c r="AY580" s="102"/>
    </row>
    <row r="581" spans="1:5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  <c r="AH581" s="102"/>
      <c r="AI581" s="102"/>
      <c r="AJ581" s="102"/>
      <c r="AK581" s="102"/>
      <c r="AL581" s="102"/>
      <c r="AM581" s="102"/>
      <c r="AN581" s="102"/>
      <c r="AO581" s="102"/>
      <c r="AP581" s="102"/>
      <c r="AQ581" s="102"/>
      <c r="AR581" s="102"/>
      <c r="AS581" s="102"/>
      <c r="AT581" s="102"/>
      <c r="AU581" s="102"/>
      <c r="AV581" s="102"/>
      <c r="AW581" s="102"/>
      <c r="AX581" s="102"/>
      <c r="AY581" s="102"/>
    </row>
    <row r="582" spans="1:5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  <c r="AH582" s="102"/>
      <c r="AI582" s="102"/>
      <c r="AJ582" s="102"/>
      <c r="AK582" s="102"/>
      <c r="AL582" s="102"/>
      <c r="AM582" s="102"/>
      <c r="AN582" s="102"/>
      <c r="AO582" s="102"/>
      <c r="AP582" s="102"/>
      <c r="AQ582" s="102"/>
      <c r="AR582" s="102"/>
      <c r="AS582" s="102"/>
      <c r="AT582" s="102"/>
      <c r="AU582" s="102"/>
      <c r="AV582" s="102"/>
      <c r="AW582" s="102"/>
      <c r="AX582" s="102"/>
      <c r="AY582" s="102"/>
    </row>
    <row r="583" spans="1:5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  <c r="AI583" s="102"/>
      <c r="AJ583" s="102"/>
      <c r="AK583" s="102"/>
      <c r="AL583" s="102"/>
      <c r="AM583" s="102"/>
      <c r="AN583" s="102"/>
      <c r="AO583" s="102"/>
      <c r="AP583" s="102"/>
      <c r="AQ583" s="102"/>
      <c r="AR583" s="102"/>
      <c r="AS583" s="102"/>
      <c r="AT583" s="102"/>
      <c r="AU583" s="102"/>
      <c r="AV583" s="102"/>
      <c r="AW583" s="102"/>
      <c r="AX583" s="102"/>
      <c r="AY583" s="102"/>
    </row>
    <row r="584" spans="1:5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  <c r="AI584" s="102"/>
      <c r="AJ584" s="102"/>
      <c r="AK584" s="102"/>
      <c r="AL584" s="102"/>
      <c r="AM584" s="102"/>
      <c r="AN584" s="102"/>
      <c r="AO584" s="102"/>
      <c r="AP584" s="102"/>
      <c r="AQ584" s="102"/>
      <c r="AR584" s="102"/>
      <c r="AS584" s="102"/>
      <c r="AT584" s="102"/>
      <c r="AU584" s="102"/>
      <c r="AV584" s="102"/>
      <c r="AW584" s="102"/>
      <c r="AX584" s="102"/>
      <c r="AY584" s="102"/>
    </row>
    <row r="585" spans="1:5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  <c r="AH585" s="102"/>
      <c r="AI585" s="102"/>
      <c r="AJ585" s="102"/>
      <c r="AK585" s="102"/>
      <c r="AL585" s="102"/>
      <c r="AM585" s="102"/>
      <c r="AN585" s="102"/>
      <c r="AO585" s="102"/>
      <c r="AP585" s="102"/>
      <c r="AQ585" s="102"/>
      <c r="AR585" s="102"/>
      <c r="AS585" s="102"/>
      <c r="AT585" s="102"/>
      <c r="AU585" s="102"/>
      <c r="AV585" s="102"/>
      <c r="AW585" s="102"/>
      <c r="AX585" s="102"/>
      <c r="AY585" s="102"/>
    </row>
    <row r="586" spans="1:5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  <c r="AH586" s="102"/>
      <c r="AI586" s="102"/>
      <c r="AJ586" s="102"/>
      <c r="AK586" s="102"/>
      <c r="AL586" s="102"/>
      <c r="AM586" s="102"/>
      <c r="AN586" s="102"/>
      <c r="AO586" s="102"/>
      <c r="AP586" s="102"/>
      <c r="AQ586" s="102"/>
      <c r="AR586" s="102"/>
      <c r="AS586" s="102"/>
      <c r="AT586" s="102"/>
      <c r="AU586" s="102"/>
      <c r="AV586" s="102"/>
      <c r="AW586" s="102"/>
      <c r="AX586" s="102"/>
      <c r="AY586" s="102"/>
    </row>
    <row r="587" spans="1:5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  <c r="AH587" s="102"/>
      <c r="AI587" s="102"/>
      <c r="AJ587" s="102"/>
      <c r="AK587" s="102"/>
      <c r="AL587" s="102"/>
      <c r="AM587" s="102"/>
      <c r="AN587" s="102"/>
      <c r="AO587" s="102"/>
      <c r="AP587" s="102"/>
      <c r="AQ587" s="102"/>
      <c r="AR587" s="102"/>
      <c r="AS587" s="102"/>
      <c r="AT587" s="102"/>
      <c r="AU587" s="102"/>
      <c r="AV587" s="102"/>
      <c r="AW587" s="102"/>
      <c r="AX587" s="102"/>
      <c r="AY587" s="102"/>
    </row>
    <row r="588" spans="1:5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  <c r="AH588" s="102"/>
      <c r="AI588" s="102"/>
      <c r="AJ588" s="102"/>
      <c r="AK588" s="102"/>
      <c r="AL588" s="102"/>
      <c r="AM588" s="102"/>
      <c r="AN588" s="102"/>
      <c r="AO588" s="102"/>
      <c r="AP588" s="102"/>
      <c r="AQ588" s="102"/>
      <c r="AR588" s="102"/>
      <c r="AS588" s="102"/>
      <c r="AT588" s="102"/>
      <c r="AU588" s="102"/>
      <c r="AV588" s="102"/>
      <c r="AW588" s="102"/>
      <c r="AX588" s="102"/>
      <c r="AY588" s="102"/>
    </row>
    <row r="589" spans="1:5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  <c r="AH589" s="102"/>
      <c r="AI589" s="102"/>
      <c r="AJ589" s="102"/>
      <c r="AK589" s="102"/>
      <c r="AL589" s="102"/>
      <c r="AM589" s="102"/>
      <c r="AN589" s="102"/>
      <c r="AO589" s="102"/>
      <c r="AP589" s="102"/>
      <c r="AQ589" s="102"/>
      <c r="AR589" s="102"/>
      <c r="AS589" s="102"/>
      <c r="AT589" s="102"/>
      <c r="AU589" s="102"/>
      <c r="AV589" s="102"/>
      <c r="AW589" s="102"/>
      <c r="AX589" s="102"/>
      <c r="AY589" s="102"/>
    </row>
    <row r="590" spans="1:5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  <c r="AH590" s="102"/>
      <c r="AI590" s="102"/>
      <c r="AJ590" s="102"/>
      <c r="AK590" s="102"/>
      <c r="AL590" s="102"/>
      <c r="AM590" s="102"/>
      <c r="AN590" s="102"/>
      <c r="AO590" s="102"/>
      <c r="AP590" s="102"/>
      <c r="AQ590" s="102"/>
      <c r="AR590" s="102"/>
      <c r="AS590" s="102"/>
      <c r="AT590" s="102"/>
      <c r="AU590" s="102"/>
      <c r="AV590" s="102"/>
      <c r="AW590" s="102"/>
      <c r="AX590" s="102"/>
      <c r="AY590" s="102"/>
    </row>
    <row r="591" spans="1:5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  <c r="AH591" s="102"/>
      <c r="AI591" s="102"/>
      <c r="AJ591" s="102"/>
      <c r="AK591" s="102"/>
      <c r="AL591" s="102"/>
      <c r="AM591" s="102"/>
      <c r="AN591" s="102"/>
      <c r="AO591" s="102"/>
      <c r="AP591" s="102"/>
      <c r="AQ591" s="102"/>
      <c r="AR591" s="102"/>
      <c r="AS591" s="102"/>
      <c r="AT591" s="102"/>
      <c r="AU591" s="102"/>
      <c r="AV591" s="102"/>
      <c r="AW591" s="102"/>
      <c r="AX591" s="102"/>
      <c r="AY591" s="102"/>
    </row>
    <row r="592" spans="1:5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  <c r="AH592" s="102"/>
      <c r="AI592" s="102"/>
      <c r="AJ592" s="102"/>
      <c r="AK592" s="102"/>
      <c r="AL592" s="102"/>
      <c r="AM592" s="102"/>
      <c r="AN592" s="102"/>
      <c r="AO592" s="102"/>
      <c r="AP592" s="102"/>
      <c r="AQ592" s="102"/>
      <c r="AR592" s="102"/>
      <c r="AS592" s="102"/>
      <c r="AT592" s="102"/>
      <c r="AU592" s="102"/>
      <c r="AV592" s="102"/>
      <c r="AW592" s="102"/>
      <c r="AX592" s="102"/>
      <c r="AY592" s="102"/>
    </row>
    <row r="593" spans="1:5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  <c r="AH593" s="102"/>
      <c r="AI593" s="102"/>
      <c r="AJ593" s="102"/>
      <c r="AK593" s="102"/>
      <c r="AL593" s="102"/>
      <c r="AM593" s="102"/>
      <c r="AN593" s="102"/>
      <c r="AO593" s="102"/>
      <c r="AP593" s="102"/>
      <c r="AQ593" s="102"/>
      <c r="AR593" s="102"/>
      <c r="AS593" s="102"/>
      <c r="AT593" s="102"/>
      <c r="AU593" s="102"/>
      <c r="AV593" s="102"/>
      <c r="AW593" s="102"/>
      <c r="AX593" s="102"/>
      <c r="AY593" s="102"/>
    </row>
    <row r="594" spans="1:5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  <c r="AH594" s="102"/>
      <c r="AI594" s="102"/>
      <c r="AJ594" s="102"/>
      <c r="AK594" s="102"/>
      <c r="AL594" s="102"/>
      <c r="AM594" s="102"/>
      <c r="AN594" s="102"/>
      <c r="AO594" s="102"/>
      <c r="AP594" s="102"/>
      <c r="AQ594" s="102"/>
      <c r="AR594" s="102"/>
      <c r="AS594" s="102"/>
      <c r="AT594" s="102"/>
      <c r="AU594" s="102"/>
      <c r="AV594" s="102"/>
      <c r="AW594" s="102"/>
      <c r="AX594" s="102"/>
      <c r="AY594" s="102"/>
    </row>
    <row r="595" spans="1:5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  <c r="AH595" s="102"/>
      <c r="AI595" s="102"/>
      <c r="AJ595" s="102"/>
      <c r="AK595" s="102"/>
      <c r="AL595" s="102"/>
      <c r="AM595" s="102"/>
      <c r="AN595" s="102"/>
      <c r="AO595" s="102"/>
      <c r="AP595" s="102"/>
      <c r="AQ595" s="102"/>
      <c r="AR595" s="102"/>
      <c r="AS595" s="102"/>
      <c r="AT595" s="102"/>
      <c r="AU595" s="102"/>
      <c r="AV595" s="102"/>
      <c r="AW595" s="102"/>
      <c r="AX595" s="102"/>
      <c r="AY595" s="102"/>
    </row>
    <row r="596" spans="1:5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  <c r="AH596" s="102"/>
      <c r="AI596" s="102"/>
      <c r="AJ596" s="102"/>
      <c r="AK596" s="102"/>
      <c r="AL596" s="102"/>
      <c r="AM596" s="102"/>
      <c r="AN596" s="102"/>
      <c r="AO596" s="102"/>
      <c r="AP596" s="102"/>
      <c r="AQ596" s="102"/>
      <c r="AR596" s="102"/>
      <c r="AS596" s="102"/>
      <c r="AT596" s="102"/>
      <c r="AU596" s="102"/>
      <c r="AV596" s="102"/>
      <c r="AW596" s="102"/>
      <c r="AX596" s="102"/>
      <c r="AY596" s="102"/>
    </row>
    <row r="597" spans="1:5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102"/>
      <c r="AI597" s="102"/>
      <c r="AJ597" s="102"/>
      <c r="AK597" s="102"/>
      <c r="AL597" s="102"/>
      <c r="AM597" s="102"/>
      <c r="AN597" s="102"/>
      <c r="AO597" s="102"/>
      <c r="AP597" s="102"/>
      <c r="AQ597" s="102"/>
      <c r="AR597" s="102"/>
      <c r="AS597" s="102"/>
      <c r="AT597" s="102"/>
      <c r="AU597" s="102"/>
      <c r="AV597" s="102"/>
      <c r="AW597" s="102"/>
      <c r="AX597" s="102"/>
      <c r="AY597" s="102"/>
    </row>
    <row r="598" spans="1:5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  <c r="AH598" s="102"/>
      <c r="AI598" s="102"/>
      <c r="AJ598" s="102"/>
      <c r="AK598" s="102"/>
      <c r="AL598" s="102"/>
      <c r="AM598" s="102"/>
      <c r="AN598" s="102"/>
      <c r="AO598" s="102"/>
      <c r="AP598" s="102"/>
      <c r="AQ598" s="102"/>
      <c r="AR598" s="102"/>
      <c r="AS598" s="102"/>
      <c r="AT598" s="102"/>
      <c r="AU598" s="102"/>
      <c r="AV598" s="102"/>
      <c r="AW598" s="102"/>
      <c r="AX598" s="102"/>
      <c r="AY598" s="102"/>
    </row>
    <row r="599" spans="1:5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  <c r="AH599" s="102"/>
      <c r="AI599" s="102"/>
      <c r="AJ599" s="102"/>
      <c r="AK599" s="102"/>
      <c r="AL599" s="102"/>
      <c r="AM599" s="102"/>
      <c r="AN599" s="102"/>
      <c r="AO599" s="102"/>
      <c r="AP599" s="102"/>
      <c r="AQ599" s="102"/>
      <c r="AR599" s="102"/>
      <c r="AS599" s="102"/>
      <c r="AT599" s="102"/>
      <c r="AU599" s="102"/>
      <c r="AV599" s="102"/>
      <c r="AW599" s="102"/>
      <c r="AX599" s="102"/>
      <c r="AY599" s="102"/>
    </row>
    <row r="600" spans="1:5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  <c r="AH600" s="102"/>
      <c r="AI600" s="102"/>
      <c r="AJ600" s="102"/>
      <c r="AK600" s="102"/>
      <c r="AL600" s="102"/>
      <c r="AM600" s="102"/>
      <c r="AN600" s="102"/>
      <c r="AO600" s="102"/>
      <c r="AP600" s="102"/>
      <c r="AQ600" s="102"/>
      <c r="AR600" s="102"/>
      <c r="AS600" s="102"/>
      <c r="AT600" s="102"/>
      <c r="AU600" s="102"/>
      <c r="AV600" s="102"/>
      <c r="AW600" s="102"/>
      <c r="AX600" s="102"/>
      <c r="AY600" s="102"/>
    </row>
    <row r="601" spans="1:5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  <c r="AH601" s="102"/>
      <c r="AI601" s="102"/>
      <c r="AJ601" s="102"/>
      <c r="AK601" s="102"/>
      <c r="AL601" s="102"/>
      <c r="AM601" s="102"/>
      <c r="AN601" s="102"/>
      <c r="AO601" s="102"/>
      <c r="AP601" s="102"/>
      <c r="AQ601" s="102"/>
      <c r="AR601" s="102"/>
      <c r="AS601" s="102"/>
      <c r="AT601" s="102"/>
      <c r="AU601" s="102"/>
      <c r="AV601" s="102"/>
      <c r="AW601" s="102"/>
      <c r="AX601" s="102"/>
      <c r="AY601" s="102"/>
    </row>
    <row r="602" spans="1:5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  <c r="AH602" s="102"/>
      <c r="AI602" s="102"/>
      <c r="AJ602" s="102"/>
      <c r="AK602" s="102"/>
      <c r="AL602" s="102"/>
      <c r="AM602" s="102"/>
      <c r="AN602" s="102"/>
      <c r="AO602" s="102"/>
      <c r="AP602" s="102"/>
      <c r="AQ602" s="102"/>
      <c r="AR602" s="102"/>
      <c r="AS602" s="102"/>
      <c r="AT602" s="102"/>
      <c r="AU602" s="102"/>
      <c r="AV602" s="102"/>
      <c r="AW602" s="102"/>
      <c r="AX602" s="102"/>
      <c r="AY602" s="102"/>
    </row>
    <row r="603" spans="1:5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  <c r="AH603" s="102"/>
      <c r="AI603" s="102"/>
      <c r="AJ603" s="102"/>
      <c r="AK603" s="102"/>
      <c r="AL603" s="102"/>
      <c r="AM603" s="102"/>
      <c r="AN603" s="102"/>
      <c r="AO603" s="102"/>
      <c r="AP603" s="102"/>
      <c r="AQ603" s="102"/>
      <c r="AR603" s="102"/>
      <c r="AS603" s="102"/>
      <c r="AT603" s="102"/>
      <c r="AU603" s="102"/>
      <c r="AV603" s="102"/>
      <c r="AW603" s="102"/>
      <c r="AX603" s="102"/>
      <c r="AY603" s="102"/>
    </row>
    <row r="604" spans="1:5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  <c r="AH604" s="102"/>
      <c r="AI604" s="102"/>
      <c r="AJ604" s="102"/>
      <c r="AK604" s="102"/>
      <c r="AL604" s="102"/>
      <c r="AM604" s="102"/>
      <c r="AN604" s="102"/>
      <c r="AO604" s="102"/>
      <c r="AP604" s="102"/>
      <c r="AQ604" s="102"/>
      <c r="AR604" s="102"/>
      <c r="AS604" s="102"/>
      <c r="AT604" s="102"/>
      <c r="AU604" s="102"/>
      <c r="AV604" s="102"/>
      <c r="AW604" s="102"/>
      <c r="AX604" s="102"/>
      <c r="AY604" s="102"/>
    </row>
    <row r="605" spans="1:5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  <c r="AH605" s="102"/>
      <c r="AI605" s="102"/>
      <c r="AJ605" s="102"/>
      <c r="AK605" s="102"/>
      <c r="AL605" s="102"/>
      <c r="AM605" s="102"/>
      <c r="AN605" s="102"/>
      <c r="AO605" s="102"/>
      <c r="AP605" s="102"/>
      <c r="AQ605" s="102"/>
      <c r="AR605" s="102"/>
      <c r="AS605" s="102"/>
      <c r="AT605" s="102"/>
      <c r="AU605" s="102"/>
      <c r="AV605" s="102"/>
      <c r="AW605" s="102"/>
      <c r="AX605" s="102"/>
      <c r="AY605" s="102"/>
    </row>
    <row r="606" spans="1:5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  <c r="AH606" s="102"/>
      <c r="AI606" s="102"/>
      <c r="AJ606" s="102"/>
      <c r="AK606" s="102"/>
      <c r="AL606" s="102"/>
      <c r="AM606" s="102"/>
      <c r="AN606" s="102"/>
      <c r="AO606" s="102"/>
      <c r="AP606" s="102"/>
      <c r="AQ606" s="102"/>
      <c r="AR606" s="102"/>
      <c r="AS606" s="102"/>
      <c r="AT606" s="102"/>
      <c r="AU606" s="102"/>
      <c r="AV606" s="102"/>
      <c r="AW606" s="102"/>
      <c r="AX606" s="102"/>
      <c r="AY606" s="102"/>
    </row>
    <row r="607" spans="1:5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102"/>
      <c r="AI607" s="102"/>
      <c r="AJ607" s="102"/>
      <c r="AK607" s="102"/>
      <c r="AL607" s="102"/>
      <c r="AM607" s="102"/>
      <c r="AN607" s="102"/>
      <c r="AO607" s="102"/>
      <c r="AP607" s="102"/>
      <c r="AQ607" s="102"/>
      <c r="AR607" s="102"/>
      <c r="AS607" s="102"/>
      <c r="AT607" s="102"/>
      <c r="AU607" s="102"/>
      <c r="AV607" s="102"/>
      <c r="AW607" s="102"/>
      <c r="AX607" s="102"/>
      <c r="AY607" s="102"/>
    </row>
    <row r="608" spans="1:5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  <c r="AH608" s="102"/>
      <c r="AI608" s="102"/>
      <c r="AJ608" s="102"/>
      <c r="AK608" s="102"/>
      <c r="AL608" s="102"/>
      <c r="AM608" s="102"/>
      <c r="AN608" s="102"/>
      <c r="AO608" s="102"/>
      <c r="AP608" s="102"/>
      <c r="AQ608" s="102"/>
      <c r="AR608" s="102"/>
      <c r="AS608" s="102"/>
      <c r="AT608" s="102"/>
      <c r="AU608" s="102"/>
      <c r="AV608" s="102"/>
      <c r="AW608" s="102"/>
      <c r="AX608" s="102"/>
      <c r="AY608" s="102"/>
    </row>
    <row r="609" spans="1:5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  <c r="AH609" s="102"/>
      <c r="AI609" s="102"/>
      <c r="AJ609" s="102"/>
      <c r="AK609" s="102"/>
      <c r="AL609" s="102"/>
      <c r="AM609" s="102"/>
      <c r="AN609" s="102"/>
      <c r="AO609" s="102"/>
      <c r="AP609" s="102"/>
      <c r="AQ609" s="102"/>
      <c r="AR609" s="102"/>
      <c r="AS609" s="102"/>
      <c r="AT609" s="102"/>
      <c r="AU609" s="102"/>
      <c r="AV609" s="102"/>
      <c r="AW609" s="102"/>
      <c r="AX609" s="102"/>
      <c r="AY609" s="102"/>
    </row>
    <row r="610" spans="1:5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  <c r="AH610" s="102"/>
      <c r="AI610" s="102"/>
      <c r="AJ610" s="102"/>
      <c r="AK610" s="102"/>
      <c r="AL610" s="102"/>
      <c r="AM610" s="102"/>
      <c r="AN610" s="102"/>
      <c r="AO610" s="102"/>
      <c r="AP610" s="102"/>
      <c r="AQ610" s="102"/>
      <c r="AR610" s="102"/>
      <c r="AS610" s="102"/>
      <c r="AT610" s="102"/>
      <c r="AU610" s="102"/>
      <c r="AV610" s="102"/>
      <c r="AW610" s="102"/>
      <c r="AX610" s="102"/>
      <c r="AY610" s="102"/>
    </row>
    <row r="611" spans="1:5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  <c r="AH611" s="102"/>
      <c r="AI611" s="102"/>
      <c r="AJ611" s="102"/>
      <c r="AK611" s="102"/>
      <c r="AL611" s="102"/>
      <c r="AM611" s="102"/>
      <c r="AN611" s="102"/>
      <c r="AO611" s="102"/>
      <c r="AP611" s="102"/>
      <c r="AQ611" s="102"/>
      <c r="AR611" s="102"/>
      <c r="AS611" s="102"/>
      <c r="AT611" s="102"/>
      <c r="AU611" s="102"/>
      <c r="AV611" s="102"/>
      <c r="AW611" s="102"/>
      <c r="AX611" s="102"/>
      <c r="AY611" s="102"/>
    </row>
    <row r="612" spans="1:5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  <c r="AH612" s="102"/>
      <c r="AI612" s="102"/>
      <c r="AJ612" s="102"/>
      <c r="AK612" s="102"/>
      <c r="AL612" s="102"/>
      <c r="AM612" s="102"/>
      <c r="AN612" s="102"/>
      <c r="AO612" s="102"/>
      <c r="AP612" s="102"/>
      <c r="AQ612" s="102"/>
      <c r="AR612" s="102"/>
      <c r="AS612" s="102"/>
      <c r="AT612" s="102"/>
      <c r="AU612" s="102"/>
      <c r="AV612" s="102"/>
      <c r="AW612" s="102"/>
      <c r="AX612" s="102"/>
      <c r="AY612" s="102"/>
    </row>
    <row r="613" spans="1:5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  <c r="AH613" s="102"/>
      <c r="AI613" s="102"/>
      <c r="AJ613" s="102"/>
      <c r="AK613" s="102"/>
      <c r="AL613" s="102"/>
      <c r="AM613" s="102"/>
      <c r="AN613" s="102"/>
      <c r="AO613" s="102"/>
      <c r="AP613" s="102"/>
      <c r="AQ613" s="102"/>
      <c r="AR613" s="102"/>
      <c r="AS613" s="102"/>
      <c r="AT613" s="102"/>
      <c r="AU613" s="102"/>
      <c r="AV613" s="102"/>
      <c r="AW613" s="102"/>
      <c r="AX613" s="102"/>
      <c r="AY613" s="102"/>
    </row>
    <row r="614" spans="1:5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  <c r="AI614" s="102"/>
      <c r="AJ614" s="102"/>
      <c r="AK614" s="102"/>
      <c r="AL614" s="102"/>
      <c r="AM614" s="102"/>
      <c r="AN614" s="102"/>
      <c r="AO614" s="102"/>
      <c r="AP614" s="102"/>
      <c r="AQ614" s="102"/>
      <c r="AR614" s="102"/>
      <c r="AS614" s="102"/>
      <c r="AT614" s="102"/>
      <c r="AU614" s="102"/>
      <c r="AV614" s="102"/>
      <c r="AW614" s="102"/>
      <c r="AX614" s="102"/>
      <c r="AY614" s="102"/>
    </row>
    <row r="615" spans="1:5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  <c r="AH615" s="102"/>
      <c r="AI615" s="102"/>
      <c r="AJ615" s="102"/>
      <c r="AK615" s="102"/>
      <c r="AL615" s="102"/>
      <c r="AM615" s="102"/>
      <c r="AN615" s="102"/>
      <c r="AO615" s="102"/>
      <c r="AP615" s="102"/>
      <c r="AQ615" s="102"/>
      <c r="AR615" s="102"/>
      <c r="AS615" s="102"/>
      <c r="AT615" s="102"/>
      <c r="AU615" s="102"/>
      <c r="AV615" s="102"/>
      <c r="AW615" s="102"/>
      <c r="AX615" s="102"/>
      <c r="AY615" s="102"/>
    </row>
    <row r="616" spans="1:5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  <c r="AH616" s="102"/>
      <c r="AI616" s="102"/>
      <c r="AJ616" s="102"/>
      <c r="AK616" s="102"/>
      <c r="AL616" s="102"/>
      <c r="AM616" s="102"/>
      <c r="AN616" s="102"/>
      <c r="AO616" s="102"/>
      <c r="AP616" s="102"/>
      <c r="AQ616" s="102"/>
      <c r="AR616" s="102"/>
      <c r="AS616" s="102"/>
      <c r="AT616" s="102"/>
      <c r="AU616" s="102"/>
      <c r="AV616" s="102"/>
      <c r="AW616" s="102"/>
      <c r="AX616" s="102"/>
      <c r="AY616" s="102"/>
    </row>
    <row r="617" spans="1:5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  <c r="AH617" s="102"/>
      <c r="AI617" s="102"/>
      <c r="AJ617" s="102"/>
      <c r="AK617" s="102"/>
      <c r="AL617" s="102"/>
      <c r="AM617" s="102"/>
      <c r="AN617" s="102"/>
      <c r="AO617" s="102"/>
      <c r="AP617" s="102"/>
      <c r="AQ617" s="102"/>
      <c r="AR617" s="102"/>
      <c r="AS617" s="102"/>
      <c r="AT617" s="102"/>
      <c r="AU617" s="102"/>
      <c r="AV617" s="102"/>
      <c r="AW617" s="102"/>
      <c r="AX617" s="102"/>
      <c r="AY617" s="102"/>
    </row>
    <row r="618" spans="1:5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  <c r="AH618" s="102"/>
      <c r="AI618" s="102"/>
      <c r="AJ618" s="102"/>
      <c r="AK618" s="102"/>
      <c r="AL618" s="102"/>
      <c r="AM618" s="102"/>
      <c r="AN618" s="102"/>
      <c r="AO618" s="102"/>
      <c r="AP618" s="102"/>
      <c r="AQ618" s="102"/>
      <c r="AR618" s="102"/>
      <c r="AS618" s="102"/>
      <c r="AT618" s="102"/>
      <c r="AU618" s="102"/>
      <c r="AV618" s="102"/>
      <c r="AW618" s="102"/>
      <c r="AX618" s="102"/>
      <c r="AY618" s="102"/>
    </row>
    <row r="619" spans="1:5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  <c r="AI619" s="102"/>
      <c r="AJ619" s="102"/>
      <c r="AK619" s="102"/>
      <c r="AL619" s="102"/>
      <c r="AM619" s="102"/>
      <c r="AN619" s="102"/>
      <c r="AO619" s="102"/>
      <c r="AP619" s="102"/>
      <c r="AQ619" s="102"/>
      <c r="AR619" s="102"/>
      <c r="AS619" s="102"/>
      <c r="AT619" s="102"/>
      <c r="AU619" s="102"/>
      <c r="AV619" s="102"/>
      <c r="AW619" s="102"/>
      <c r="AX619" s="102"/>
      <c r="AY619" s="102"/>
    </row>
    <row r="620" spans="1:5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  <c r="AI620" s="102"/>
      <c r="AJ620" s="102"/>
      <c r="AK620" s="102"/>
      <c r="AL620" s="102"/>
      <c r="AM620" s="102"/>
      <c r="AN620" s="102"/>
      <c r="AO620" s="102"/>
      <c r="AP620" s="102"/>
      <c r="AQ620" s="102"/>
      <c r="AR620" s="102"/>
      <c r="AS620" s="102"/>
      <c r="AT620" s="102"/>
      <c r="AU620" s="102"/>
      <c r="AV620" s="102"/>
      <c r="AW620" s="102"/>
      <c r="AX620" s="102"/>
      <c r="AY620" s="102"/>
    </row>
    <row r="621" spans="1:5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  <c r="AH621" s="102"/>
      <c r="AI621" s="102"/>
      <c r="AJ621" s="102"/>
      <c r="AK621" s="102"/>
      <c r="AL621" s="102"/>
      <c r="AM621" s="102"/>
      <c r="AN621" s="102"/>
      <c r="AO621" s="102"/>
      <c r="AP621" s="102"/>
      <c r="AQ621" s="102"/>
      <c r="AR621" s="102"/>
      <c r="AS621" s="102"/>
      <c r="AT621" s="102"/>
      <c r="AU621" s="102"/>
      <c r="AV621" s="102"/>
      <c r="AW621" s="102"/>
      <c r="AX621" s="102"/>
      <c r="AY621" s="102"/>
    </row>
    <row r="622" spans="1:5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  <c r="AH622" s="102"/>
      <c r="AI622" s="102"/>
      <c r="AJ622" s="102"/>
      <c r="AK622" s="102"/>
      <c r="AL622" s="102"/>
      <c r="AM622" s="102"/>
      <c r="AN622" s="102"/>
      <c r="AO622" s="102"/>
      <c r="AP622" s="102"/>
      <c r="AQ622" s="102"/>
      <c r="AR622" s="102"/>
      <c r="AS622" s="102"/>
      <c r="AT622" s="102"/>
      <c r="AU622" s="102"/>
      <c r="AV622" s="102"/>
      <c r="AW622" s="102"/>
      <c r="AX622" s="102"/>
      <c r="AY622" s="102"/>
    </row>
    <row r="623" spans="1:5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  <c r="AH623" s="102"/>
      <c r="AI623" s="102"/>
      <c r="AJ623" s="102"/>
      <c r="AK623" s="102"/>
      <c r="AL623" s="102"/>
      <c r="AM623" s="102"/>
      <c r="AN623" s="102"/>
      <c r="AO623" s="102"/>
      <c r="AP623" s="102"/>
      <c r="AQ623" s="102"/>
      <c r="AR623" s="102"/>
      <c r="AS623" s="102"/>
      <c r="AT623" s="102"/>
      <c r="AU623" s="102"/>
      <c r="AV623" s="102"/>
      <c r="AW623" s="102"/>
      <c r="AX623" s="102"/>
      <c r="AY623" s="102"/>
    </row>
    <row r="624" spans="1:5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  <c r="AH624" s="102"/>
      <c r="AI624" s="102"/>
      <c r="AJ624" s="102"/>
      <c r="AK624" s="102"/>
      <c r="AL624" s="102"/>
      <c r="AM624" s="102"/>
      <c r="AN624" s="102"/>
      <c r="AO624" s="102"/>
      <c r="AP624" s="102"/>
      <c r="AQ624" s="102"/>
      <c r="AR624" s="102"/>
      <c r="AS624" s="102"/>
      <c r="AT624" s="102"/>
      <c r="AU624" s="102"/>
      <c r="AV624" s="102"/>
      <c r="AW624" s="102"/>
      <c r="AX624" s="102"/>
      <c r="AY624" s="102"/>
    </row>
    <row r="625" spans="1:5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  <c r="AH625" s="102"/>
      <c r="AI625" s="102"/>
      <c r="AJ625" s="102"/>
      <c r="AK625" s="102"/>
      <c r="AL625" s="102"/>
      <c r="AM625" s="102"/>
      <c r="AN625" s="102"/>
      <c r="AO625" s="102"/>
      <c r="AP625" s="102"/>
      <c r="AQ625" s="102"/>
      <c r="AR625" s="102"/>
      <c r="AS625" s="102"/>
      <c r="AT625" s="102"/>
      <c r="AU625" s="102"/>
      <c r="AV625" s="102"/>
      <c r="AW625" s="102"/>
      <c r="AX625" s="102"/>
      <c r="AY625" s="102"/>
    </row>
    <row r="626" spans="1:5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  <c r="AH626" s="102"/>
      <c r="AI626" s="102"/>
      <c r="AJ626" s="102"/>
      <c r="AK626" s="102"/>
      <c r="AL626" s="102"/>
      <c r="AM626" s="102"/>
      <c r="AN626" s="102"/>
      <c r="AO626" s="102"/>
      <c r="AP626" s="102"/>
      <c r="AQ626" s="102"/>
      <c r="AR626" s="102"/>
      <c r="AS626" s="102"/>
      <c r="AT626" s="102"/>
      <c r="AU626" s="102"/>
      <c r="AV626" s="102"/>
      <c r="AW626" s="102"/>
      <c r="AX626" s="102"/>
      <c r="AY626" s="102"/>
    </row>
    <row r="627" spans="1:5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  <c r="AH627" s="102"/>
      <c r="AI627" s="102"/>
      <c r="AJ627" s="102"/>
      <c r="AK627" s="102"/>
      <c r="AL627" s="102"/>
      <c r="AM627" s="102"/>
      <c r="AN627" s="102"/>
      <c r="AO627" s="102"/>
      <c r="AP627" s="102"/>
      <c r="AQ627" s="102"/>
      <c r="AR627" s="102"/>
      <c r="AS627" s="102"/>
      <c r="AT627" s="102"/>
      <c r="AU627" s="102"/>
      <c r="AV627" s="102"/>
      <c r="AW627" s="102"/>
      <c r="AX627" s="102"/>
      <c r="AY627" s="102"/>
    </row>
    <row r="628" spans="1:5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  <c r="AI628" s="102"/>
      <c r="AJ628" s="102"/>
      <c r="AK628" s="102"/>
      <c r="AL628" s="102"/>
      <c r="AM628" s="102"/>
      <c r="AN628" s="102"/>
      <c r="AO628" s="102"/>
      <c r="AP628" s="102"/>
      <c r="AQ628" s="102"/>
      <c r="AR628" s="102"/>
      <c r="AS628" s="102"/>
      <c r="AT628" s="102"/>
      <c r="AU628" s="102"/>
      <c r="AV628" s="102"/>
      <c r="AW628" s="102"/>
      <c r="AX628" s="102"/>
      <c r="AY628" s="102"/>
    </row>
    <row r="629" spans="1:5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  <c r="AH629" s="102"/>
      <c r="AI629" s="102"/>
      <c r="AJ629" s="102"/>
      <c r="AK629" s="102"/>
      <c r="AL629" s="102"/>
      <c r="AM629" s="102"/>
      <c r="AN629" s="102"/>
      <c r="AO629" s="102"/>
      <c r="AP629" s="102"/>
      <c r="AQ629" s="102"/>
      <c r="AR629" s="102"/>
      <c r="AS629" s="102"/>
      <c r="AT629" s="102"/>
      <c r="AU629" s="102"/>
      <c r="AV629" s="102"/>
      <c r="AW629" s="102"/>
      <c r="AX629" s="102"/>
      <c r="AY629" s="102"/>
    </row>
    <row r="630" spans="1:5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  <c r="AH630" s="102"/>
      <c r="AI630" s="102"/>
      <c r="AJ630" s="102"/>
      <c r="AK630" s="102"/>
      <c r="AL630" s="102"/>
      <c r="AM630" s="102"/>
      <c r="AN630" s="102"/>
      <c r="AO630" s="102"/>
      <c r="AP630" s="102"/>
      <c r="AQ630" s="102"/>
      <c r="AR630" s="102"/>
      <c r="AS630" s="102"/>
      <c r="AT630" s="102"/>
      <c r="AU630" s="102"/>
      <c r="AV630" s="102"/>
      <c r="AW630" s="102"/>
      <c r="AX630" s="102"/>
      <c r="AY630" s="102"/>
    </row>
    <row r="631" spans="1:5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  <c r="AH631" s="102"/>
      <c r="AI631" s="102"/>
      <c r="AJ631" s="102"/>
      <c r="AK631" s="102"/>
      <c r="AL631" s="102"/>
      <c r="AM631" s="102"/>
      <c r="AN631" s="102"/>
      <c r="AO631" s="102"/>
      <c r="AP631" s="102"/>
      <c r="AQ631" s="102"/>
      <c r="AR631" s="102"/>
      <c r="AS631" s="102"/>
      <c r="AT631" s="102"/>
      <c r="AU631" s="102"/>
      <c r="AV631" s="102"/>
      <c r="AW631" s="102"/>
      <c r="AX631" s="102"/>
      <c r="AY631" s="102"/>
    </row>
    <row r="632" spans="1:5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  <c r="AI632" s="102"/>
      <c r="AJ632" s="102"/>
      <c r="AK632" s="102"/>
      <c r="AL632" s="102"/>
      <c r="AM632" s="102"/>
      <c r="AN632" s="102"/>
      <c r="AO632" s="102"/>
      <c r="AP632" s="102"/>
      <c r="AQ632" s="102"/>
      <c r="AR632" s="102"/>
      <c r="AS632" s="102"/>
      <c r="AT632" s="102"/>
      <c r="AU632" s="102"/>
      <c r="AV632" s="102"/>
      <c r="AW632" s="102"/>
      <c r="AX632" s="102"/>
      <c r="AY632" s="102"/>
    </row>
    <row r="633" spans="1:5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  <c r="AH633" s="102"/>
      <c r="AI633" s="102"/>
      <c r="AJ633" s="102"/>
      <c r="AK633" s="102"/>
      <c r="AL633" s="102"/>
      <c r="AM633" s="102"/>
      <c r="AN633" s="102"/>
      <c r="AO633" s="102"/>
      <c r="AP633" s="102"/>
      <c r="AQ633" s="102"/>
      <c r="AR633" s="102"/>
      <c r="AS633" s="102"/>
      <c r="AT633" s="102"/>
      <c r="AU633" s="102"/>
      <c r="AV633" s="102"/>
      <c r="AW633" s="102"/>
      <c r="AX633" s="102"/>
      <c r="AY633" s="102"/>
    </row>
    <row r="634" spans="1:5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  <c r="AH634" s="102"/>
      <c r="AI634" s="102"/>
      <c r="AJ634" s="102"/>
      <c r="AK634" s="102"/>
      <c r="AL634" s="102"/>
      <c r="AM634" s="102"/>
      <c r="AN634" s="102"/>
      <c r="AO634" s="102"/>
      <c r="AP634" s="102"/>
      <c r="AQ634" s="102"/>
      <c r="AR634" s="102"/>
      <c r="AS634" s="102"/>
      <c r="AT634" s="102"/>
      <c r="AU634" s="102"/>
      <c r="AV634" s="102"/>
      <c r="AW634" s="102"/>
      <c r="AX634" s="102"/>
      <c r="AY634" s="102"/>
    </row>
    <row r="635" spans="1:5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  <c r="AH635" s="102"/>
      <c r="AI635" s="102"/>
      <c r="AJ635" s="102"/>
      <c r="AK635" s="102"/>
      <c r="AL635" s="102"/>
      <c r="AM635" s="102"/>
      <c r="AN635" s="102"/>
      <c r="AO635" s="102"/>
      <c r="AP635" s="102"/>
      <c r="AQ635" s="102"/>
      <c r="AR635" s="102"/>
      <c r="AS635" s="102"/>
      <c r="AT635" s="102"/>
      <c r="AU635" s="102"/>
      <c r="AV635" s="102"/>
      <c r="AW635" s="102"/>
      <c r="AX635" s="102"/>
      <c r="AY635" s="102"/>
    </row>
    <row r="636" spans="1:5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  <c r="AH636" s="102"/>
      <c r="AI636" s="102"/>
      <c r="AJ636" s="102"/>
      <c r="AK636" s="102"/>
      <c r="AL636" s="102"/>
      <c r="AM636" s="102"/>
      <c r="AN636" s="102"/>
      <c r="AO636" s="102"/>
      <c r="AP636" s="102"/>
      <c r="AQ636" s="102"/>
      <c r="AR636" s="102"/>
      <c r="AS636" s="102"/>
      <c r="AT636" s="102"/>
      <c r="AU636" s="102"/>
      <c r="AV636" s="102"/>
      <c r="AW636" s="102"/>
      <c r="AX636" s="102"/>
      <c r="AY636" s="102"/>
    </row>
    <row r="637" spans="1:5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  <c r="AH637" s="102"/>
      <c r="AI637" s="102"/>
      <c r="AJ637" s="102"/>
      <c r="AK637" s="102"/>
      <c r="AL637" s="102"/>
      <c r="AM637" s="102"/>
      <c r="AN637" s="102"/>
      <c r="AO637" s="102"/>
      <c r="AP637" s="102"/>
      <c r="AQ637" s="102"/>
      <c r="AR637" s="102"/>
      <c r="AS637" s="102"/>
      <c r="AT637" s="102"/>
      <c r="AU637" s="102"/>
      <c r="AV637" s="102"/>
      <c r="AW637" s="102"/>
      <c r="AX637" s="102"/>
      <c r="AY637" s="102"/>
    </row>
    <row r="638" spans="1:5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  <c r="AH638" s="102"/>
      <c r="AI638" s="102"/>
      <c r="AJ638" s="102"/>
      <c r="AK638" s="102"/>
      <c r="AL638" s="102"/>
      <c r="AM638" s="102"/>
      <c r="AN638" s="102"/>
      <c r="AO638" s="102"/>
      <c r="AP638" s="102"/>
      <c r="AQ638" s="102"/>
      <c r="AR638" s="102"/>
      <c r="AS638" s="102"/>
      <c r="AT638" s="102"/>
      <c r="AU638" s="102"/>
      <c r="AV638" s="102"/>
      <c r="AW638" s="102"/>
      <c r="AX638" s="102"/>
      <c r="AY638" s="102"/>
    </row>
    <row r="639" spans="1:5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  <c r="AH639" s="102"/>
      <c r="AI639" s="102"/>
      <c r="AJ639" s="102"/>
      <c r="AK639" s="102"/>
      <c r="AL639" s="102"/>
      <c r="AM639" s="102"/>
      <c r="AN639" s="102"/>
      <c r="AO639" s="102"/>
      <c r="AP639" s="102"/>
      <c r="AQ639" s="102"/>
      <c r="AR639" s="102"/>
      <c r="AS639" s="102"/>
      <c r="AT639" s="102"/>
      <c r="AU639" s="102"/>
      <c r="AV639" s="102"/>
      <c r="AW639" s="102"/>
      <c r="AX639" s="102"/>
      <c r="AY639" s="102"/>
    </row>
    <row r="640" spans="1:5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  <c r="AH640" s="102"/>
      <c r="AI640" s="102"/>
      <c r="AJ640" s="102"/>
      <c r="AK640" s="102"/>
      <c r="AL640" s="102"/>
      <c r="AM640" s="102"/>
      <c r="AN640" s="102"/>
      <c r="AO640" s="102"/>
      <c r="AP640" s="102"/>
      <c r="AQ640" s="102"/>
      <c r="AR640" s="102"/>
      <c r="AS640" s="102"/>
      <c r="AT640" s="102"/>
      <c r="AU640" s="102"/>
      <c r="AV640" s="102"/>
      <c r="AW640" s="102"/>
      <c r="AX640" s="102"/>
      <c r="AY640" s="102"/>
    </row>
    <row r="641" spans="1:5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  <c r="AI641" s="102"/>
      <c r="AJ641" s="102"/>
      <c r="AK641" s="102"/>
      <c r="AL641" s="102"/>
      <c r="AM641" s="102"/>
      <c r="AN641" s="102"/>
      <c r="AO641" s="102"/>
      <c r="AP641" s="102"/>
      <c r="AQ641" s="102"/>
      <c r="AR641" s="102"/>
      <c r="AS641" s="102"/>
      <c r="AT641" s="102"/>
      <c r="AU641" s="102"/>
      <c r="AV641" s="102"/>
      <c r="AW641" s="102"/>
      <c r="AX641" s="102"/>
      <c r="AY641" s="102"/>
    </row>
    <row r="642" spans="1:5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  <c r="AI642" s="102"/>
      <c r="AJ642" s="102"/>
      <c r="AK642" s="102"/>
      <c r="AL642" s="102"/>
      <c r="AM642" s="102"/>
      <c r="AN642" s="102"/>
      <c r="AO642" s="102"/>
      <c r="AP642" s="102"/>
      <c r="AQ642" s="102"/>
      <c r="AR642" s="102"/>
      <c r="AS642" s="102"/>
      <c r="AT642" s="102"/>
      <c r="AU642" s="102"/>
      <c r="AV642" s="102"/>
      <c r="AW642" s="102"/>
      <c r="AX642" s="102"/>
      <c r="AY642" s="102"/>
    </row>
    <row r="643" spans="1:5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  <c r="AI643" s="102"/>
      <c r="AJ643" s="102"/>
      <c r="AK643" s="102"/>
      <c r="AL643" s="102"/>
      <c r="AM643" s="102"/>
      <c r="AN643" s="102"/>
      <c r="AO643" s="102"/>
      <c r="AP643" s="102"/>
      <c r="AQ643" s="102"/>
      <c r="AR643" s="102"/>
      <c r="AS643" s="102"/>
      <c r="AT643" s="102"/>
      <c r="AU643" s="102"/>
      <c r="AV643" s="102"/>
      <c r="AW643" s="102"/>
      <c r="AX643" s="102"/>
      <c r="AY643" s="102"/>
    </row>
    <row r="644" spans="1:5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  <c r="AI644" s="102"/>
      <c r="AJ644" s="102"/>
      <c r="AK644" s="102"/>
      <c r="AL644" s="102"/>
      <c r="AM644" s="102"/>
      <c r="AN644" s="102"/>
      <c r="AO644" s="102"/>
      <c r="AP644" s="102"/>
      <c r="AQ644" s="102"/>
      <c r="AR644" s="102"/>
      <c r="AS644" s="102"/>
      <c r="AT644" s="102"/>
      <c r="AU644" s="102"/>
      <c r="AV644" s="102"/>
      <c r="AW644" s="102"/>
      <c r="AX644" s="102"/>
      <c r="AY644" s="102"/>
    </row>
    <row r="645" spans="1:5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  <c r="AI645" s="102"/>
      <c r="AJ645" s="102"/>
      <c r="AK645" s="102"/>
      <c r="AL645" s="102"/>
      <c r="AM645" s="102"/>
      <c r="AN645" s="102"/>
      <c r="AO645" s="102"/>
      <c r="AP645" s="102"/>
      <c r="AQ645" s="102"/>
      <c r="AR645" s="102"/>
      <c r="AS645" s="102"/>
      <c r="AT645" s="102"/>
      <c r="AU645" s="102"/>
      <c r="AV645" s="102"/>
      <c r="AW645" s="102"/>
      <c r="AX645" s="102"/>
      <c r="AY645" s="102"/>
    </row>
    <row r="646" spans="1:5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  <c r="AI646" s="102"/>
      <c r="AJ646" s="102"/>
      <c r="AK646" s="102"/>
      <c r="AL646" s="102"/>
      <c r="AM646" s="102"/>
      <c r="AN646" s="102"/>
      <c r="AO646" s="102"/>
      <c r="AP646" s="102"/>
      <c r="AQ646" s="102"/>
      <c r="AR646" s="102"/>
      <c r="AS646" s="102"/>
      <c r="AT646" s="102"/>
      <c r="AU646" s="102"/>
      <c r="AV646" s="102"/>
      <c r="AW646" s="102"/>
      <c r="AX646" s="102"/>
      <c r="AY646" s="102"/>
    </row>
    <row r="647" spans="1:5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  <c r="AI647" s="102"/>
      <c r="AJ647" s="102"/>
      <c r="AK647" s="102"/>
      <c r="AL647" s="102"/>
      <c r="AM647" s="102"/>
      <c r="AN647" s="102"/>
      <c r="AO647" s="102"/>
      <c r="AP647" s="102"/>
      <c r="AQ647" s="102"/>
      <c r="AR647" s="102"/>
      <c r="AS647" s="102"/>
      <c r="AT647" s="102"/>
      <c r="AU647" s="102"/>
      <c r="AV647" s="102"/>
      <c r="AW647" s="102"/>
      <c r="AX647" s="102"/>
      <c r="AY647" s="102"/>
    </row>
    <row r="648" spans="1:5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  <c r="AI648" s="102"/>
      <c r="AJ648" s="102"/>
      <c r="AK648" s="102"/>
      <c r="AL648" s="102"/>
      <c r="AM648" s="102"/>
      <c r="AN648" s="102"/>
      <c r="AO648" s="102"/>
      <c r="AP648" s="102"/>
      <c r="AQ648" s="102"/>
      <c r="AR648" s="102"/>
      <c r="AS648" s="102"/>
      <c r="AT648" s="102"/>
      <c r="AU648" s="102"/>
      <c r="AV648" s="102"/>
      <c r="AW648" s="102"/>
      <c r="AX648" s="102"/>
      <c r="AY648" s="102"/>
    </row>
    <row r="649" spans="1:5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  <c r="AI649" s="102"/>
      <c r="AJ649" s="102"/>
      <c r="AK649" s="102"/>
      <c r="AL649" s="102"/>
      <c r="AM649" s="102"/>
      <c r="AN649" s="102"/>
      <c r="AO649" s="102"/>
      <c r="AP649" s="102"/>
      <c r="AQ649" s="102"/>
      <c r="AR649" s="102"/>
      <c r="AS649" s="102"/>
      <c r="AT649" s="102"/>
      <c r="AU649" s="102"/>
      <c r="AV649" s="102"/>
      <c r="AW649" s="102"/>
      <c r="AX649" s="102"/>
      <c r="AY649" s="102"/>
    </row>
    <row r="650" spans="1:5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  <c r="AI650" s="102"/>
      <c r="AJ650" s="102"/>
      <c r="AK650" s="102"/>
      <c r="AL650" s="102"/>
      <c r="AM650" s="102"/>
      <c r="AN650" s="102"/>
      <c r="AO650" s="102"/>
      <c r="AP650" s="102"/>
      <c r="AQ650" s="102"/>
      <c r="AR650" s="102"/>
      <c r="AS650" s="102"/>
      <c r="AT650" s="102"/>
      <c r="AU650" s="102"/>
      <c r="AV650" s="102"/>
      <c r="AW650" s="102"/>
      <c r="AX650" s="102"/>
      <c r="AY650" s="102"/>
    </row>
    <row r="651" spans="1:5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  <c r="AI651" s="102"/>
      <c r="AJ651" s="102"/>
      <c r="AK651" s="102"/>
      <c r="AL651" s="102"/>
      <c r="AM651" s="102"/>
      <c r="AN651" s="102"/>
      <c r="AO651" s="102"/>
      <c r="AP651" s="102"/>
      <c r="AQ651" s="102"/>
      <c r="AR651" s="102"/>
      <c r="AS651" s="102"/>
      <c r="AT651" s="102"/>
      <c r="AU651" s="102"/>
      <c r="AV651" s="102"/>
      <c r="AW651" s="102"/>
      <c r="AX651" s="102"/>
      <c r="AY651" s="102"/>
    </row>
    <row r="652" spans="1:5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  <c r="AI652" s="102"/>
      <c r="AJ652" s="102"/>
      <c r="AK652" s="102"/>
      <c r="AL652" s="102"/>
      <c r="AM652" s="102"/>
      <c r="AN652" s="102"/>
      <c r="AO652" s="102"/>
      <c r="AP652" s="102"/>
      <c r="AQ652" s="102"/>
      <c r="AR652" s="102"/>
      <c r="AS652" s="102"/>
      <c r="AT652" s="102"/>
      <c r="AU652" s="102"/>
      <c r="AV652" s="102"/>
      <c r="AW652" s="102"/>
      <c r="AX652" s="102"/>
      <c r="AY652" s="102"/>
    </row>
    <row r="653" spans="1:5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  <c r="AI653" s="102"/>
      <c r="AJ653" s="102"/>
      <c r="AK653" s="102"/>
      <c r="AL653" s="102"/>
      <c r="AM653" s="102"/>
      <c r="AN653" s="102"/>
      <c r="AO653" s="102"/>
      <c r="AP653" s="102"/>
      <c r="AQ653" s="102"/>
      <c r="AR653" s="102"/>
      <c r="AS653" s="102"/>
      <c r="AT653" s="102"/>
      <c r="AU653" s="102"/>
      <c r="AV653" s="102"/>
      <c r="AW653" s="102"/>
      <c r="AX653" s="102"/>
      <c r="AY653" s="102"/>
    </row>
    <row r="654" spans="1:5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  <c r="AI654" s="102"/>
      <c r="AJ654" s="102"/>
      <c r="AK654" s="102"/>
      <c r="AL654" s="102"/>
      <c r="AM654" s="102"/>
      <c r="AN654" s="102"/>
      <c r="AO654" s="102"/>
      <c r="AP654" s="102"/>
      <c r="AQ654" s="102"/>
      <c r="AR654" s="102"/>
      <c r="AS654" s="102"/>
      <c r="AT654" s="102"/>
      <c r="AU654" s="102"/>
      <c r="AV654" s="102"/>
      <c r="AW654" s="102"/>
      <c r="AX654" s="102"/>
      <c r="AY654" s="102"/>
    </row>
    <row r="655" spans="1:5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  <c r="AI655" s="102"/>
      <c r="AJ655" s="102"/>
      <c r="AK655" s="102"/>
      <c r="AL655" s="102"/>
      <c r="AM655" s="102"/>
      <c r="AN655" s="102"/>
      <c r="AO655" s="102"/>
      <c r="AP655" s="102"/>
      <c r="AQ655" s="102"/>
      <c r="AR655" s="102"/>
      <c r="AS655" s="102"/>
      <c r="AT655" s="102"/>
      <c r="AU655" s="102"/>
      <c r="AV655" s="102"/>
      <c r="AW655" s="102"/>
      <c r="AX655" s="102"/>
      <c r="AY655" s="102"/>
    </row>
    <row r="656" spans="1:5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  <c r="AI656" s="102"/>
      <c r="AJ656" s="102"/>
      <c r="AK656" s="102"/>
      <c r="AL656" s="102"/>
      <c r="AM656" s="102"/>
      <c r="AN656" s="102"/>
      <c r="AO656" s="102"/>
      <c r="AP656" s="102"/>
      <c r="AQ656" s="102"/>
      <c r="AR656" s="102"/>
      <c r="AS656" s="102"/>
      <c r="AT656" s="102"/>
      <c r="AU656" s="102"/>
      <c r="AV656" s="102"/>
      <c r="AW656" s="102"/>
      <c r="AX656" s="102"/>
      <c r="AY656" s="102"/>
    </row>
    <row r="657" spans="1:5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  <c r="AI657" s="102"/>
      <c r="AJ657" s="102"/>
      <c r="AK657" s="102"/>
      <c r="AL657" s="102"/>
      <c r="AM657" s="102"/>
      <c r="AN657" s="102"/>
      <c r="AO657" s="102"/>
      <c r="AP657" s="102"/>
      <c r="AQ657" s="102"/>
      <c r="AR657" s="102"/>
      <c r="AS657" s="102"/>
      <c r="AT657" s="102"/>
      <c r="AU657" s="102"/>
      <c r="AV657" s="102"/>
      <c r="AW657" s="102"/>
      <c r="AX657" s="102"/>
      <c r="AY657" s="102"/>
    </row>
    <row r="658" spans="1:5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  <c r="AI658" s="102"/>
      <c r="AJ658" s="102"/>
      <c r="AK658" s="102"/>
      <c r="AL658" s="102"/>
      <c r="AM658" s="102"/>
      <c r="AN658" s="102"/>
      <c r="AO658" s="102"/>
      <c r="AP658" s="102"/>
      <c r="AQ658" s="102"/>
      <c r="AR658" s="102"/>
      <c r="AS658" s="102"/>
      <c r="AT658" s="102"/>
      <c r="AU658" s="102"/>
      <c r="AV658" s="102"/>
      <c r="AW658" s="102"/>
      <c r="AX658" s="102"/>
      <c r="AY658" s="102"/>
    </row>
    <row r="659" spans="1:5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  <c r="AI659" s="102"/>
      <c r="AJ659" s="102"/>
      <c r="AK659" s="102"/>
      <c r="AL659" s="102"/>
      <c r="AM659" s="102"/>
      <c r="AN659" s="102"/>
      <c r="AO659" s="102"/>
      <c r="AP659" s="102"/>
      <c r="AQ659" s="102"/>
      <c r="AR659" s="102"/>
      <c r="AS659" s="102"/>
      <c r="AT659" s="102"/>
      <c r="AU659" s="102"/>
      <c r="AV659" s="102"/>
      <c r="AW659" s="102"/>
      <c r="AX659" s="102"/>
      <c r="AY659" s="102"/>
    </row>
    <row r="660" spans="1:5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  <c r="AI660" s="102"/>
      <c r="AJ660" s="102"/>
      <c r="AK660" s="102"/>
      <c r="AL660" s="102"/>
      <c r="AM660" s="102"/>
      <c r="AN660" s="102"/>
      <c r="AO660" s="102"/>
      <c r="AP660" s="102"/>
      <c r="AQ660" s="102"/>
      <c r="AR660" s="102"/>
      <c r="AS660" s="102"/>
      <c r="AT660" s="102"/>
      <c r="AU660" s="102"/>
      <c r="AV660" s="102"/>
      <c r="AW660" s="102"/>
      <c r="AX660" s="102"/>
      <c r="AY660" s="102"/>
    </row>
    <row r="661" spans="1:5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  <c r="AI661" s="102"/>
      <c r="AJ661" s="102"/>
      <c r="AK661" s="102"/>
      <c r="AL661" s="102"/>
      <c r="AM661" s="102"/>
      <c r="AN661" s="102"/>
      <c r="AO661" s="102"/>
      <c r="AP661" s="102"/>
      <c r="AQ661" s="102"/>
      <c r="AR661" s="102"/>
      <c r="AS661" s="102"/>
      <c r="AT661" s="102"/>
      <c r="AU661" s="102"/>
      <c r="AV661" s="102"/>
      <c r="AW661" s="102"/>
      <c r="AX661" s="102"/>
      <c r="AY661" s="102"/>
    </row>
    <row r="662" spans="1:5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  <c r="AI662" s="102"/>
      <c r="AJ662" s="102"/>
      <c r="AK662" s="102"/>
      <c r="AL662" s="102"/>
      <c r="AM662" s="102"/>
      <c r="AN662" s="102"/>
      <c r="AO662" s="102"/>
      <c r="AP662" s="102"/>
      <c r="AQ662" s="102"/>
      <c r="AR662" s="102"/>
      <c r="AS662" s="102"/>
      <c r="AT662" s="102"/>
      <c r="AU662" s="102"/>
      <c r="AV662" s="102"/>
      <c r="AW662" s="102"/>
      <c r="AX662" s="102"/>
      <c r="AY662" s="102"/>
    </row>
    <row r="663" spans="1:5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  <c r="AI663" s="102"/>
      <c r="AJ663" s="102"/>
      <c r="AK663" s="102"/>
      <c r="AL663" s="102"/>
      <c r="AM663" s="102"/>
      <c r="AN663" s="102"/>
      <c r="AO663" s="102"/>
      <c r="AP663" s="102"/>
      <c r="AQ663" s="102"/>
      <c r="AR663" s="102"/>
      <c r="AS663" s="102"/>
      <c r="AT663" s="102"/>
      <c r="AU663" s="102"/>
      <c r="AV663" s="102"/>
      <c r="AW663" s="102"/>
      <c r="AX663" s="102"/>
      <c r="AY663" s="102"/>
    </row>
    <row r="664" spans="1:5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  <c r="AI664" s="102"/>
      <c r="AJ664" s="102"/>
      <c r="AK664" s="102"/>
      <c r="AL664" s="102"/>
      <c r="AM664" s="102"/>
      <c r="AN664" s="102"/>
      <c r="AO664" s="102"/>
      <c r="AP664" s="102"/>
      <c r="AQ664" s="102"/>
      <c r="AR664" s="102"/>
      <c r="AS664" s="102"/>
      <c r="AT664" s="102"/>
      <c r="AU664" s="102"/>
      <c r="AV664" s="102"/>
      <c r="AW664" s="102"/>
      <c r="AX664" s="102"/>
      <c r="AY664" s="102"/>
    </row>
    <row r="665" spans="1:5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  <c r="AI665" s="102"/>
      <c r="AJ665" s="102"/>
      <c r="AK665" s="102"/>
      <c r="AL665" s="102"/>
      <c r="AM665" s="102"/>
      <c r="AN665" s="102"/>
      <c r="AO665" s="102"/>
      <c r="AP665" s="102"/>
      <c r="AQ665" s="102"/>
      <c r="AR665" s="102"/>
      <c r="AS665" s="102"/>
      <c r="AT665" s="102"/>
      <c r="AU665" s="102"/>
      <c r="AV665" s="102"/>
      <c r="AW665" s="102"/>
      <c r="AX665" s="102"/>
      <c r="AY665" s="102"/>
    </row>
    <row r="666" spans="1:5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  <c r="AI666" s="102"/>
      <c r="AJ666" s="102"/>
      <c r="AK666" s="102"/>
      <c r="AL666" s="102"/>
      <c r="AM666" s="102"/>
      <c r="AN666" s="102"/>
      <c r="AO666" s="102"/>
      <c r="AP666" s="102"/>
      <c r="AQ666" s="102"/>
      <c r="AR666" s="102"/>
      <c r="AS666" s="102"/>
      <c r="AT666" s="102"/>
      <c r="AU666" s="102"/>
      <c r="AV666" s="102"/>
      <c r="AW666" s="102"/>
      <c r="AX666" s="102"/>
      <c r="AY666" s="102"/>
    </row>
    <row r="667" spans="1:5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  <c r="AI667" s="102"/>
      <c r="AJ667" s="102"/>
      <c r="AK667" s="102"/>
      <c r="AL667" s="102"/>
      <c r="AM667" s="102"/>
      <c r="AN667" s="102"/>
      <c r="AO667" s="102"/>
      <c r="AP667" s="102"/>
      <c r="AQ667" s="102"/>
      <c r="AR667" s="102"/>
      <c r="AS667" s="102"/>
      <c r="AT667" s="102"/>
      <c r="AU667" s="102"/>
      <c r="AV667" s="102"/>
      <c r="AW667" s="102"/>
      <c r="AX667" s="102"/>
      <c r="AY667" s="102"/>
    </row>
    <row r="668" spans="1:5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  <c r="AI668" s="102"/>
      <c r="AJ668" s="102"/>
      <c r="AK668" s="102"/>
      <c r="AL668" s="102"/>
      <c r="AM668" s="102"/>
      <c r="AN668" s="102"/>
      <c r="AO668" s="102"/>
      <c r="AP668" s="102"/>
      <c r="AQ668" s="102"/>
      <c r="AR668" s="102"/>
      <c r="AS668" s="102"/>
      <c r="AT668" s="102"/>
      <c r="AU668" s="102"/>
      <c r="AV668" s="102"/>
      <c r="AW668" s="102"/>
      <c r="AX668" s="102"/>
      <c r="AY668" s="102"/>
    </row>
    <row r="669" spans="1:5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  <c r="AI669" s="102"/>
      <c r="AJ669" s="102"/>
      <c r="AK669" s="102"/>
      <c r="AL669" s="102"/>
      <c r="AM669" s="102"/>
      <c r="AN669" s="102"/>
      <c r="AO669" s="102"/>
      <c r="AP669" s="102"/>
      <c r="AQ669" s="102"/>
      <c r="AR669" s="102"/>
      <c r="AS669" s="102"/>
      <c r="AT669" s="102"/>
      <c r="AU669" s="102"/>
      <c r="AV669" s="102"/>
      <c r="AW669" s="102"/>
      <c r="AX669" s="102"/>
      <c r="AY669" s="102"/>
    </row>
    <row r="670" spans="1:5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  <c r="AI670" s="102"/>
      <c r="AJ670" s="102"/>
      <c r="AK670" s="102"/>
      <c r="AL670" s="102"/>
      <c r="AM670" s="102"/>
      <c r="AN670" s="102"/>
      <c r="AO670" s="102"/>
      <c r="AP670" s="102"/>
      <c r="AQ670" s="102"/>
      <c r="AR670" s="102"/>
      <c r="AS670" s="102"/>
      <c r="AT670" s="102"/>
      <c r="AU670" s="102"/>
      <c r="AV670" s="102"/>
      <c r="AW670" s="102"/>
      <c r="AX670" s="102"/>
      <c r="AY670" s="102"/>
    </row>
    <row r="671" spans="1:5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  <c r="AI671" s="102"/>
      <c r="AJ671" s="102"/>
      <c r="AK671" s="102"/>
      <c r="AL671" s="102"/>
      <c r="AM671" s="102"/>
      <c r="AN671" s="102"/>
      <c r="AO671" s="102"/>
      <c r="AP671" s="102"/>
      <c r="AQ671" s="102"/>
      <c r="AR671" s="102"/>
      <c r="AS671" s="102"/>
      <c r="AT671" s="102"/>
      <c r="AU671" s="102"/>
      <c r="AV671" s="102"/>
      <c r="AW671" s="102"/>
      <c r="AX671" s="102"/>
      <c r="AY671" s="102"/>
    </row>
    <row r="672" spans="1:5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  <c r="AI672" s="102"/>
      <c r="AJ672" s="102"/>
      <c r="AK672" s="102"/>
      <c r="AL672" s="102"/>
      <c r="AM672" s="102"/>
      <c r="AN672" s="102"/>
      <c r="AO672" s="102"/>
      <c r="AP672" s="102"/>
      <c r="AQ672" s="102"/>
      <c r="AR672" s="102"/>
      <c r="AS672" s="102"/>
      <c r="AT672" s="102"/>
      <c r="AU672" s="102"/>
      <c r="AV672" s="102"/>
      <c r="AW672" s="102"/>
      <c r="AX672" s="102"/>
      <c r="AY672" s="102"/>
    </row>
    <row r="673" spans="1:5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  <c r="AI673" s="102"/>
      <c r="AJ673" s="102"/>
      <c r="AK673" s="102"/>
      <c r="AL673" s="102"/>
      <c r="AM673" s="102"/>
      <c r="AN673" s="102"/>
      <c r="AO673" s="102"/>
      <c r="AP673" s="102"/>
      <c r="AQ673" s="102"/>
      <c r="AR673" s="102"/>
      <c r="AS673" s="102"/>
      <c r="AT673" s="102"/>
      <c r="AU673" s="102"/>
      <c r="AV673" s="102"/>
      <c r="AW673" s="102"/>
      <c r="AX673" s="102"/>
      <c r="AY673" s="102"/>
    </row>
    <row r="674" spans="1:5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  <c r="AI674" s="102"/>
      <c r="AJ674" s="102"/>
      <c r="AK674" s="102"/>
      <c r="AL674" s="102"/>
      <c r="AM674" s="102"/>
      <c r="AN674" s="102"/>
      <c r="AO674" s="102"/>
      <c r="AP674" s="102"/>
      <c r="AQ674" s="102"/>
      <c r="AR674" s="102"/>
      <c r="AS674" s="102"/>
      <c r="AT674" s="102"/>
      <c r="AU674" s="102"/>
      <c r="AV674" s="102"/>
      <c r="AW674" s="102"/>
      <c r="AX674" s="102"/>
      <c r="AY674" s="102"/>
    </row>
    <row r="675" spans="1:5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  <c r="AI675" s="102"/>
      <c r="AJ675" s="102"/>
      <c r="AK675" s="102"/>
      <c r="AL675" s="102"/>
      <c r="AM675" s="102"/>
      <c r="AN675" s="102"/>
      <c r="AO675" s="102"/>
      <c r="AP675" s="102"/>
      <c r="AQ675" s="102"/>
      <c r="AR675" s="102"/>
      <c r="AS675" s="102"/>
      <c r="AT675" s="102"/>
      <c r="AU675" s="102"/>
      <c r="AV675" s="102"/>
      <c r="AW675" s="102"/>
      <c r="AX675" s="102"/>
      <c r="AY675" s="102"/>
    </row>
    <row r="676" spans="1:5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  <c r="AI676" s="102"/>
      <c r="AJ676" s="102"/>
      <c r="AK676" s="102"/>
      <c r="AL676" s="102"/>
      <c r="AM676" s="102"/>
      <c r="AN676" s="102"/>
      <c r="AO676" s="102"/>
      <c r="AP676" s="102"/>
      <c r="AQ676" s="102"/>
      <c r="AR676" s="102"/>
      <c r="AS676" s="102"/>
      <c r="AT676" s="102"/>
      <c r="AU676" s="102"/>
      <c r="AV676" s="102"/>
      <c r="AW676" s="102"/>
      <c r="AX676" s="102"/>
      <c r="AY676" s="102"/>
    </row>
    <row r="677" spans="1:5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  <c r="AI677" s="102"/>
      <c r="AJ677" s="102"/>
      <c r="AK677" s="102"/>
      <c r="AL677" s="102"/>
      <c r="AM677" s="102"/>
      <c r="AN677" s="102"/>
      <c r="AO677" s="102"/>
      <c r="AP677" s="102"/>
      <c r="AQ677" s="102"/>
      <c r="AR677" s="102"/>
      <c r="AS677" s="102"/>
      <c r="AT677" s="102"/>
      <c r="AU677" s="102"/>
      <c r="AV677" s="102"/>
      <c r="AW677" s="102"/>
      <c r="AX677" s="102"/>
      <c r="AY677" s="102"/>
    </row>
    <row r="678" spans="1:5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  <c r="AI678" s="102"/>
      <c r="AJ678" s="102"/>
      <c r="AK678" s="102"/>
      <c r="AL678" s="102"/>
      <c r="AM678" s="102"/>
      <c r="AN678" s="102"/>
      <c r="AO678" s="102"/>
      <c r="AP678" s="102"/>
      <c r="AQ678" s="102"/>
      <c r="AR678" s="102"/>
      <c r="AS678" s="102"/>
      <c r="AT678" s="102"/>
      <c r="AU678" s="102"/>
      <c r="AV678" s="102"/>
      <c r="AW678" s="102"/>
      <c r="AX678" s="102"/>
      <c r="AY678" s="102"/>
    </row>
    <row r="679" spans="1:5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  <c r="AI679" s="102"/>
      <c r="AJ679" s="102"/>
      <c r="AK679" s="102"/>
      <c r="AL679" s="102"/>
      <c r="AM679" s="102"/>
      <c r="AN679" s="102"/>
      <c r="AO679" s="102"/>
      <c r="AP679" s="102"/>
      <c r="AQ679" s="102"/>
      <c r="AR679" s="102"/>
      <c r="AS679" s="102"/>
      <c r="AT679" s="102"/>
      <c r="AU679" s="102"/>
      <c r="AV679" s="102"/>
      <c r="AW679" s="102"/>
      <c r="AX679" s="102"/>
      <c r="AY679" s="102"/>
    </row>
    <row r="680" spans="1:5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  <c r="AI680" s="102"/>
      <c r="AJ680" s="102"/>
      <c r="AK680" s="102"/>
      <c r="AL680" s="102"/>
      <c r="AM680" s="102"/>
      <c r="AN680" s="102"/>
      <c r="AO680" s="102"/>
      <c r="AP680" s="102"/>
      <c r="AQ680" s="102"/>
      <c r="AR680" s="102"/>
      <c r="AS680" s="102"/>
      <c r="AT680" s="102"/>
      <c r="AU680" s="102"/>
      <c r="AV680" s="102"/>
      <c r="AW680" s="102"/>
      <c r="AX680" s="102"/>
      <c r="AY680" s="102"/>
    </row>
    <row r="681" spans="1:5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  <c r="AI681" s="102"/>
      <c r="AJ681" s="102"/>
      <c r="AK681" s="102"/>
      <c r="AL681" s="102"/>
      <c r="AM681" s="102"/>
      <c r="AN681" s="102"/>
      <c r="AO681" s="102"/>
      <c r="AP681" s="102"/>
      <c r="AQ681" s="102"/>
      <c r="AR681" s="102"/>
      <c r="AS681" s="102"/>
      <c r="AT681" s="102"/>
      <c r="AU681" s="102"/>
      <c r="AV681" s="102"/>
      <c r="AW681" s="102"/>
      <c r="AX681" s="102"/>
      <c r="AY681" s="102"/>
    </row>
    <row r="682" spans="1:5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  <c r="AI682" s="102"/>
      <c r="AJ682" s="102"/>
      <c r="AK682" s="102"/>
      <c r="AL682" s="102"/>
      <c r="AM682" s="102"/>
      <c r="AN682" s="102"/>
      <c r="AO682" s="102"/>
      <c r="AP682" s="102"/>
      <c r="AQ682" s="102"/>
      <c r="AR682" s="102"/>
      <c r="AS682" s="102"/>
      <c r="AT682" s="102"/>
      <c r="AU682" s="102"/>
      <c r="AV682" s="102"/>
      <c r="AW682" s="102"/>
      <c r="AX682" s="102"/>
      <c r="AY682" s="102"/>
    </row>
    <row r="683" spans="1:5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  <c r="AI683" s="102"/>
      <c r="AJ683" s="102"/>
      <c r="AK683" s="102"/>
      <c r="AL683" s="102"/>
      <c r="AM683" s="102"/>
      <c r="AN683" s="102"/>
      <c r="AO683" s="102"/>
      <c r="AP683" s="102"/>
      <c r="AQ683" s="102"/>
      <c r="AR683" s="102"/>
      <c r="AS683" s="102"/>
      <c r="AT683" s="102"/>
      <c r="AU683" s="102"/>
      <c r="AV683" s="102"/>
      <c r="AW683" s="102"/>
      <c r="AX683" s="102"/>
      <c r="AY683" s="102"/>
    </row>
    <row r="684" spans="1:5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  <c r="AI684" s="102"/>
      <c r="AJ684" s="102"/>
      <c r="AK684" s="102"/>
      <c r="AL684" s="102"/>
      <c r="AM684" s="102"/>
      <c r="AN684" s="102"/>
      <c r="AO684" s="102"/>
      <c r="AP684" s="102"/>
      <c r="AQ684" s="102"/>
      <c r="AR684" s="102"/>
      <c r="AS684" s="102"/>
      <c r="AT684" s="102"/>
      <c r="AU684" s="102"/>
      <c r="AV684" s="102"/>
      <c r="AW684" s="102"/>
      <c r="AX684" s="102"/>
      <c r="AY684" s="102"/>
    </row>
    <row r="685" spans="1:5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  <c r="AI685" s="102"/>
      <c r="AJ685" s="102"/>
      <c r="AK685" s="102"/>
      <c r="AL685" s="102"/>
      <c r="AM685" s="102"/>
      <c r="AN685" s="102"/>
      <c r="AO685" s="102"/>
      <c r="AP685" s="102"/>
      <c r="AQ685" s="102"/>
      <c r="AR685" s="102"/>
      <c r="AS685" s="102"/>
      <c r="AT685" s="102"/>
      <c r="AU685" s="102"/>
      <c r="AV685" s="102"/>
      <c r="AW685" s="102"/>
      <c r="AX685" s="102"/>
      <c r="AY685" s="102"/>
    </row>
    <row r="686" spans="1:5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  <c r="AI686" s="102"/>
      <c r="AJ686" s="102"/>
      <c r="AK686" s="102"/>
      <c r="AL686" s="102"/>
      <c r="AM686" s="102"/>
      <c r="AN686" s="102"/>
      <c r="AO686" s="102"/>
      <c r="AP686" s="102"/>
      <c r="AQ686" s="102"/>
      <c r="AR686" s="102"/>
      <c r="AS686" s="102"/>
      <c r="AT686" s="102"/>
      <c r="AU686" s="102"/>
      <c r="AV686" s="102"/>
      <c r="AW686" s="102"/>
      <c r="AX686" s="102"/>
      <c r="AY686" s="102"/>
    </row>
    <row r="687" spans="1:5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  <c r="AI687" s="102"/>
      <c r="AJ687" s="102"/>
      <c r="AK687" s="102"/>
      <c r="AL687" s="102"/>
      <c r="AM687" s="102"/>
      <c r="AN687" s="102"/>
      <c r="AO687" s="102"/>
      <c r="AP687" s="102"/>
      <c r="AQ687" s="102"/>
      <c r="AR687" s="102"/>
      <c r="AS687" s="102"/>
      <c r="AT687" s="102"/>
      <c r="AU687" s="102"/>
      <c r="AV687" s="102"/>
      <c r="AW687" s="102"/>
      <c r="AX687" s="102"/>
      <c r="AY687" s="102"/>
    </row>
    <row r="688" spans="1:5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  <c r="AH688" s="102"/>
      <c r="AI688" s="102"/>
      <c r="AJ688" s="102"/>
      <c r="AK688" s="102"/>
      <c r="AL688" s="102"/>
      <c r="AM688" s="102"/>
      <c r="AN688" s="102"/>
      <c r="AO688" s="102"/>
      <c r="AP688" s="102"/>
      <c r="AQ688" s="102"/>
      <c r="AR688" s="102"/>
      <c r="AS688" s="102"/>
      <c r="AT688" s="102"/>
      <c r="AU688" s="102"/>
      <c r="AV688" s="102"/>
      <c r="AW688" s="102"/>
      <c r="AX688" s="102"/>
      <c r="AY688" s="102"/>
    </row>
    <row r="689" spans="1:5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  <c r="AI689" s="102"/>
      <c r="AJ689" s="102"/>
      <c r="AK689" s="102"/>
      <c r="AL689" s="102"/>
      <c r="AM689" s="102"/>
      <c r="AN689" s="102"/>
      <c r="AO689" s="102"/>
      <c r="AP689" s="102"/>
      <c r="AQ689" s="102"/>
      <c r="AR689" s="102"/>
      <c r="AS689" s="102"/>
      <c r="AT689" s="102"/>
      <c r="AU689" s="102"/>
      <c r="AV689" s="102"/>
      <c r="AW689" s="102"/>
      <c r="AX689" s="102"/>
      <c r="AY689" s="102"/>
    </row>
    <row r="690" spans="1:5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  <c r="AI690" s="102"/>
      <c r="AJ690" s="102"/>
      <c r="AK690" s="102"/>
      <c r="AL690" s="102"/>
      <c r="AM690" s="102"/>
      <c r="AN690" s="102"/>
      <c r="AO690" s="102"/>
      <c r="AP690" s="102"/>
      <c r="AQ690" s="102"/>
      <c r="AR690" s="102"/>
      <c r="AS690" s="102"/>
      <c r="AT690" s="102"/>
      <c r="AU690" s="102"/>
      <c r="AV690" s="102"/>
      <c r="AW690" s="102"/>
      <c r="AX690" s="102"/>
      <c r="AY690" s="102"/>
    </row>
    <row r="691" spans="1:5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  <c r="AI691" s="102"/>
      <c r="AJ691" s="102"/>
      <c r="AK691" s="102"/>
      <c r="AL691" s="102"/>
      <c r="AM691" s="102"/>
      <c r="AN691" s="102"/>
      <c r="AO691" s="102"/>
      <c r="AP691" s="102"/>
      <c r="AQ691" s="102"/>
      <c r="AR691" s="102"/>
      <c r="AS691" s="102"/>
      <c r="AT691" s="102"/>
      <c r="AU691" s="102"/>
      <c r="AV691" s="102"/>
      <c r="AW691" s="102"/>
      <c r="AX691" s="102"/>
      <c r="AY691" s="102"/>
    </row>
    <row r="692" spans="1:5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  <c r="AH692" s="102"/>
      <c r="AI692" s="102"/>
      <c r="AJ692" s="102"/>
      <c r="AK692" s="102"/>
      <c r="AL692" s="102"/>
      <c r="AM692" s="102"/>
      <c r="AN692" s="102"/>
      <c r="AO692" s="102"/>
      <c r="AP692" s="102"/>
      <c r="AQ692" s="102"/>
      <c r="AR692" s="102"/>
      <c r="AS692" s="102"/>
      <c r="AT692" s="102"/>
      <c r="AU692" s="102"/>
      <c r="AV692" s="102"/>
      <c r="AW692" s="102"/>
      <c r="AX692" s="102"/>
      <c r="AY692" s="102"/>
    </row>
    <row r="693" spans="1:5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  <c r="AH693" s="102"/>
      <c r="AI693" s="102"/>
      <c r="AJ693" s="102"/>
      <c r="AK693" s="102"/>
      <c r="AL693" s="102"/>
      <c r="AM693" s="102"/>
      <c r="AN693" s="102"/>
      <c r="AO693" s="102"/>
      <c r="AP693" s="102"/>
      <c r="AQ693" s="102"/>
      <c r="AR693" s="102"/>
      <c r="AS693" s="102"/>
      <c r="AT693" s="102"/>
      <c r="AU693" s="102"/>
      <c r="AV693" s="102"/>
      <c r="AW693" s="102"/>
      <c r="AX693" s="102"/>
      <c r="AY693" s="102"/>
    </row>
    <row r="694" spans="1:5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  <c r="AH694" s="102"/>
      <c r="AI694" s="102"/>
      <c r="AJ694" s="102"/>
      <c r="AK694" s="102"/>
      <c r="AL694" s="102"/>
      <c r="AM694" s="102"/>
      <c r="AN694" s="102"/>
      <c r="AO694" s="102"/>
      <c r="AP694" s="102"/>
      <c r="AQ694" s="102"/>
      <c r="AR694" s="102"/>
      <c r="AS694" s="102"/>
      <c r="AT694" s="102"/>
      <c r="AU694" s="102"/>
      <c r="AV694" s="102"/>
      <c r="AW694" s="102"/>
      <c r="AX694" s="102"/>
      <c r="AY694" s="102"/>
    </row>
    <row r="695" spans="1:5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02"/>
      <c r="AI695" s="102"/>
      <c r="AJ695" s="102"/>
      <c r="AK695" s="102"/>
      <c r="AL695" s="102"/>
      <c r="AM695" s="102"/>
      <c r="AN695" s="102"/>
      <c r="AO695" s="102"/>
      <c r="AP695" s="102"/>
      <c r="AQ695" s="102"/>
      <c r="AR695" s="102"/>
      <c r="AS695" s="102"/>
      <c r="AT695" s="102"/>
      <c r="AU695" s="102"/>
      <c r="AV695" s="102"/>
      <c r="AW695" s="102"/>
      <c r="AX695" s="102"/>
      <c r="AY695" s="102"/>
    </row>
    <row r="696" spans="1:5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  <c r="AI696" s="102"/>
      <c r="AJ696" s="102"/>
      <c r="AK696" s="102"/>
      <c r="AL696" s="102"/>
      <c r="AM696" s="102"/>
      <c r="AN696" s="102"/>
      <c r="AO696" s="102"/>
      <c r="AP696" s="102"/>
      <c r="AQ696" s="102"/>
      <c r="AR696" s="102"/>
      <c r="AS696" s="102"/>
      <c r="AT696" s="102"/>
      <c r="AU696" s="102"/>
      <c r="AV696" s="102"/>
      <c r="AW696" s="102"/>
      <c r="AX696" s="102"/>
      <c r="AY696" s="102"/>
    </row>
    <row r="697" spans="1:5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  <c r="AH697" s="102"/>
      <c r="AI697" s="102"/>
      <c r="AJ697" s="102"/>
      <c r="AK697" s="102"/>
      <c r="AL697" s="102"/>
      <c r="AM697" s="102"/>
      <c r="AN697" s="102"/>
      <c r="AO697" s="102"/>
      <c r="AP697" s="102"/>
      <c r="AQ697" s="102"/>
      <c r="AR697" s="102"/>
      <c r="AS697" s="102"/>
      <c r="AT697" s="102"/>
      <c r="AU697" s="102"/>
      <c r="AV697" s="102"/>
      <c r="AW697" s="102"/>
      <c r="AX697" s="102"/>
      <c r="AY697" s="102"/>
    </row>
    <row r="698" spans="1:5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  <c r="AI698" s="102"/>
      <c r="AJ698" s="102"/>
      <c r="AK698" s="102"/>
      <c r="AL698" s="102"/>
      <c r="AM698" s="102"/>
      <c r="AN698" s="102"/>
      <c r="AO698" s="102"/>
      <c r="AP698" s="102"/>
      <c r="AQ698" s="102"/>
      <c r="AR698" s="102"/>
      <c r="AS698" s="102"/>
      <c r="AT698" s="102"/>
      <c r="AU698" s="102"/>
      <c r="AV698" s="102"/>
      <c r="AW698" s="102"/>
      <c r="AX698" s="102"/>
      <c r="AY698" s="102"/>
    </row>
    <row r="699" spans="1:5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  <c r="AH699" s="102"/>
      <c r="AI699" s="102"/>
      <c r="AJ699" s="102"/>
      <c r="AK699" s="102"/>
      <c r="AL699" s="102"/>
      <c r="AM699" s="102"/>
      <c r="AN699" s="102"/>
      <c r="AO699" s="102"/>
      <c r="AP699" s="102"/>
      <c r="AQ699" s="102"/>
      <c r="AR699" s="102"/>
      <c r="AS699" s="102"/>
      <c r="AT699" s="102"/>
      <c r="AU699" s="102"/>
      <c r="AV699" s="102"/>
      <c r="AW699" s="102"/>
      <c r="AX699" s="102"/>
      <c r="AY699" s="102"/>
    </row>
    <row r="700" spans="1:5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  <c r="AH700" s="102"/>
      <c r="AI700" s="102"/>
      <c r="AJ700" s="102"/>
      <c r="AK700" s="102"/>
      <c r="AL700" s="102"/>
      <c r="AM700" s="102"/>
      <c r="AN700" s="102"/>
      <c r="AO700" s="102"/>
      <c r="AP700" s="102"/>
      <c r="AQ700" s="102"/>
      <c r="AR700" s="102"/>
      <c r="AS700" s="102"/>
      <c r="AT700" s="102"/>
      <c r="AU700" s="102"/>
      <c r="AV700" s="102"/>
      <c r="AW700" s="102"/>
      <c r="AX700" s="102"/>
      <c r="AY700" s="102"/>
    </row>
    <row r="701" spans="1:5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  <c r="AI701" s="102"/>
      <c r="AJ701" s="102"/>
      <c r="AK701" s="102"/>
      <c r="AL701" s="102"/>
      <c r="AM701" s="102"/>
      <c r="AN701" s="102"/>
      <c r="AO701" s="102"/>
      <c r="AP701" s="102"/>
      <c r="AQ701" s="102"/>
      <c r="AR701" s="102"/>
      <c r="AS701" s="102"/>
      <c r="AT701" s="102"/>
      <c r="AU701" s="102"/>
      <c r="AV701" s="102"/>
      <c r="AW701" s="102"/>
      <c r="AX701" s="102"/>
      <c r="AY701" s="102"/>
    </row>
    <row r="702" spans="1:5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  <c r="AI702" s="102"/>
      <c r="AJ702" s="102"/>
      <c r="AK702" s="102"/>
      <c r="AL702" s="102"/>
      <c r="AM702" s="102"/>
      <c r="AN702" s="102"/>
      <c r="AO702" s="102"/>
      <c r="AP702" s="102"/>
      <c r="AQ702" s="102"/>
      <c r="AR702" s="102"/>
      <c r="AS702" s="102"/>
      <c r="AT702" s="102"/>
      <c r="AU702" s="102"/>
      <c r="AV702" s="102"/>
      <c r="AW702" s="102"/>
      <c r="AX702" s="102"/>
      <c r="AY702" s="102"/>
    </row>
    <row r="703" spans="1:5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  <c r="AI703" s="102"/>
      <c r="AJ703" s="102"/>
      <c r="AK703" s="102"/>
      <c r="AL703" s="102"/>
      <c r="AM703" s="102"/>
      <c r="AN703" s="102"/>
      <c r="AO703" s="102"/>
      <c r="AP703" s="102"/>
      <c r="AQ703" s="102"/>
      <c r="AR703" s="102"/>
      <c r="AS703" s="102"/>
      <c r="AT703" s="102"/>
      <c r="AU703" s="102"/>
      <c r="AV703" s="102"/>
      <c r="AW703" s="102"/>
      <c r="AX703" s="102"/>
      <c r="AY703" s="102"/>
    </row>
    <row r="704" spans="1:5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  <c r="AI704" s="102"/>
      <c r="AJ704" s="102"/>
      <c r="AK704" s="102"/>
      <c r="AL704" s="102"/>
      <c r="AM704" s="102"/>
      <c r="AN704" s="102"/>
      <c r="AO704" s="102"/>
      <c r="AP704" s="102"/>
      <c r="AQ704" s="102"/>
      <c r="AR704" s="102"/>
      <c r="AS704" s="102"/>
      <c r="AT704" s="102"/>
      <c r="AU704" s="102"/>
      <c r="AV704" s="102"/>
      <c r="AW704" s="102"/>
      <c r="AX704" s="102"/>
      <c r="AY704" s="102"/>
    </row>
    <row r="705" spans="1:5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  <c r="AI705" s="102"/>
      <c r="AJ705" s="102"/>
      <c r="AK705" s="102"/>
      <c r="AL705" s="102"/>
      <c r="AM705" s="102"/>
      <c r="AN705" s="102"/>
      <c r="AO705" s="102"/>
      <c r="AP705" s="102"/>
      <c r="AQ705" s="102"/>
      <c r="AR705" s="102"/>
      <c r="AS705" s="102"/>
      <c r="AT705" s="102"/>
      <c r="AU705" s="102"/>
      <c r="AV705" s="102"/>
      <c r="AW705" s="102"/>
      <c r="AX705" s="102"/>
      <c r="AY705" s="102"/>
    </row>
    <row r="706" spans="1:5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  <c r="AI706" s="102"/>
      <c r="AJ706" s="102"/>
      <c r="AK706" s="102"/>
      <c r="AL706" s="102"/>
      <c r="AM706" s="102"/>
      <c r="AN706" s="102"/>
      <c r="AO706" s="102"/>
      <c r="AP706" s="102"/>
      <c r="AQ706" s="102"/>
      <c r="AR706" s="102"/>
      <c r="AS706" s="102"/>
      <c r="AT706" s="102"/>
      <c r="AU706" s="102"/>
      <c r="AV706" s="102"/>
      <c r="AW706" s="102"/>
      <c r="AX706" s="102"/>
      <c r="AY706" s="102"/>
    </row>
    <row r="707" spans="1:5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  <c r="AI707" s="102"/>
      <c r="AJ707" s="102"/>
      <c r="AK707" s="102"/>
      <c r="AL707" s="102"/>
      <c r="AM707" s="102"/>
      <c r="AN707" s="102"/>
      <c r="AO707" s="102"/>
      <c r="AP707" s="102"/>
      <c r="AQ707" s="102"/>
      <c r="AR707" s="102"/>
      <c r="AS707" s="102"/>
      <c r="AT707" s="102"/>
      <c r="AU707" s="102"/>
      <c r="AV707" s="102"/>
      <c r="AW707" s="102"/>
      <c r="AX707" s="102"/>
      <c r="AY707" s="102"/>
    </row>
    <row r="708" spans="1:5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  <c r="AI708" s="102"/>
      <c r="AJ708" s="102"/>
      <c r="AK708" s="102"/>
      <c r="AL708" s="102"/>
      <c r="AM708" s="102"/>
      <c r="AN708" s="102"/>
      <c r="AO708" s="102"/>
      <c r="AP708" s="102"/>
      <c r="AQ708" s="102"/>
      <c r="AR708" s="102"/>
      <c r="AS708" s="102"/>
      <c r="AT708" s="102"/>
      <c r="AU708" s="102"/>
      <c r="AV708" s="102"/>
      <c r="AW708" s="102"/>
      <c r="AX708" s="102"/>
      <c r="AY708" s="102"/>
    </row>
    <row r="709" spans="1:5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  <c r="AI709" s="102"/>
      <c r="AJ709" s="102"/>
      <c r="AK709" s="102"/>
      <c r="AL709" s="102"/>
      <c r="AM709" s="102"/>
      <c r="AN709" s="102"/>
      <c r="AO709" s="102"/>
      <c r="AP709" s="102"/>
      <c r="AQ709" s="102"/>
      <c r="AR709" s="102"/>
      <c r="AS709" s="102"/>
      <c r="AT709" s="102"/>
      <c r="AU709" s="102"/>
      <c r="AV709" s="102"/>
      <c r="AW709" s="102"/>
      <c r="AX709" s="102"/>
      <c r="AY709" s="102"/>
    </row>
    <row r="710" spans="1:5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  <c r="AI710" s="102"/>
      <c r="AJ710" s="102"/>
      <c r="AK710" s="102"/>
      <c r="AL710" s="102"/>
      <c r="AM710" s="102"/>
      <c r="AN710" s="102"/>
      <c r="AO710" s="102"/>
      <c r="AP710" s="102"/>
      <c r="AQ710" s="102"/>
      <c r="AR710" s="102"/>
      <c r="AS710" s="102"/>
      <c r="AT710" s="102"/>
      <c r="AU710" s="102"/>
      <c r="AV710" s="102"/>
      <c r="AW710" s="102"/>
      <c r="AX710" s="102"/>
      <c r="AY710" s="102"/>
    </row>
    <row r="711" spans="1:5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  <c r="AI711" s="102"/>
      <c r="AJ711" s="102"/>
      <c r="AK711" s="102"/>
      <c r="AL711" s="102"/>
      <c r="AM711" s="102"/>
      <c r="AN711" s="102"/>
      <c r="AO711" s="102"/>
      <c r="AP711" s="102"/>
      <c r="AQ711" s="102"/>
      <c r="AR711" s="102"/>
      <c r="AS711" s="102"/>
      <c r="AT711" s="102"/>
      <c r="AU711" s="102"/>
      <c r="AV711" s="102"/>
      <c r="AW711" s="102"/>
      <c r="AX711" s="102"/>
      <c r="AY711" s="102"/>
    </row>
    <row r="712" spans="1:5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  <c r="AI712" s="102"/>
      <c r="AJ712" s="102"/>
      <c r="AK712" s="102"/>
      <c r="AL712" s="102"/>
      <c r="AM712" s="102"/>
      <c r="AN712" s="102"/>
      <c r="AO712" s="102"/>
      <c r="AP712" s="102"/>
      <c r="AQ712" s="102"/>
      <c r="AR712" s="102"/>
      <c r="AS712" s="102"/>
      <c r="AT712" s="102"/>
      <c r="AU712" s="102"/>
      <c r="AV712" s="102"/>
      <c r="AW712" s="102"/>
      <c r="AX712" s="102"/>
      <c r="AY712" s="102"/>
    </row>
    <row r="713" spans="1:5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  <c r="AI713" s="102"/>
      <c r="AJ713" s="102"/>
      <c r="AK713" s="102"/>
      <c r="AL713" s="102"/>
      <c r="AM713" s="102"/>
      <c r="AN713" s="102"/>
      <c r="AO713" s="102"/>
      <c r="AP713" s="102"/>
      <c r="AQ713" s="102"/>
      <c r="AR713" s="102"/>
      <c r="AS713" s="102"/>
      <c r="AT713" s="102"/>
      <c r="AU713" s="102"/>
      <c r="AV713" s="102"/>
      <c r="AW713" s="102"/>
      <c r="AX713" s="102"/>
      <c r="AY713" s="102"/>
    </row>
    <row r="714" spans="1:5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  <c r="AI714" s="102"/>
      <c r="AJ714" s="102"/>
      <c r="AK714" s="102"/>
      <c r="AL714" s="102"/>
      <c r="AM714" s="102"/>
      <c r="AN714" s="102"/>
      <c r="AO714" s="102"/>
      <c r="AP714" s="102"/>
      <c r="AQ714" s="102"/>
      <c r="AR714" s="102"/>
      <c r="AS714" s="102"/>
      <c r="AT714" s="102"/>
      <c r="AU714" s="102"/>
      <c r="AV714" s="102"/>
      <c r="AW714" s="102"/>
      <c r="AX714" s="102"/>
      <c r="AY714" s="102"/>
    </row>
    <row r="715" spans="1:5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  <c r="AI715" s="102"/>
      <c r="AJ715" s="102"/>
      <c r="AK715" s="102"/>
      <c r="AL715" s="102"/>
      <c r="AM715" s="102"/>
      <c r="AN715" s="102"/>
      <c r="AO715" s="102"/>
      <c r="AP715" s="102"/>
      <c r="AQ715" s="102"/>
      <c r="AR715" s="102"/>
      <c r="AS715" s="102"/>
      <c r="AT715" s="102"/>
      <c r="AU715" s="102"/>
      <c r="AV715" s="102"/>
      <c r="AW715" s="102"/>
      <c r="AX715" s="102"/>
      <c r="AY715" s="102"/>
    </row>
    <row r="716" spans="1:5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  <c r="AI716" s="102"/>
      <c r="AJ716" s="102"/>
      <c r="AK716" s="102"/>
      <c r="AL716" s="102"/>
      <c r="AM716" s="102"/>
      <c r="AN716" s="102"/>
      <c r="AO716" s="102"/>
      <c r="AP716" s="102"/>
      <c r="AQ716" s="102"/>
      <c r="AR716" s="102"/>
      <c r="AS716" s="102"/>
      <c r="AT716" s="102"/>
      <c r="AU716" s="102"/>
      <c r="AV716" s="102"/>
      <c r="AW716" s="102"/>
      <c r="AX716" s="102"/>
      <c r="AY716" s="102"/>
    </row>
    <row r="717" spans="1:5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  <c r="AI717" s="102"/>
      <c r="AJ717" s="102"/>
      <c r="AK717" s="102"/>
      <c r="AL717" s="102"/>
      <c r="AM717" s="102"/>
      <c r="AN717" s="102"/>
      <c r="AO717" s="102"/>
      <c r="AP717" s="102"/>
      <c r="AQ717" s="102"/>
      <c r="AR717" s="102"/>
      <c r="AS717" s="102"/>
      <c r="AT717" s="102"/>
      <c r="AU717" s="102"/>
      <c r="AV717" s="102"/>
      <c r="AW717" s="102"/>
      <c r="AX717" s="102"/>
      <c r="AY717" s="102"/>
    </row>
    <row r="718" spans="1:5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  <c r="AI718" s="102"/>
      <c r="AJ718" s="102"/>
      <c r="AK718" s="102"/>
      <c r="AL718" s="102"/>
      <c r="AM718" s="102"/>
      <c r="AN718" s="102"/>
      <c r="AO718" s="102"/>
      <c r="AP718" s="102"/>
      <c r="AQ718" s="102"/>
      <c r="AR718" s="102"/>
      <c r="AS718" s="102"/>
      <c r="AT718" s="102"/>
      <c r="AU718" s="102"/>
      <c r="AV718" s="102"/>
      <c r="AW718" s="102"/>
      <c r="AX718" s="102"/>
      <c r="AY718" s="102"/>
    </row>
    <row r="719" spans="1:5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  <c r="AI719" s="102"/>
      <c r="AJ719" s="102"/>
      <c r="AK719" s="102"/>
      <c r="AL719" s="102"/>
      <c r="AM719" s="102"/>
      <c r="AN719" s="102"/>
      <c r="AO719" s="102"/>
      <c r="AP719" s="102"/>
      <c r="AQ719" s="102"/>
      <c r="AR719" s="102"/>
      <c r="AS719" s="102"/>
      <c r="AT719" s="102"/>
      <c r="AU719" s="102"/>
      <c r="AV719" s="102"/>
      <c r="AW719" s="102"/>
      <c r="AX719" s="102"/>
      <c r="AY719" s="102"/>
    </row>
    <row r="720" spans="1:5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  <c r="AI720" s="102"/>
      <c r="AJ720" s="102"/>
      <c r="AK720" s="102"/>
      <c r="AL720" s="102"/>
      <c r="AM720" s="102"/>
      <c r="AN720" s="102"/>
      <c r="AO720" s="102"/>
      <c r="AP720" s="102"/>
      <c r="AQ720" s="102"/>
      <c r="AR720" s="102"/>
      <c r="AS720" s="102"/>
      <c r="AT720" s="102"/>
      <c r="AU720" s="102"/>
      <c r="AV720" s="102"/>
      <c r="AW720" s="102"/>
      <c r="AX720" s="102"/>
      <c r="AY720" s="102"/>
    </row>
    <row r="721" spans="1:5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  <c r="AI721" s="102"/>
      <c r="AJ721" s="102"/>
      <c r="AK721" s="102"/>
      <c r="AL721" s="102"/>
      <c r="AM721" s="102"/>
      <c r="AN721" s="102"/>
      <c r="AO721" s="102"/>
      <c r="AP721" s="102"/>
      <c r="AQ721" s="102"/>
      <c r="AR721" s="102"/>
      <c r="AS721" s="102"/>
      <c r="AT721" s="102"/>
      <c r="AU721" s="102"/>
      <c r="AV721" s="102"/>
      <c r="AW721" s="102"/>
      <c r="AX721" s="102"/>
      <c r="AY721" s="102"/>
    </row>
    <row r="722" spans="1:5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  <c r="AI722" s="102"/>
      <c r="AJ722" s="102"/>
      <c r="AK722" s="102"/>
      <c r="AL722" s="102"/>
      <c r="AM722" s="102"/>
      <c r="AN722" s="102"/>
      <c r="AO722" s="102"/>
      <c r="AP722" s="102"/>
      <c r="AQ722" s="102"/>
      <c r="AR722" s="102"/>
      <c r="AS722" s="102"/>
      <c r="AT722" s="102"/>
      <c r="AU722" s="102"/>
      <c r="AV722" s="102"/>
      <c r="AW722" s="102"/>
      <c r="AX722" s="102"/>
      <c r="AY722" s="102"/>
    </row>
    <row r="723" spans="1:5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  <c r="AI723" s="102"/>
      <c r="AJ723" s="102"/>
      <c r="AK723" s="102"/>
      <c r="AL723" s="102"/>
      <c r="AM723" s="102"/>
      <c r="AN723" s="102"/>
      <c r="AO723" s="102"/>
      <c r="AP723" s="102"/>
      <c r="AQ723" s="102"/>
      <c r="AR723" s="102"/>
      <c r="AS723" s="102"/>
      <c r="AT723" s="102"/>
      <c r="AU723" s="102"/>
      <c r="AV723" s="102"/>
      <c r="AW723" s="102"/>
      <c r="AX723" s="102"/>
      <c r="AY723" s="102"/>
    </row>
    <row r="724" spans="1:5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  <c r="AI724" s="102"/>
      <c r="AJ724" s="102"/>
      <c r="AK724" s="102"/>
      <c r="AL724" s="102"/>
      <c r="AM724" s="102"/>
      <c r="AN724" s="102"/>
      <c r="AO724" s="102"/>
      <c r="AP724" s="102"/>
      <c r="AQ724" s="102"/>
      <c r="AR724" s="102"/>
      <c r="AS724" s="102"/>
      <c r="AT724" s="102"/>
      <c r="AU724" s="102"/>
      <c r="AV724" s="102"/>
      <c r="AW724" s="102"/>
      <c r="AX724" s="102"/>
      <c r="AY724" s="102"/>
    </row>
    <row r="725" spans="1:5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  <c r="AI725" s="102"/>
      <c r="AJ725" s="102"/>
      <c r="AK725" s="102"/>
      <c r="AL725" s="102"/>
      <c r="AM725" s="102"/>
      <c r="AN725" s="102"/>
      <c r="AO725" s="102"/>
      <c r="AP725" s="102"/>
      <c r="AQ725" s="102"/>
      <c r="AR725" s="102"/>
      <c r="AS725" s="102"/>
      <c r="AT725" s="102"/>
      <c r="AU725" s="102"/>
      <c r="AV725" s="102"/>
      <c r="AW725" s="102"/>
      <c r="AX725" s="102"/>
      <c r="AY725" s="102"/>
    </row>
    <row r="726" spans="1:5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  <c r="AI726" s="102"/>
      <c r="AJ726" s="102"/>
      <c r="AK726" s="102"/>
      <c r="AL726" s="102"/>
      <c r="AM726" s="102"/>
      <c r="AN726" s="102"/>
      <c r="AO726" s="102"/>
      <c r="AP726" s="102"/>
      <c r="AQ726" s="102"/>
      <c r="AR726" s="102"/>
      <c r="AS726" s="102"/>
      <c r="AT726" s="102"/>
      <c r="AU726" s="102"/>
      <c r="AV726" s="102"/>
      <c r="AW726" s="102"/>
      <c r="AX726" s="102"/>
      <c r="AY726" s="102"/>
    </row>
    <row r="727" spans="1:5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  <c r="AI727" s="102"/>
      <c r="AJ727" s="102"/>
      <c r="AK727" s="102"/>
      <c r="AL727" s="102"/>
      <c r="AM727" s="102"/>
      <c r="AN727" s="102"/>
      <c r="AO727" s="102"/>
      <c r="AP727" s="102"/>
      <c r="AQ727" s="102"/>
      <c r="AR727" s="102"/>
      <c r="AS727" s="102"/>
      <c r="AT727" s="102"/>
      <c r="AU727" s="102"/>
      <c r="AV727" s="102"/>
      <c r="AW727" s="102"/>
      <c r="AX727" s="102"/>
      <c r="AY727" s="102"/>
    </row>
    <row r="728" spans="1:5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  <c r="AI728" s="102"/>
      <c r="AJ728" s="102"/>
      <c r="AK728" s="102"/>
      <c r="AL728" s="102"/>
      <c r="AM728" s="102"/>
      <c r="AN728" s="102"/>
      <c r="AO728" s="102"/>
      <c r="AP728" s="102"/>
      <c r="AQ728" s="102"/>
      <c r="AR728" s="102"/>
      <c r="AS728" s="102"/>
      <c r="AT728" s="102"/>
      <c r="AU728" s="102"/>
      <c r="AV728" s="102"/>
      <c r="AW728" s="102"/>
      <c r="AX728" s="102"/>
      <c r="AY728" s="102"/>
    </row>
    <row r="729" spans="1:5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  <c r="AI729" s="102"/>
      <c r="AJ729" s="102"/>
      <c r="AK729" s="102"/>
      <c r="AL729" s="102"/>
      <c r="AM729" s="102"/>
      <c r="AN729" s="102"/>
      <c r="AO729" s="102"/>
      <c r="AP729" s="102"/>
      <c r="AQ729" s="102"/>
      <c r="AR729" s="102"/>
      <c r="AS729" s="102"/>
      <c r="AT729" s="102"/>
      <c r="AU729" s="102"/>
      <c r="AV729" s="102"/>
      <c r="AW729" s="102"/>
      <c r="AX729" s="102"/>
      <c r="AY729" s="102"/>
    </row>
    <row r="730" spans="1:5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  <c r="AI730" s="102"/>
      <c r="AJ730" s="102"/>
      <c r="AK730" s="102"/>
      <c r="AL730" s="102"/>
      <c r="AM730" s="102"/>
      <c r="AN730" s="102"/>
      <c r="AO730" s="102"/>
      <c r="AP730" s="102"/>
      <c r="AQ730" s="102"/>
      <c r="AR730" s="102"/>
      <c r="AS730" s="102"/>
      <c r="AT730" s="102"/>
      <c r="AU730" s="102"/>
      <c r="AV730" s="102"/>
      <c r="AW730" s="102"/>
      <c r="AX730" s="102"/>
      <c r="AY730" s="102"/>
    </row>
    <row r="731" spans="1:5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  <c r="AI731" s="102"/>
      <c r="AJ731" s="102"/>
      <c r="AK731" s="102"/>
      <c r="AL731" s="102"/>
      <c r="AM731" s="102"/>
      <c r="AN731" s="102"/>
      <c r="AO731" s="102"/>
      <c r="AP731" s="102"/>
      <c r="AQ731" s="102"/>
      <c r="AR731" s="102"/>
      <c r="AS731" s="102"/>
      <c r="AT731" s="102"/>
      <c r="AU731" s="102"/>
      <c r="AV731" s="102"/>
      <c r="AW731" s="102"/>
      <c r="AX731" s="102"/>
      <c r="AY731" s="102"/>
    </row>
    <row r="732" spans="1:5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  <c r="AI732" s="102"/>
      <c r="AJ732" s="102"/>
      <c r="AK732" s="102"/>
      <c r="AL732" s="102"/>
      <c r="AM732" s="102"/>
      <c r="AN732" s="102"/>
      <c r="AO732" s="102"/>
      <c r="AP732" s="102"/>
      <c r="AQ732" s="102"/>
      <c r="AR732" s="102"/>
      <c r="AS732" s="102"/>
      <c r="AT732" s="102"/>
      <c r="AU732" s="102"/>
      <c r="AV732" s="102"/>
      <c r="AW732" s="102"/>
      <c r="AX732" s="102"/>
      <c r="AY732" s="102"/>
    </row>
    <row r="733" spans="1:5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  <c r="AI733" s="102"/>
      <c r="AJ733" s="102"/>
      <c r="AK733" s="102"/>
      <c r="AL733" s="102"/>
      <c r="AM733" s="102"/>
      <c r="AN733" s="102"/>
      <c r="AO733" s="102"/>
      <c r="AP733" s="102"/>
      <c r="AQ733" s="102"/>
      <c r="AR733" s="102"/>
      <c r="AS733" s="102"/>
      <c r="AT733" s="102"/>
      <c r="AU733" s="102"/>
      <c r="AV733" s="102"/>
      <c r="AW733" s="102"/>
      <c r="AX733" s="102"/>
      <c r="AY733" s="102"/>
    </row>
    <row r="734" spans="1:5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  <c r="AI734" s="102"/>
      <c r="AJ734" s="102"/>
      <c r="AK734" s="102"/>
      <c r="AL734" s="102"/>
      <c r="AM734" s="102"/>
      <c r="AN734" s="102"/>
      <c r="AO734" s="102"/>
      <c r="AP734" s="102"/>
      <c r="AQ734" s="102"/>
      <c r="AR734" s="102"/>
      <c r="AS734" s="102"/>
      <c r="AT734" s="102"/>
      <c r="AU734" s="102"/>
      <c r="AV734" s="102"/>
      <c r="AW734" s="102"/>
      <c r="AX734" s="102"/>
      <c r="AY734" s="102"/>
    </row>
    <row r="735" spans="1:5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  <c r="AI735" s="102"/>
      <c r="AJ735" s="102"/>
      <c r="AK735" s="102"/>
      <c r="AL735" s="102"/>
      <c r="AM735" s="102"/>
      <c r="AN735" s="102"/>
      <c r="AO735" s="102"/>
      <c r="AP735" s="102"/>
      <c r="AQ735" s="102"/>
      <c r="AR735" s="102"/>
      <c r="AS735" s="102"/>
      <c r="AT735" s="102"/>
      <c r="AU735" s="102"/>
      <c r="AV735" s="102"/>
      <c r="AW735" s="102"/>
      <c r="AX735" s="102"/>
      <c r="AY735" s="102"/>
    </row>
    <row r="736" spans="1:5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  <c r="AI736" s="102"/>
      <c r="AJ736" s="102"/>
      <c r="AK736" s="102"/>
      <c r="AL736" s="102"/>
      <c r="AM736" s="102"/>
      <c r="AN736" s="102"/>
      <c r="AO736" s="102"/>
      <c r="AP736" s="102"/>
      <c r="AQ736" s="102"/>
      <c r="AR736" s="102"/>
      <c r="AS736" s="102"/>
      <c r="AT736" s="102"/>
      <c r="AU736" s="102"/>
      <c r="AV736" s="102"/>
      <c r="AW736" s="102"/>
      <c r="AX736" s="102"/>
      <c r="AY736" s="102"/>
    </row>
    <row r="737" spans="1:5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  <c r="AI737" s="102"/>
      <c r="AJ737" s="102"/>
      <c r="AK737" s="102"/>
      <c r="AL737" s="102"/>
      <c r="AM737" s="102"/>
      <c r="AN737" s="102"/>
      <c r="AO737" s="102"/>
      <c r="AP737" s="102"/>
      <c r="AQ737" s="102"/>
      <c r="AR737" s="102"/>
      <c r="AS737" s="102"/>
      <c r="AT737" s="102"/>
      <c r="AU737" s="102"/>
      <c r="AV737" s="102"/>
      <c r="AW737" s="102"/>
      <c r="AX737" s="102"/>
      <c r="AY737" s="102"/>
    </row>
    <row r="738" spans="1:5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  <c r="AI738" s="102"/>
      <c r="AJ738" s="102"/>
      <c r="AK738" s="102"/>
      <c r="AL738" s="102"/>
      <c r="AM738" s="102"/>
      <c r="AN738" s="102"/>
      <c r="AO738" s="102"/>
      <c r="AP738" s="102"/>
      <c r="AQ738" s="102"/>
      <c r="AR738" s="102"/>
      <c r="AS738" s="102"/>
      <c r="AT738" s="102"/>
      <c r="AU738" s="102"/>
      <c r="AV738" s="102"/>
      <c r="AW738" s="102"/>
      <c r="AX738" s="102"/>
      <c r="AY738" s="102"/>
    </row>
    <row r="739" spans="1:5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  <c r="AI739" s="102"/>
      <c r="AJ739" s="102"/>
      <c r="AK739" s="102"/>
      <c r="AL739" s="102"/>
      <c r="AM739" s="102"/>
      <c r="AN739" s="102"/>
      <c r="AO739" s="102"/>
      <c r="AP739" s="102"/>
      <c r="AQ739" s="102"/>
      <c r="AR739" s="102"/>
      <c r="AS739" s="102"/>
      <c r="AT739" s="102"/>
      <c r="AU739" s="102"/>
      <c r="AV739" s="102"/>
      <c r="AW739" s="102"/>
      <c r="AX739" s="102"/>
      <c r="AY739" s="102"/>
    </row>
    <row r="740" spans="1:5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  <c r="AI740" s="102"/>
      <c r="AJ740" s="102"/>
      <c r="AK740" s="102"/>
      <c r="AL740" s="102"/>
      <c r="AM740" s="102"/>
      <c r="AN740" s="102"/>
      <c r="AO740" s="102"/>
      <c r="AP740" s="102"/>
      <c r="AQ740" s="102"/>
      <c r="AR740" s="102"/>
      <c r="AS740" s="102"/>
      <c r="AT740" s="102"/>
      <c r="AU740" s="102"/>
      <c r="AV740" s="102"/>
      <c r="AW740" s="102"/>
      <c r="AX740" s="102"/>
      <c r="AY740" s="102"/>
    </row>
    <row r="741" spans="1:5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  <c r="AI741" s="102"/>
      <c r="AJ741" s="102"/>
      <c r="AK741" s="102"/>
      <c r="AL741" s="102"/>
      <c r="AM741" s="102"/>
      <c r="AN741" s="102"/>
      <c r="AO741" s="102"/>
      <c r="AP741" s="102"/>
      <c r="AQ741" s="102"/>
      <c r="AR741" s="102"/>
      <c r="AS741" s="102"/>
      <c r="AT741" s="102"/>
      <c r="AU741" s="102"/>
      <c r="AV741" s="102"/>
      <c r="AW741" s="102"/>
      <c r="AX741" s="102"/>
      <c r="AY741" s="102"/>
    </row>
    <row r="742" spans="1:5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  <c r="AI742" s="102"/>
      <c r="AJ742" s="102"/>
      <c r="AK742" s="102"/>
      <c r="AL742" s="102"/>
      <c r="AM742" s="102"/>
      <c r="AN742" s="102"/>
      <c r="AO742" s="102"/>
      <c r="AP742" s="102"/>
      <c r="AQ742" s="102"/>
      <c r="AR742" s="102"/>
      <c r="AS742" s="102"/>
      <c r="AT742" s="102"/>
      <c r="AU742" s="102"/>
      <c r="AV742" s="102"/>
      <c r="AW742" s="102"/>
      <c r="AX742" s="102"/>
      <c r="AY742" s="102"/>
    </row>
    <row r="743" spans="1:5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02"/>
      <c r="AI743" s="102"/>
      <c r="AJ743" s="102"/>
      <c r="AK743" s="102"/>
      <c r="AL743" s="102"/>
      <c r="AM743" s="102"/>
      <c r="AN743" s="102"/>
      <c r="AO743" s="102"/>
      <c r="AP743" s="102"/>
      <c r="AQ743" s="102"/>
      <c r="AR743" s="102"/>
      <c r="AS743" s="102"/>
      <c r="AT743" s="102"/>
      <c r="AU743" s="102"/>
      <c r="AV743" s="102"/>
      <c r="AW743" s="102"/>
      <c r="AX743" s="102"/>
      <c r="AY743" s="102"/>
    </row>
    <row r="744" spans="1:5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02"/>
      <c r="AI744" s="102"/>
      <c r="AJ744" s="102"/>
      <c r="AK744" s="102"/>
      <c r="AL744" s="102"/>
      <c r="AM744" s="102"/>
      <c r="AN744" s="102"/>
      <c r="AO744" s="102"/>
      <c r="AP744" s="102"/>
      <c r="AQ744" s="102"/>
      <c r="AR744" s="102"/>
      <c r="AS744" s="102"/>
      <c r="AT744" s="102"/>
      <c r="AU744" s="102"/>
      <c r="AV744" s="102"/>
      <c r="AW744" s="102"/>
      <c r="AX744" s="102"/>
      <c r="AY744" s="102"/>
    </row>
    <row r="745" spans="1:5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  <c r="AH745" s="102"/>
      <c r="AI745" s="102"/>
      <c r="AJ745" s="102"/>
      <c r="AK745" s="102"/>
      <c r="AL745" s="102"/>
      <c r="AM745" s="102"/>
      <c r="AN745" s="102"/>
      <c r="AO745" s="102"/>
      <c r="AP745" s="102"/>
      <c r="AQ745" s="102"/>
      <c r="AR745" s="102"/>
      <c r="AS745" s="102"/>
      <c r="AT745" s="102"/>
      <c r="AU745" s="102"/>
      <c r="AV745" s="102"/>
      <c r="AW745" s="102"/>
      <c r="AX745" s="102"/>
      <c r="AY745" s="102"/>
    </row>
    <row r="746" spans="1:5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  <c r="AH746" s="102"/>
      <c r="AI746" s="102"/>
      <c r="AJ746" s="102"/>
      <c r="AK746" s="102"/>
      <c r="AL746" s="102"/>
      <c r="AM746" s="102"/>
      <c r="AN746" s="102"/>
      <c r="AO746" s="102"/>
      <c r="AP746" s="102"/>
      <c r="AQ746" s="102"/>
      <c r="AR746" s="102"/>
      <c r="AS746" s="102"/>
      <c r="AT746" s="102"/>
      <c r="AU746" s="102"/>
      <c r="AV746" s="102"/>
      <c r="AW746" s="102"/>
      <c r="AX746" s="102"/>
      <c r="AY746" s="102"/>
    </row>
    <row r="747" spans="1:5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  <c r="AH747" s="102"/>
      <c r="AI747" s="102"/>
      <c r="AJ747" s="102"/>
      <c r="AK747" s="102"/>
      <c r="AL747" s="102"/>
      <c r="AM747" s="102"/>
      <c r="AN747" s="102"/>
      <c r="AO747" s="102"/>
      <c r="AP747" s="102"/>
      <c r="AQ747" s="102"/>
      <c r="AR747" s="102"/>
      <c r="AS747" s="102"/>
      <c r="AT747" s="102"/>
      <c r="AU747" s="102"/>
      <c r="AV747" s="102"/>
      <c r="AW747" s="102"/>
      <c r="AX747" s="102"/>
      <c r="AY747" s="102"/>
    </row>
    <row r="748" spans="1:5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  <c r="AH748" s="102"/>
      <c r="AI748" s="102"/>
      <c r="AJ748" s="102"/>
      <c r="AK748" s="102"/>
      <c r="AL748" s="102"/>
      <c r="AM748" s="102"/>
      <c r="AN748" s="102"/>
      <c r="AO748" s="102"/>
      <c r="AP748" s="102"/>
      <c r="AQ748" s="102"/>
      <c r="AR748" s="102"/>
      <c r="AS748" s="102"/>
      <c r="AT748" s="102"/>
      <c r="AU748" s="102"/>
      <c r="AV748" s="102"/>
      <c r="AW748" s="102"/>
      <c r="AX748" s="102"/>
      <c r="AY748" s="102"/>
    </row>
    <row r="749" spans="1:5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  <c r="AI749" s="102"/>
      <c r="AJ749" s="102"/>
      <c r="AK749" s="102"/>
      <c r="AL749" s="102"/>
      <c r="AM749" s="102"/>
      <c r="AN749" s="102"/>
      <c r="AO749" s="102"/>
      <c r="AP749" s="102"/>
      <c r="AQ749" s="102"/>
      <c r="AR749" s="102"/>
      <c r="AS749" s="102"/>
      <c r="AT749" s="102"/>
      <c r="AU749" s="102"/>
      <c r="AV749" s="102"/>
      <c r="AW749" s="102"/>
      <c r="AX749" s="102"/>
      <c r="AY749" s="102"/>
    </row>
    <row r="750" spans="1:5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  <c r="AH750" s="102"/>
      <c r="AI750" s="102"/>
      <c r="AJ750" s="102"/>
      <c r="AK750" s="102"/>
      <c r="AL750" s="102"/>
      <c r="AM750" s="102"/>
      <c r="AN750" s="102"/>
      <c r="AO750" s="102"/>
      <c r="AP750" s="102"/>
      <c r="AQ750" s="102"/>
      <c r="AR750" s="102"/>
      <c r="AS750" s="102"/>
      <c r="AT750" s="102"/>
      <c r="AU750" s="102"/>
      <c r="AV750" s="102"/>
      <c r="AW750" s="102"/>
      <c r="AX750" s="102"/>
      <c r="AY750" s="102"/>
    </row>
    <row r="751" spans="1:5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  <c r="AH751" s="102"/>
      <c r="AI751" s="102"/>
      <c r="AJ751" s="102"/>
      <c r="AK751" s="102"/>
      <c r="AL751" s="102"/>
      <c r="AM751" s="102"/>
      <c r="AN751" s="102"/>
      <c r="AO751" s="102"/>
      <c r="AP751" s="102"/>
      <c r="AQ751" s="102"/>
      <c r="AR751" s="102"/>
      <c r="AS751" s="102"/>
      <c r="AT751" s="102"/>
      <c r="AU751" s="102"/>
      <c r="AV751" s="102"/>
      <c r="AW751" s="102"/>
      <c r="AX751" s="102"/>
      <c r="AY751" s="102"/>
    </row>
    <row r="752" spans="1:5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  <c r="AH752" s="102"/>
      <c r="AI752" s="102"/>
      <c r="AJ752" s="102"/>
      <c r="AK752" s="102"/>
      <c r="AL752" s="102"/>
      <c r="AM752" s="102"/>
      <c r="AN752" s="102"/>
      <c r="AO752" s="102"/>
      <c r="AP752" s="102"/>
      <c r="AQ752" s="102"/>
      <c r="AR752" s="102"/>
      <c r="AS752" s="102"/>
      <c r="AT752" s="102"/>
      <c r="AU752" s="102"/>
      <c r="AV752" s="102"/>
      <c r="AW752" s="102"/>
      <c r="AX752" s="102"/>
      <c r="AY752" s="102"/>
    </row>
    <row r="753" spans="1:5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02"/>
      <c r="AI753" s="102"/>
      <c r="AJ753" s="102"/>
      <c r="AK753" s="102"/>
      <c r="AL753" s="102"/>
      <c r="AM753" s="102"/>
      <c r="AN753" s="102"/>
      <c r="AO753" s="102"/>
      <c r="AP753" s="102"/>
      <c r="AQ753" s="102"/>
      <c r="AR753" s="102"/>
      <c r="AS753" s="102"/>
      <c r="AT753" s="102"/>
      <c r="AU753" s="102"/>
      <c r="AV753" s="102"/>
      <c r="AW753" s="102"/>
      <c r="AX753" s="102"/>
      <c r="AY753" s="102"/>
    </row>
    <row r="754" spans="1:5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02"/>
      <c r="AI754" s="102"/>
      <c r="AJ754" s="102"/>
      <c r="AK754" s="102"/>
      <c r="AL754" s="102"/>
      <c r="AM754" s="102"/>
      <c r="AN754" s="102"/>
      <c r="AO754" s="102"/>
      <c r="AP754" s="102"/>
      <c r="AQ754" s="102"/>
      <c r="AR754" s="102"/>
      <c r="AS754" s="102"/>
      <c r="AT754" s="102"/>
      <c r="AU754" s="102"/>
      <c r="AV754" s="102"/>
      <c r="AW754" s="102"/>
      <c r="AX754" s="102"/>
      <c r="AY754" s="102"/>
    </row>
    <row r="755" spans="1:5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  <c r="AH755" s="102"/>
      <c r="AI755" s="102"/>
      <c r="AJ755" s="102"/>
      <c r="AK755" s="102"/>
      <c r="AL755" s="102"/>
      <c r="AM755" s="102"/>
      <c r="AN755" s="102"/>
      <c r="AO755" s="102"/>
      <c r="AP755" s="102"/>
      <c r="AQ755" s="102"/>
      <c r="AR755" s="102"/>
      <c r="AS755" s="102"/>
      <c r="AT755" s="102"/>
      <c r="AU755" s="102"/>
      <c r="AV755" s="102"/>
      <c r="AW755" s="102"/>
      <c r="AX755" s="102"/>
      <c r="AY755" s="102"/>
    </row>
    <row r="756" spans="1:5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  <c r="AH756" s="102"/>
      <c r="AI756" s="102"/>
      <c r="AJ756" s="102"/>
      <c r="AK756" s="102"/>
      <c r="AL756" s="102"/>
      <c r="AM756" s="102"/>
      <c r="AN756" s="102"/>
      <c r="AO756" s="102"/>
      <c r="AP756" s="102"/>
      <c r="AQ756" s="102"/>
      <c r="AR756" s="102"/>
      <c r="AS756" s="102"/>
      <c r="AT756" s="102"/>
      <c r="AU756" s="102"/>
      <c r="AV756" s="102"/>
      <c r="AW756" s="102"/>
      <c r="AX756" s="102"/>
      <c r="AY756" s="102"/>
    </row>
    <row r="757" spans="1:5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  <c r="AH757" s="102"/>
      <c r="AI757" s="102"/>
      <c r="AJ757" s="102"/>
      <c r="AK757" s="102"/>
      <c r="AL757" s="102"/>
      <c r="AM757" s="102"/>
      <c r="AN757" s="102"/>
      <c r="AO757" s="102"/>
      <c r="AP757" s="102"/>
      <c r="AQ757" s="102"/>
      <c r="AR757" s="102"/>
      <c r="AS757" s="102"/>
      <c r="AT757" s="102"/>
      <c r="AU757" s="102"/>
      <c r="AV757" s="102"/>
      <c r="AW757" s="102"/>
      <c r="AX757" s="102"/>
      <c r="AY757" s="102"/>
    </row>
    <row r="758" spans="1:5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  <c r="AH758" s="102"/>
      <c r="AI758" s="102"/>
      <c r="AJ758" s="102"/>
      <c r="AK758" s="102"/>
      <c r="AL758" s="102"/>
      <c r="AM758" s="102"/>
      <c r="AN758" s="102"/>
      <c r="AO758" s="102"/>
      <c r="AP758" s="102"/>
      <c r="AQ758" s="102"/>
      <c r="AR758" s="102"/>
      <c r="AS758" s="102"/>
      <c r="AT758" s="102"/>
      <c r="AU758" s="102"/>
      <c r="AV758" s="102"/>
      <c r="AW758" s="102"/>
      <c r="AX758" s="102"/>
      <c r="AY758" s="102"/>
    </row>
    <row r="759" spans="1:5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  <c r="AI759" s="102"/>
      <c r="AJ759" s="102"/>
      <c r="AK759" s="102"/>
      <c r="AL759" s="102"/>
      <c r="AM759" s="102"/>
      <c r="AN759" s="102"/>
      <c r="AO759" s="102"/>
      <c r="AP759" s="102"/>
      <c r="AQ759" s="102"/>
      <c r="AR759" s="102"/>
      <c r="AS759" s="102"/>
      <c r="AT759" s="102"/>
      <c r="AU759" s="102"/>
      <c r="AV759" s="102"/>
      <c r="AW759" s="102"/>
      <c r="AX759" s="102"/>
      <c r="AY759" s="102"/>
    </row>
    <row r="760" spans="1:5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  <c r="AI760" s="102"/>
      <c r="AJ760" s="102"/>
      <c r="AK760" s="102"/>
      <c r="AL760" s="102"/>
      <c r="AM760" s="102"/>
      <c r="AN760" s="102"/>
      <c r="AO760" s="102"/>
      <c r="AP760" s="102"/>
      <c r="AQ760" s="102"/>
      <c r="AR760" s="102"/>
      <c r="AS760" s="102"/>
      <c r="AT760" s="102"/>
      <c r="AU760" s="102"/>
      <c r="AV760" s="102"/>
      <c r="AW760" s="102"/>
      <c r="AX760" s="102"/>
      <c r="AY760" s="102"/>
    </row>
    <row r="761" spans="1:5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  <c r="AH761" s="102"/>
      <c r="AI761" s="102"/>
      <c r="AJ761" s="102"/>
      <c r="AK761" s="102"/>
      <c r="AL761" s="102"/>
      <c r="AM761" s="102"/>
      <c r="AN761" s="102"/>
      <c r="AO761" s="102"/>
      <c r="AP761" s="102"/>
      <c r="AQ761" s="102"/>
      <c r="AR761" s="102"/>
      <c r="AS761" s="102"/>
      <c r="AT761" s="102"/>
      <c r="AU761" s="102"/>
      <c r="AV761" s="102"/>
      <c r="AW761" s="102"/>
      <c r="AX761" s="102"/>
      <c r="AY761" s="102"/>
    </row>
    <row r="762" spans="1:5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  <c r="AH762" s="102"/>
      <c r="AI762" s="102"/>
      <c r="AJ762" s="102"/>
      <c r="AK762" s="102"/>
      <c r="AL762" s="102"/>
      <c r="AM762" s="102"/>
      <c r="AN762" s="102"/>
      <c r="AO762" s="102"/>
      <c r="AP762" s="102"/>
      <c r="AQ762" s="102"/>
      <c r="AR762" s="102"/>
      <c r="AS762" s="102"/>
      <c r="AT762" s="102"/>
      <c r="AU762" s="102"/>
      <c r="AV762" s="102"/>
      <c r="AW762" s="102"/>
      <c r="AX762" s="102"/>
      <c r="AY762" s="102"/>
    </row>
    <row r="763" spans="1:5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  <c r="AH763" s="102"/>
      <c r="AI763" s="102"/>
      <c r="AJ763" s="102"/>
      <c r="AK763" s="102"/>
      <c r="AL763" s="102"/>
      <c r="AM763" s="102"/>
      <c r="AN763" s="102"/>
      <c r="AO763" s="102"/>
      <c r="AP763" s="102"/>
      <c r="AQ763" s="102"/>
      <c r="AR763" s="102"/>
      <c r="AS763" s="102"/>
      <c r="AT763" s="102"/>
      <c r="AU763" s="102"/>
      <c r="AV763" s="102"/>
      <c r="AW763" s="102"/>
      <c r="AX763" s="102"/>
      <c r="AY763" s="102"/>
    </row>
    <row r="764" spans="1:5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  <c r="AH764" s="102"/>
      <c r="AI764" s="102"/>
      <c r="AJ764" s="102"/>
      <c r="AK764" s="102"/>
      <c r="AL764" s="102"/>
      <c r="AM764" s="102"/>
      <c r="AN764" s="102"/>
      <c r="AO764" s="102"/>
      <c r="AP764" s="102"/>
      <c r="AQ764" s="102"/>
      <c r="AR764" s="102"/>
      <c r="AS764" s="102"/>
      <c r="AT764" s="102"/>
      <c r="AU764" s="102"/>
      <c r="AV764" s="102"/>
      <c r="AW764" s="102"/>
      <c r="AX764" s="102"/>
      <c r="AY764" s="102"/>
    </row>
    <row r="765" spans="1:5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  <c r="AH765" s="102"/>
      <c r="AI765" s="102"/>
      <c r="AJ765" s="102"/>
      <c r="AK765" s="102"/>
      <c r="AL765" s="102"/>
      <c r="AM765" s="102"/>
      <c r="AN765" s="102"/>
      <c r="AO765" s="102"/>
      <c r="AP765" s="102"/>
      <c r="AQ765" s="102"/>
      <c r="AR765" s="102"/>
      <c r="AS765" s="102"/>
      <c r="AT765" s="102"/>
      <c r="AU765" s="102"/>
      <c r="AV765" s="102"/>
      <c r="AW765" s="102"/>
      <c r="AX765" s="102"/>
      <c r="AY765" s="102"/>
    </row>
    <row r="766" spans="1:5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  <c r="AH766" s="102"/>
      <c r="AI766" s="102"/>
      <c r="AJ766" s="102"/>
      <c r="AK766" s="102"/>
      <c r="AL766" s="102"/>
      <c r="AM766" s="102"/>
      <c r="AN766" s="102"/>
      <c r="AO766" s="102"/>
      <c r="AP766" s="102"/>
      <c r="AQ766" s="102"/>
      <c r="AR766" s="102"/>
      <c r="AS766" s="102"/>
      <c r="AT766" s="102"/>
      <c r="AU766" s="102"/>
      <c r="AV766" s="102"/>
      <c r="AW766" s="102"/>
      <c r="AX766" s="102"/>
      <c r="AY766" s="102"/>
    </row>
    <row r="767" spans="1:5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  <c r="AH767" s="102"/>
      <c r="AI767" s="102"/>
      <c r="AJ767" s="102"/>
      <c r="AK767" s="102"/>
      <c r="AL767" s="102"/>
      <c r="AM767" s="102"/>
      <c r="AN767" s="102"/>
      <c r="AO767" s="102"/>
      <c r="AP767" s="102"/>
      <c r="AQ767" s="102"/>
      <c r="AR767" s="102"/>
      <c r="AS767" s="102"/>
      <c r="AT767" s="102"/>
      <c r="AU767" s="102"/>
      <c r="AV767" s="102"/>
      <c r="AW767" s="102"/>
      <c r="AX767" s="102"/>
      <c r="AY767" s="102"/>
    </row>
    <row r="768" spans="1:5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  <c r="AH768" s="102"/>
      <c r="AI768" s="102"/>
      <c r="AJ768" s="102"/>
      <c r="AK768" s="102"/>
      <c r="AL768" s="102"/>
      <c r="AM768" s="102"/>
      <c r="AN768" s="102"/>
      <c r="AO768" s="102"/>
      <c r="AP768" s="102"/>
      <c r="AQ768" s="102"/>
      <c r="AR768" s="102"/>
      <c r="AS768" s="102"/>
      <c r="AT768" s="102"/>
      <c r="AU768" s="102"/>
      <c r="AV768" s="102"/>
      <c r="AW768" s="102"/>
      <c r="AX768" s="102"/>
      <c r="AY768" s="102"/>
    </row>
    <row r="769" spans="1:5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  <c r="AH769" s="102"/>
      <c r="AI769" s="102"/>
      <c r="AJ769" s="102"/>
      <c r="AK769" s="102"/>
      <c r="AL769" s="102"/>
      <c r="AM769" s="102"/>
      <c r="AN769" s="102"/>
      <c r="AO769" s="102"/>
      <c r="AP769" s="102"/>
      <c r="AQ769" s="102"/>
      <c r="AR769" s="102"/>
      <c r="AS769" s="102"/>
      <c r="AT769" s="102"/>
      <c r="AU769" s="102"/>
      <c r="AV769" s="102"/>
      <c r="AW769" s="102"/>
      <c r="AX769" s="102"/>
      <c r="AY769" s="102"/>
    </row>
    <row r="770" spans="1:5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  <c r="AH770" s="102"/>
      <c r="AI770" s="102"/>
      <c r="AJ770" s="102"/>
      <c r="AK770" s="102"/>
      <c r="AL770" s="102"/>
      <c r="AM770" s="102"/>
      <c r="AN770" s="102"/>
      <c r="AO770" s="102"/>
      <c r="AP770" s="102"/>
      <c r="AQ770" s="102"/>
      <c r="AR770" s="102"/>
      <c r="AS770" s="102"/>
      <c r="AT770" s="102"/>
      <c r="AU770" s="102"/>
      <c r="AV770" s="102"/>
      <c r="AW770" s="102"/>
      <c r="AX770" s="102"/>
      <c r="AY770" s="102"/>
    </row>
    <row r="771" spans="1:5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  <c r="AH771" s="102"/>
      <c r="AI771" s="102"/>
      <c r="AJ771" s="102"/>
      <c r="AK771" s="102"/>
      <c r="AL771" s="102"/>
      <c r="AM771" s="102"/>
      <c r="AN771" s="102"/>
      <c r="AO771" s="102"/>
      <c r="AP771" s="102"/>
      <c r="AQ771" s="102"/>
      <c r="AR771" s="102"/>
      <c r="AS771" s="102"/>
      <c r="AT771" s="102"/>
      <c r="AU771" s="102"/>
      <c r="AV771" s="102"/>
      <c r="AW771" s="102"/>
      <c r="AX771" s="102"/>
      <c r="AY771" s="102"/>
    </row>
    <row r="772" spans="1:5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  <c r="AH772" s="102"/>
      <c r="AI772" s="102"/>
      <c r="AJ772" s="102"/>
      <c r="AK772" s="102"/>
      <c r="AL772" s="102"/>
      <c r="AM772" s="102"/>
      <c r="AN772" s="102"/>
      <c r="AO772" s="102"/>
      <c r="AP772" s="102"/>
      <c r="AQ772" s="102"/>
      <c r="AR772" s="102"/>
      <c r="AS772" s="102"/>
      <c r="AT772" s="102"/>
      <c r="AU772" s="102"/>
      <c r="AV772" s="102"/>
      <c r="AW772" s="102"/>
      <c r="AX772" s="102"/>
      <c r="AY772" s="102"/>
    </row>
    <row r="773" spans="1:5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  <c r="AH773" s="102"/>
      <c r="AI773" s="102"/>
      <c r="AJ773" s="102"/>
      <c r="AK773" s="102"/>
      <c r="AL773" s="102"/>
      <c r="AM773" s="102"/>
      <c r="AN773" s="102"/>
      <c r="AO773" s="102"/>
      <c r="AP773" s="102"/>
      <c r="AQ773" s="102"/>
      <c r="AR773" s="102"/>
      <c r="AS773" s="102"/>
      <c r="AT773" s="102"/>
      <c r="AU773" s="102"/>
      <c r="AV773" s="102"/>
      <c r="AW773" s="102"/>
      <c r="AX773" s="102"/>
      <c r="AY773" s="102"/>
    </row>
    <row r="774" spans="1:5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  <c r="AH774" s="102"/>
      <c r="AI774" s="102"/>
      <c r="AJ774" s="102"/>
      <c r="AK774" s="102"/>
      <c r="AL774" s="102"/>
      <c r="AM774" s="102"/>
      <c r="AN774" s="102"/>
      <c r="AO774" s="102"/>
      <c r="AP774" s="102"/>
      <c r="AQ774" s="102"/>
      <c r="AR774" s="102"/>
      <c r="AS774" s="102"/>
      <c r="AT774" s="102"/>
      <c r="AU774" s="102"/>
      <c r="AV774" s="102"/>
      <c r="AW774" s="102"/>
      <c r="AX774" s="102"/>
      <c r="AY774" s="102"/>
    </row>
    <row r="775" spans="1:5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  <c r="AH775" s="102"/>
      <c r="AI775" s="102"/>
      <c r="AJ775" s="102"/>
      <c r="AK775" s="102"/>
      <c r="AL775" s="102"/>
      <c r="AM775" s="102"/>
      <c r="AN775" s="102"/>
      <c r="AO775" s="102"/>
      <c r="AP775" s="102"/>
      <c r="AQ775" s="102"/>
      <c r="AR775" s="102"/>
      <c r="AS775" s="102"/>
      <c r="AT775" s="102"/>
      <c r="AU775" s="102"/>
      <c r="AV775" s="102"/>
      <c r="AW775" s="102"/>
      <c r="AX775" s="102"/>
      <c r="AY775" s="102"/>
    </row>
    <row r="776" spans="1:5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  <c r="AI776" s="102"/>
      <c r="AJ776" s="102"/>
      <c r="AK776" s="102"/>
      <c r="AL776" s="102"/>
      <c r="AM776" s="102"/>
      <c r="AN776" s="102"/>
      <c r="AO776" s="102"/>
      <c r="AP776" s="102"/>
      <c r="AQ776" s="102"/>
      <c r="AR776" s="102"/>
      <c r="AS776" s="102"/>
      <c r="AT776" s="102"/>
      <c r="AU776" s="102"/>
      <c r="AV776" s="102"/>
      <c r="AW776" s="102"/>
      <c r="AX776" s="102"/>
      <c r="AY776" s="102"/>
    </row>
    <row r="777" spans="1:5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  <c r="AH777" s="102"/>
      <c r="AI777" s="102"/>
      <c r="AJ777" s="102"/>
      <c r="AK777" s="102"/>
      <c r="AL777" s="102"/>
      <c r="AM777" s="102"/>
      <c r="AN777" s="102"/>
      <c r="AO777" s="102"/>
      <c r="AP777" s="102"/>
      <c r="AQ777" s="102"/>
      <c r="AR777" s="102"/>
      <c r="AS777" s="102"/>
      <c r="AT777" s="102"/>
      <c r="AU777" s="102"/>
      <c r="AV777" s="102"/>
      <c r="AW777" s="102"/>
      <c r="AX777" s="102"/>
      <c r="AY777" s="102"/>
    </row>
    <row r="778" spans="1:5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  <c r="AH778" s="102"/>
      <c r="AI778" s="102"/>
      <c r="AJ778" s="102"/>
      <c r="AK778" s="102"/>
      <c r="AL778" s="102"/>
      <c r="AM778" s="102"/>
      <c r="AN778" s="102"/>
      <c r="AO778" s="102"/>
      <c r="AP778" s="102"/>
      <c r="AQ778" s="102"/>
      <c r="AR778" s="102"/>
      <c r="AS778" s="102"/>
      <c r="AT778" s="102"/>
      <c r="AU778" s="102"/>
      <c r="AV778" s="102"/>
      <c r="AW778" s="102"/>
      <c r="AX778" s="102"/>
      <c r="AY778" s="102"/>
    </row>
    <row r="779" spans="1:5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  <c r="AH779" s="102"/>
      <c r="AI779" s="102"/>
      <c r="AJ779" s="102"/>
      <c r="AK779" s="102"/>
      <c r="AL779" s="102"/>
      <c r="AM779" s="102"/>
      <c r="AN779" s="102"/>
      <c r="AO779" s="102"/>
      <c r="AP779" s="102"/>
      <c r="AQ779" s="102"/>
      <c r="AR779" s="102"/>
      <c r="AS779" s="102"/>
      <c r="AT779" s="102"/>
      <c r="AU779" s="102"/>
      <c r="AV779" s="102"/>
      <c r="AW779" s="102"/>
      <c r="AX779" s="102"/>
      <c r="AY779" s="102"/>
    </row>
    <row r="780" spans="1:5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  <c r="AH780" s="102"/>
      <c r="AI780" s="102"/>
      <c r="AJ780" s="102"/>
      <c r="AK780" s="102"/>
      <c r="AL780" s="102"/>
      <c r="AM780" s="102"/>
      <c r="AN780" s="102"/>
      <c r="AO780" s="102"/>
      <c r="AP780" s="102"/>
      <c r="AQ780" s="102"/>
      <c r="AR780" s="102"/>
      <c r="AS780" s="102"/>
      <c r="AT780" s="102"/>
      <c r="AU780" s="102"/>
      <c r="AV780" s="102"/>
      <c r="AW780" s="102"/>
      <c r="AX780" s="102"/>
      <c r="AY780" s="102"/>
    </row>
    <row r="781" spans="1:5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  <c r="AH781" s="102"/>
      <c r="AI781" s="102"/>
      <c r="AJ781" s="102"/>
      <c r="AK781" s="102"/>
      <c r="AL781" s="102"/>
      <c r="AM781" s="102"/>
      <c r="AN781" s="102"/>
      <c r="AO781" s="102"/>
      <c r="AP781" s="102"/>
      <c r="AQ781" s="102"/>
      <c r="AR781" s="102"/>
      <c r="AS781" s="102"/>
      <c r="AT781" s="102"/>
      <c r="AU781" s="102"/>
      <c r="AV781" s="102"/>
      <c r="AW781" s="102"/>
      <c r="AX781" s="102"/>
      <c r="AY781" s="102"/>
    </row>
    <row r="782" spans="1:5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  <c r="AH782" s="102"/>
      <c r="AI782" s="102"/>
      <c r="AJ782" s="102"/>
      <c r="AK782" s="102"/>
      <c r="AL782" s="102"/>
      <c r="AM782" s="102"/>
      <c r="AN782" s="102"/>
      <c r="AO782" s="102"/>
      <c r="AP782" s="102"/>
      <c r="AQ782" s="102"/>
      <c r="AR782" s="102"/>
      <c r="AS782" s="102"/>
      <c r="AT782" s="102"/>
      <c r="AU782" s="102"/>
      <c r="AV782" s="102"/>
      <c r="AW782" s="102"/>
      <c r="AX782" s="102"/>
      <c r="AY782" s="102"/>
    </row>
    <row r="783" spans="1:5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  <c r="AH783" s="102"/>
      <c r="AI783" s="102"/>
      <c r="AJ783" s="102"/>
      <c r="AK783" s="102"/>
      <c r="AL783" s="102"/>
      <c r="AM783" s="102"/>
      <c r="AN783" s="102"/>
      <c r="AO783" s="102"/>
      <c r="AP783" s="102"/>
      <c r="AQ783" s="102"/>
      <c r="AR783" s="102"/>
      <c r="AS783" s="102"/>
      <c r="AT783" s="102"/>
      <c r="AU783" s="102"/>
      <c r="AV783" s="102"/>
      <c r="AW783" s="102"/>
      <c r="AX783" s="102"/>
      <c r="AY783" s="102"/>
    </row>
    <row r="784" spans="1:5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2"/>
      <c r="AP784" s="102"/>
      <c r="AQ784" s="102"/>
      <c r="AR784" s="102"/>
      <c r="AS784" s="102"/>
      <c r="AT784" s="102"/>
      <c r="AU784" s="102"/>
      <c r="AV784" s="102"/>
      <c r="AW784" s="102"/>
      <c r="AX784" s="102"/>
      <c r="AY784" s="102"/>
    </row>
    <row r="785" spans="1:5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  <c r="AH785" s="102"/>
      <c r="AI785" s="102"/>
      <c r="AJ785" s="102"/>
      <c r="AK785" s="102"/>
      <c r="AL785" s="102"/>
      <c r="AM785" s="102"/>
      <c r="AN785" s="102"/>
      <c r="AO785" s="102"/>
      <c r="AP785" s="102"/>
      <c r="AQ785" s="102"/>
      <c r="AR785" s="102"/>
      <c r="AS785" s="102"/>
      <c r="AT785" s="102"/>
      <c r="AU785" s="102"/>
      <c r="AV785" s="102"/>
      <c r="AW785" s="102"/>
      <c r="AX785" s="102"/>
      <c r="AY785" s="102"/>
    </row>
    <row r="786" spans="1:5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  <c r="AH786" s="102"/>
      <c r="AI786" s="102"/>
      <c r="AJ786" s="102"/>
      <c r="AK786" s="102"/>
      <c r="AL786" s="102"/>
      <c r="AM786" s="102"/>
      <c r="AN786" s="102"/>
      <c r="AO786" s="102"/>
      <c r="AP786" s="102"/>
      <c r="AQ786" s="102"/>
      <c r="AR786" s="102"/>
      <c r="AS786" s="102"/>
      <c r="AT786" s="102"/>
      <c r="AU786" s="102"/>
      <c r="AV786" s="102"/>
      <c r="AW786" s="102"/>
      <c r="AX786" s="102"/>
      <c r="AY786" s="102"/>
    </row>
    <row r="787" spans="1:5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  <c r="AH787" s="102"/>
      <c r="AI787" s="102"/>
      <c r="AJ787" s="102"/>
      <c r="AK787" s="102"/>
      <c r="AL787" s="102"/>
      <c r="AM787" s="102"/>
      <c r="AN787" s="102"/>
      <c r="AO787" s="102"/>
      <c r="AP787" s="102"/>
      <c r="AQ787" s="102"/>
      <c r="AR787" s="102"/>
      <c r="AS787" s="102"/>
      <c r="AT787" s="102"/>
      <c r="AU787" s="102"/>
      <c r="AV787" s="102"/>
      <c r="AW787" s="102"/>
      <c r="AX787" s="102"/>
      <c r="AY787" s="102"/>
    </row>
    <row r="788" spans="1:5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  <c r="AH788" s="102"/>
      <c r="AI788" s="102"/>
      <c r="AJ788" s="102"/>
      <c r="AK788" s="102"/>
      <c r="AL788" s="102"/>
      <c r="AM788" s="102"/>
      <c r="AN788" s="102"/>
      <c r="AO788" s="102"/>
      <c r="AP788" s="102"/>
      <c r="AQ788" s="102"/>
      <c r="AR788" s="102"/>
      <c r="AS788" s="102"/>
      <c r="AT788" s="102"/>
      <c r="AU788" s="102"/>
      <c r="AV788" s="102"/>
      <c r="AW788" s="102"/>
      <c r="AX788" s="102"/>
      <c r="AY788" s="102"/>
    </row>
    <row r="789" spans="1:5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  <c r="AH789" s="102"/>
      <c r="AI789" s="102"/>
      <c r="AJ789" s="102"/>
      <c r="AK789" s="102"/>
      <c r="AL789" s="102"/>
      <c r="AM789" s="102"/>
      <c r="AN789" s="102"/>
      <c r="AO789" s="102"/>
      <c r="AP789" s="102"/>
      <c r="AQ789" s="102"/>
      <c r="AR789" s="102"/>
      <c r="AS789" s="102"/>
      <c r="AT789" s="102"/>
      <c r="AU789" s="102"/>
      <c r="AV789" s="102"/>
      <c r="AW789" s="102"/>
      <c r="AX789" s="102"/>
      <c r="AY789" s="102"/>
    </row>
    <row r="790" spans="1:5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  <c r="AH790" s="102"/>
      <c r="AI790" s="102"/>
      <c r="AJ790" s="102"/>
      <c r="AK790" s="102"/>
      <c r="AL790" s="102"/>
      <c r="AM790" s="102"/>
      <c r="AN790" s="102"/>
      <c r="AO790" s="102"/>
      <c r="AP790" s="102"/>
      <c r="AQ790" s="102"/>
      <c r="AR790" s="102"/>
      <c r="AS790" s="102"/>
      <c r="AT790" s="102"/>
      <c r="AU790" s="102"/>
      <c r="AV790" s="102"/>
      <c r="AW790" s="102"/>
      <c r="AX790" s="102"/>
      <c r="AY790" s="102"/>
    </row>
    <row r="791" spans="1:5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  <c r="AI791" s="102"/>
      <c r="AJ791" s="102"/>
      <c r="AK791" s="102"/>
      <c r="AL791" s="102"/>
      <c r="AM791" s="102"/>
      <c r="AN791" s="102"/>
      <c r="AO791" s="102"/>
      <c r="AP791" s="102"/>
      <c r="AQ791" s="102"/>
      <c r="AR791" s="102"/>
      <c r="AS791" s="102"/>
      <c r="AT791" s="102"/>
      <c r="AU791" s="102"/>
      <c r="AV791" s="102"/>
      <c r="AW791" s="102"/>
      <c r="AX791" s="102"/>
      <c r="AY791" s="102"/>
    </row>
    <row r="792" spans="1:5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  <c r="AH792" s="102"/>
      <c r="AI792" s="102"/>
      <c r="AJ792" s="102"/>
      <c r="AK792" s="102"/>
      <c r="AL792" s="102"/>
      <c r="AM792" s="102"/>
      <c r="AN792" s="102"/>
      <c r="AO792" s="102"/>
      <c r="AP792" s="102"/>
      <c r="AQ792" s="102"/>
      <c r="AR792" s="102"/>
      <c r="AS792" s="102"/>
      <c r="AT792" s="102"/>
      <c r="AU792" s="102"/>
      <c r="AV792" s="102"/>
      <c r="AW792" s="102"/>
      <c r="AX792" s="102"/>
      <c r="AY792" s="102"/>
    </row>
    <row r="793" spans="1:5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  <c r="AH793" s="102"/>
      <c r="AI793" s="102"/>
      <c r="AJ793" s="102"/>
      <c r="AK793" s="102"/>
      <c r="AL793" s="102"/>
      <c r="AM793" s="102"/>
      <c r="AN793" s="102"/>
      <c r="AO793" s="102"/>
      <c r="AP793" s="102"/>
      <c r="AQ793" s="102"/>
      <c r="AR793" s="102"/>
      <c r="AS793" s="102"/>
      <c r="AT793" s="102"/>
      <c r="AU793" s="102"/>
      <c r="AV793" s="102"/>
      <c r="AW793" s="102"/>
      <c r="AX793" s="102"/>
      <c r="AY793" s="102"/>
    </row>
    <row r="794" spans="1:5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  <c r="AH794" s="102"/>
      <c r="AI794" s="102"/>
      <c r="AJ794" s="102"/>
      <c r="AK794" s="102"/>
      <c r="AL794" s="102"/>
      <c r="AM794" s="102"/>
      <c r="AN794" s="102"/>
      <c r="AO794" s="102"/>
      <c r="AP794" s="102"/>
      <c r="AQ794" s="102"/>
      <c r="AR794" s="102"/>
      <c r="AS794" s="102"/>
      <c r="AT794" s="102"/>
      <c r="AU794" s="102"/>
      <c r="AV794" s="102"/>
      <c r="AW794" s="102"/>
      <c r="AX794" s="102"/>
      <c r="AY794" s="102"/>
    </row>
    <row r="795" spans="1:5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  <c r="AH795" s="102"/>
      <c r="AI795" s="102"/>
      <c r="AJ795" s="102"/>
      <c r="AK795" s="102"/>
      <c r="AL795" s="102"/>
      <c r="AM795" s="102"/>
      <c r="AN795" s="102"/>
      <c r="AO795" s="102"/>
      <c r="AP795" s="102"/>
      <c r="AQ795" s="102"/>
      <c r="AR795" s="102"/>
      <c r="AS795" s="102"/>
      <c r="AT795" s="102"/>
      <c r="AU795" s="102"/>
      <c r="AV795" s="102"/>
      <c r="AW795" s="102"/>
      <c r="AX795" s="102"/>
      <c r="AY795" s="102"/>
    </row>
    <row r="796" spans="1:5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  <c r="AH796" s="102"/>
      <c r="AI796" s="102"/>
      <c r="AJ796" s="102"/>
      <c r="AK796" s="102"/>
      <c r="AL796" s="102"/>
      <c r="AM796" s="102"/>
      <c r="AN796" s="102"/>
      <c r="AO796" s="102"/>
      <c r="AP796" s="102"/>
      <c r="AQ796" s="102"/>
      <c r="AR796" s="102"/>
      <c r="AS796" s="102"/>
      <c r="AT796" s="102"/>
      <c r="AU796" s="102"/>
      <c r="AV796" s="102"/>
      <c r="AW796" s="102"/>
      <c r="AX796" s="102"/>
      <c r="AY796" s="102"/>
    </row>
    <row r="797" spans="1:5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  <c r="AH797" s="102"/>
      <c r="AI797" s="102"/>
      <c r="AJ797" s="102"/>
      <c r="AK797" s="102"/>
      <c r="AL797" s="102"/>
      <c r="AM797" s="102"/>
      <c r="AN797" s="102"/>
      <c r="AO797" s="102"/>
      <c r="AP797" s="102"/>
      <c r="AQ797" s="102"/>
      <c r="AR797" s="102"/>
      <c r="AS797" s="102"/>
      <c r="AT797" s="102"/>
      <c r="AU797" s="102"/>
      <c r="AV797" s="102"/>
      <c r="AW797" s="102"/>
      <c r="AX797" s="102"/>
      <c r="AY797" s="102"/>
    </row>
    <row r="798" spans="1:5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  <c r="AH798" s="102"/>
      <c r="AI798" s="102"/>
      <c r="AJ798" s="102"/>
      <c r="AK798" s="102"/>
      <c r="AL798" s="102"/>
      <c r="AM798" s="102"/>
      <c r="AN798" s="102"/>
      <c r="AO798" s="102"/>
      <c r="AP798" s="102"/>
      <c r="AQ798" s="102"/>
      <c r="AR798" s="102"/>
      <c r="AS798" s="102"/>
      <c r="AT798" s="102"/>
      <c r="AU798" s="102"/>
      <c r="AV798" s="102"/>
      <c r="AW798" s="102"/>
      <c r="AX798" s="102"/>
      <c r="AY798" s="102"/>
    </row>
    <row r="799" spans="1:5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  <c r="AH799" s="102"/>
      <c r="AI799" s="102"/>
      <c r="AJ799" s="102"/>
      <c r="AK799" s="102"/>
      <c r="AL799" s="102"/>
      <c r="AM799" s="102"/>
      <c r="AN799" s="102"/>
      <c r="AO799" s="102"/>
      <c r="AP799" s="102"/>
      <c r="AQ799" s="102"/>
      <c r="AR799" s="102"/>
      <c r="AS799" s="102"/>
      <c r="AT799" s="102"/>
      <c r="AU799" s="102"/>
      <c r="AV799" s="102"/>
      <c r="AW799" s="102"/>
      <c r="AX799" s="102"/>
      <c r="AY799" s="102"/>
    </row>
    <row r="800" spans="1:5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  <c r="AH800" s="102"/>
      <c r="AI800" s="102"/>
      <c r="AJ800" s="102"/>
      <c r="AK800" s="102"/>
      <c r="AL800" s="102"/>
      <c r="AM800" s="102"/>
      <c r="AN800" s="102"/>
      <c r="AO800" s="102"/>
      <c r="AP800" s="102"/>
      <c r="AQ800" s="102"/>
      <c r="AR800" s="102"/>
      <c r="AS800" s="102"/>
      <c r="AT800" s="102"/>
      <c r="AU800" s="102"/>
      <c r="AV800" s="102"/>
      <c r="AW800" s="102"/>
      <c r="AX800" s="102"/>
      <c r="AY800" s="102"/>
    </row>
    <row r="801" spans="1:5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102"/>
      <c r="AI801" s="102"/>
      <c r="AJ801" s="102"/>
      <c r="AK801" s="102"/>
      <c r="AL801" s="102"/>
      <c r="AM801" s="102"/>
      <c r="AN801" s="102"/>
      <c r="AO801" s="102"/>
      <c r="AP801" s="102"/>
      <c r="AQ801" s="102"/>
      <c r="AR801" s="102"/>
      <c r="AS801" s="102"/>
      <c r="AT801" s="102"/>
      <c r="AU801" s="102"/>
      <c r="AV801" s="102"/>
      <c r="AW801" s="102"/>
      <c r="AX801" s="102"/>
      <c r="AY801" s="102"/>
    </row>
    <row r="802" spans="1:5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  <c r="AH802" s="102"/>
      <c r="AI802" s="102"/>
      <c r="AJ802" s="102"/>
      <c r="AK802" s="102"/>
      <c r="AL802" s="102"/>
      <c r="AM802" s="102"/>
      <c r="AN802" s="102"/>
      <c r="AO802" s="102"/>
      <c r="AP802" s="102"/>
      <c r="AQ802" s="102"/>
      <c r="AR802" s="102"/>
      <c r="AS802" s="102"/>
      <c r="AT802" s="102"/>
      <c r="AU802" s="102"/>
      <c r="AV802" s="102"/>
      <c r="AW802" s="102"/>
      <c r="AX802" s="102"/>
      <c r="AY802" s="102"/>
    </row>
    <row r="803" spans="1:5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  <c r="AH803" s="102"/>
      <c r="AI803" s="102"/>
      <c r="AJ803" s="102"/>
      <c r="AK803" s="102"/>
      <c r="AL803" s="102"/>
      <c r="AM803" s="102"/>
      <c r="AN803" s="102"/>
      <c r="AO803" s="102"/>
      <c r="AP803" s="102"/>
      <c r="AQ803" s="102"/>
      <c r="AR803" s="102"/>
      <c r="AS803" s="102"/>
      <c r="AT803" s="102"/>
      <c r="AU803" s="102"/>
      <c r="AV803" s="102"/>
      <c r="AW803" s="102"/>
      <c r="AX803" s="102"/>
      <c r="AY803" s="102"/>
    </row>
    <row r="804" spans="1:5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  <c r="AH804" s="102"/>
      <c r="AI804" s="102"/>
      <c r="AJ804" s="102"/>
      <c r="AK804" s="102"/>
      <c r="AL804" s="102"/>
      <c r="AM804" s="102"/>
      <c r="AN804" s="102"/>
      <c r="AO804" s="102"/>
      <c r="AP804" s="102"/>
      <c r="AQ804" s="102"/>
      <c r="AR804" s="102"/>
      <c r="AS804" s="102"/>
      <c r="AT804" s="102"/>
      <c r="AU804" s="102"/>
      <c r="AV804" s="102"/>
      <c r="AW804" s="102"/>
      <c r="AX804" s="102"/>
      <c r="AY804" s="102"/>
    </row>
    <row r="805" spans="1:5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  <c r="AH805" s="102"/>
      <c r="AI805" s="102"/>
      <c r="AJ805" s="102"/>
      <c r="AK805" s="102"/>
      <c r="AL805" s="102"/>
      <c r="AM805" s="102"/>
      <c r="AN805" s="102"/>
      <c r="AO805" s="102"/>
      <c r="AP805" s="102"/>
      <c r="AQ805" s="102"/>
      <c r="AR805" s="102"/>
      <c r="AS805" s="102"/>
      <c r="AT805" s="102"/>
      <c r="AU805" s="102"/>
      <c r="AV805" s="102"/>
      <c r="AW805" s="102"/>
      <c r="AX805" s="102"/>
      <c r="AY805" s="102"/>
    </row>
    <row r="806" spans="1:5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  <c r="AH806" s="102"/>
      <c r="AI806" s="102"/>
      <c r="AJ806" s="102"/>
      <c r="AK806" s="102"/>
      <c r="AL806" s="102"/>
      <c r="AM806" s="102"/>
      <c r="AN806" s="102"/>
      <c r="AO806" s="102"/>
      <c r="AP806" s="102"/>
      <c r="AQ806" s="102"/>
      <c r="AR806" s="102"/>
      <c r="AS806" s="102"/>
      <c r="AT806" s="102"/>
      <c r="AU806" s="102"/>
      <c r="AV806" s="102"/>
      <c r="AW806" s="102"/>
      <c r="AX806" s="102"/>
      <c r="AY806" s="102"/>
    </row>
    <row r="807" spans="1:5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  <c r="AI807" s="102"/>
      <c r="AJ807" s="102"/>
      <c r="AK807" s="102"/>
      <c r="AL807" s="102"/>
      <c r="AM807" s="102"/>
      <c r="AN807" s="102"/>
      <c r="AO807" s="102"/>
      <c r="AP807" s="102"/>
      <c r="AQ807" s="102"/>
      <c r="AR807" s="102"/>
      <c r="AS807" s="102"/>
      <c r="AT807" s="102"/>
      <c r="AU807" s="102"/>
      <c r="AV807" s="102"/>
      <c r="AW807" s="102"/>
      <c r="AX807" s="102"/>
      <c r="AY807" s="102"/>
    </row>
    <row r="808" spans="1:5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  <c r="AI808" s="102"/>
      <c r="AJ808" s="102"/>
      <c r="AK808" s="102"/>
      <c r="AL808" s="102"/>
      <c r="AM808" s="102"/>
      <c r="AN808" s="102"/>
      <c r="AO808" s="102"/>
      <c r="AP808" s="102"/>
      <c r="AQ808" s="102"/>
      <c r="AR808" s="102"/>
      <c r="AS808" s="102"/>
      <c r="AT808" s="102"/>
      <c r="AU808" s="102"/>
      <c r="AV808" s="102"/>
      <c r="AW808" s="102"/>
      <c r="AX808" s="102"/>
      <c r="AY808" s="102"/>
    </row>
    <row r="809" spans="1:5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  <c r="AH809" s="102"/>
      <c r="AI809" s="102"/>
      <c r="AJ809" s="102"/>
      <c r="AK809" s="102"/>
      <c r="AL809" s="102"/>
      <c r="AM809" s="102"/>
      <c r="AN809" s="102"/>
      <c r="AO809" s="102"/>
      <c r="AP809" s="102"/>
      <c r="AQ809" s="102"/>
      <c r="AR809" s="102"/>
      <c r="AS809" s="102"/>
      <c r="AT809" s="102"/>
      <c r="AU809" s="102"/>
      <c r="AV809" s="102"/>
      <c r="AW809" s="102"/>
      <c r="AX809" s="102"/>
      <c r="AY809" s="102"/>
    </row>
    <row r="810" spans="1:5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  <c r="AH810" s="102"/>
      <c r="AI810" s="102"/>
      <c r="AJ810" s="102"/>
      <c r="AK810" s="102"/>
      <c r="AL810" s="102"/>
      <c r="AM810" s="102"/>
      <c r="AN810" s="102"/>
      <c r="AO810" s="102"/>
      <c r="AP810" s="102"/>
      <c r="AQ810" s="102"/>
      <c r="AR810" s="102"/>
      <c r="AS810" s="102"/>
      <c r="AT810" s="102"/>
      <c r="AU810" s="102"/>
      <c r="AV810" s="102"/>
      <c r="AW810" s="102"/>
      <c r="AX810" s="102"/>
      <c r="AY810" s="102"/>
    </row>
    <row r="811" spans="1:5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  <c r="AH811" s="102"/>
      <c r="AI811" s="102"/>
      <c r="AJ811" s="102"/>
      <c r="AK811" s="102"/>
      <c r="AL811" s="102"/>
      <c r="AM811" s="102"/>
      <c r="AN811" s="102"/>
      <c r="AO811" s="102"/>
      <c r="AP811" s="102"/>
      <c r="AQ811" s="102"/>
      <c r="AR811" s="102"/>
      <c r="AS811" s="102"/>
      <c r="AT811" s="102"/>
      <c r="AU811" s="102"/>
      <c r="AV811" s="102"/>
      <c r="AW811" s="102"/>
      <c r="AX811" s="102"/>
      <c r="AY811" s="102"/>
    </row>
    <row r="812" spans="1:5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  <c r="AH812" s="102"/>
      <c r="AI812" s="102"/>
      <c r="AJ812" s="102"/>
      <c r="AK812" s="102"/>
      <c r="AL812" s="102"/>
      <c r="AM812" s="102"/>
      <c r="AN812" s="102"/>
      <c r="AO812" s="102"/>
      <c r="AP812" s="102"/>
      <c r="AQ812" s="102"/>
      <c r="AR812" s="102"/>
      <c r="AS812" s="102"/>
      <c r="AT812" s="102"/>
      <c r="AU812" s="102"/>
      <c r="AV812" s="102"/>
      <c r="AW812" s="102"/>
      <c r="AX812" s="102"/>
      <c r="AY812" s="102"/>
    </row>
    <row r="813" spans="1:5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  <c r="AH813" s="102"/>
      <c r="AI813" s="102"/>
      <c r="AJ813" s="102"/>
      <c r="AK813" s="102"/>
      <c r="AL813" s="102"/>
      <c r="AM813" s="102"/>
      <c r="AN813" s="102"/>
      <c r="AO813" s="102"/>
      <c r="AP813" s="102"/>
      <c r="AQ813" s="102"/>
      <c r="AR813" s="102"/>
      <c r="AS813" s="102"/>
      <c r="AT813" s="102"/>
      <c r="AU813" s="102"/>
      <c r="AV813" s="102"/>
      <c r="AW813" s="102"/>
      <c r="AX813" s="102"/>
      <c r="AY813" s="102"/>
    </row>
    <row r="814" spans="1:5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  <c r="AH814" s="102"/>
      <c r="AI814" s="102"/>
      <c r="AJ814" s="102"/>
      <c r="AK814" s="102"/>
      <c r="AL814" s="102"/>
      <c r="AM814" s="102"/>
      <c r="AN814" s="102"/>
      <c r="AO814" s="102"/>
      <c r="AP814" s="102"/>
      <c r="AQ814" s="102"/>
      <c r="AR814" s="102"/>
      <c r="AS814" s="102"/>
      <c r="AT814" s="102"/>
      <c r="AU814" s="102"/>
      <c r="AV814" s="102"/>
      <c r="AW814" s="102"/>
      <c r="AX814" s="102"/>
      <c r="AY814" s="102"/>
    </row>
    <row r="815" spans="1:5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  <c r="AH815" s="102"/>
      <c r="AI815" s="102"/>
      <c r="AJ815" s="102"/>
      <c r="AK815" s="102"/>
      <c r="AL815" s="102"/>
      <c r="AM815" s="102"/>
      <c r="AN815" s="102"/>
      <c r="AO815" s="102"/>
      <c r="AP815" s="102"/>
      <c r="AQ815" s="102"/>
      <c r="AR815" s="102"/>
      <c r="AS815" s="102"/>
      <c r="AT815" s="102"/>
      <c r="AU815" s="102"/>
      <c r="AV815" s="102"/>
      <c r="AW815" s="102"/>
      <c r="AX815" s="102"/>
      <c r="AY815" s="102"/>
    </row>
    <row r="816" spans="1:5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  <c r="AH816" s="102"/>
      <c r="AI816" s="102"/>
      <c r="AJ816" s="102"/>
      <c r="AK816" s="102"/>
      <c r="AL816" s="102"/>
      <c r="AM816" s="102"/>
      <c r="AN816" s="102"/>
      <c r="AO816" s="102"/>
      <c r="AP816" s="102"/>
      <c r="AQ816" s="102"/>
      <c r="AR816" s="102"/>
      <c r="AS816" s="102"/>
      <c r="AT816" s="102"/>
      <c r="AU816" s="102"/>
      <c r="AV816" s="102"/>
      <c r="AW816" s="102"/>
      <c r="AX816" s="102"/>
      <c r="AY816" s="102"/>
    </row>
    <row r="817" spans="1:5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  <c r="AH817" s="102"/>
      <c r="AI817" s="102"/>
      <c r="AJ817" s="102"/>
      <c r="AK817" s="102"/>
      <c r="AL817" s="102"/>
      <c r="AM817" s="102"/>
      <c r="AN817" s="102"/>
      <c r="AO817" s="102"/>
      <c r="AP817" s="102"/>
      <c r="AQ817" s="102"/>
      <c r="AR817" s="102"/>
      <c r="AS817" s="102"/>
      <c r="AT817" s="102"/>
      <c r="AU817" s="102"/>
      <c r="AV817" s="102"/>
      <c r="AW817" s="102"/>
      <c r="AX817" s="102"/>
      <c r="AY817" s="102"/>
    </row>
    <row r="818" spans="1:5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  <c r="AH818" s="102"/>
      <c r="AI818" s="102"/>
      <c r="AJ818" s="102"/>
      <c r="AK818" s="102"/>
      <c r="AL818" s="102"/>
      <c r="AM818" s="102"/>
      <c r="AN818" s="102"/>
      <c r="AO818" s="102"/>
      <c r="AP818" s="102"/>
      <c r="AQ818" s="102"/>
      <c r="AR818" s="102"/>
      <c r="AS818" s="102"/>
      <c r="AT818" s="102"/>
      <c r="AU818" s="102"/>
      <c r="AV818" s="102"/>
      <c r="AW818" s="102"/>
      <c r="AX818" s="102"/>
      <c r="AY818" s="102"/>
    </row>
    <row r="819" spans="1:5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  <c r="AH819" s="102"/>
      <c r="AI819" s="102"/>
      <c r="AJ819" s="102"/>
      <c r="AK819" s="102"/>
      <c r="AL819" s="102"/>
      <c r="AM819" s="102"/>
      <c r="AN819" s="102"/>
      <c r="AO819" s="102"/>
      <c r="AP819" s="102"/>
      <c r="AQ819" s="102"/>
      <c r="AR819" s="102"/>
      <c r="AS819" s="102"/>
      <c r="AT819" s="102"/>
      <c r="AU819" s="102"/>
      <c r="AV819" s="102"/>
      <c r="AW819" s="102"/>
      <c r="AX819" s="102"/>
      <c r="AY819" s="102"/>
    </row>
    <row r="820" spans="1:5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  <c r="AH820" s="102"/>
      <c r="AI820" s="102"/>
      <c r="AJ820" s="102"/>
      <c r="AK820" s="102"/>
      <c r="AL820" s="102"/>
      <c r="AM820" s="102"/>
      <c r="AN820" s="102"/>
      <c r="AO820" s="102"/>
      <c r="AP820" s="102"/>
      <c r="AQ820" s="102"/>
      <c r="AR820" s="102"/>
      <c r="AS820" s="102"/>
      <c r="AT820" s="102"/>
      <c r="AU820" s="102"/>
      <c r="AV820" s="102"/>
      <c r="AW820" s="102"/>
      <c r="AX820" s="102"/>
      <c r="AY820" s="102"/>
    </row>
    <row r="821" spans="1:5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  <c r="AH821" s="102"/>
      <c r="AI821" s="102"/>
      <c r="AJ821" s="102"/>
      <c r="AK821" s="102"/>
      <c r="AL821" s="102"/>
      <c r="AM821" s="102"/>
      <c r="AN821" s="102"/>
      <c r="AO821" s="102"/>
      <c r="AP821" s="102"/>
      <c r="AQ821" s="102"/>
      <c r="AR821" s="102"/>
      <c r="AS821" s="102"/>
      <c r="AT821" s="102"/>
      <c r="AU821" s="102"/>
      <c r="AV821" s="102"/>
      <c r="AW821" s="102"/>
      <c r="AX821" s="102"/>
      <c r="AY821" s="102"/>
    </row>
    <row r="822" spans="1:5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  <c r="AH822" s="102"/>
      <c r="AI822" s="102"/>
      <c r="AJ822" s="102"/>
      <c r="AK822" s="102"/>
      <c r="AL822" s="102"/>
      <c r="AM822" s="102"/>
      <c r="AN822" s="102"/>
      <c r="AO822" s="102"/>
      <c r="AP822" s="102"/>
      <c r="AQ822" s="102"/>
      <c r="AR822" s="102"/>
      <c r="AS822" s="102"/>
      <c r="AT822" s="102"/>
      <c r="AU822" s="102"/>
      <c r="AV822" s="102"/>
      <c r="AW822" s="102"/>
      <c r="AX822" s="102"/>
      <c r="AY822" s="102"/>
    </row>
    <row r="823" spans="1:5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  <c r="AH823" s="102"/>
      <c r="AI823" s="102"/>
      <c r="AJ823" s="102"/>
      <c r="AK823" s="102"/>
      <c r="AL823" s="102"/>
      <c r="AM823" s="102"/>
      <c r="AN823" s="102"/>
      <c r="AO823" s="102"/>
      <c r="AP823" s="102"/>
      <c r="AQ823" s="102"/>
      <c r="AR823" s="102"/>
      <c r="AS823" s="102"/>
      <c r="AT823" s="102"/>
      <c r="AU823" s="102"/>
      <c r="AV823" s="102"/>
      <c r="AW823" s="102"/>
      <c r="AX823" s="102"/>
      <c r="AY823" s="102"/>
    </row>
    <row r="824" spans="1:5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  <c r="AH824" s="102"/>
      <c r="AI824" s="102"/>
      <c r="AJ824" s="102"/>
      <c r="AK824" s="102"/>
      <c r="AL824" s="102"/>
      <c r="AM824" s="102"/>
      <c r="AN824" s="102"/>
      <c r="AO824" s="102"/>
      <c r="AP824" s="102"/>
      <c r="AQ824" s="102"/>
      <c r="AR824" s="102"/>
      <c r="AS824" s="102"/>
      <c r="AT824" s="102"/>
      <c r="AU824" s="102"/>
      <c r="AV824" s="102"/>
      <c r="AW824" s="102"/>
      <c r="AX824" s="102"/>
      <c r="AY824" s="102"/>
    </row>
    <row r="825" spans="1:5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  <c r="AH825" s="102"/>
      <c r="AI825" s="102"/>
      <c r="AJ825" s="102"/>
      <c r="AK825" s="102"/>
      <c r="AL825" s="102"/>
      <c r="AM825" s="102"/>
      <c r="AN825" s="102"/>
      <c r="AO825" s="102"/>
      <c r="AP825" s="102"/>
      <c r="AQ825" s="102"/>
      <c r="AR825" s="102"/>
      <c r="AS825" s="102"/>
      <c r="AT825" s="102"/>
      <c r="AU825" s="102"/>
      <c r="AV825" s="102"/>
      <c r="AW825" s="102"/>
      <c r="AX825" s="102"/>
      <c r="AY825" s="102"/>
    </row>
    <row r="826" spans="1:5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  <c r="AI826" s="102"/>
      <c r="AJ826" s="102"/>
      <c r="AK826" s="102"/>
      <c r="AL826" s="102"/>
      <c r="AM826" s="102"/>
      <c r="AN826" s="102"/>
      <c r="AO826" s="102"/>
      <c r="AP826" s="102"/>
      <c r="AQ826" s="102"/>
      <c r="AR826" s="102"/>
      <c r="AS826" s="102"/>
      <c r="AT826" s="102"/>
      <c r="AU826" s="102"/>
      <c r="AV826" s="102"/>
      <c r="AW826" s="102"/>
      <c r="AX826" s="102"/>
      <c r="AY826" s="102"/>
    </row>
    <row r="827" spans="1:5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  <c r="AH827" s="102"/>
      <c r="AI827" s="102"/>
      <c r="AJ827" s="102"/>
      <c r="AK827" s="102"/>
      <c r="AL827" s="102"/>
      <c r="AM827" s="102"/>
      <c r="AN827" s="102"/>
      <c r="AO827" s="102"/>
      <c r="AP827" s="102"/>
      <c r="AQ827" s="102"/>
      <c r="AR827" s="102"/>
      <c r="AS827" s="102"/>
      <c r="AT827" s="102"/>
      <c r="AU827" s="102"/>
      <c r="AV827" s="102"/>
      <c r="AW827" s="102"/>
      <c r="AX827" s="102"/>
      <c r="AY827" s="102"/>
    </row>
    <row r="828" spans="1:5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  <c r="AH828" s="102"/>
      <c r="AI828" s="102"/>
      <c r="AJ828" s="102"/>
      <c r="AK828" s="102"/>
      <c r="AL828" s="102"/>
      <c r="AM828" s="102"/>
      <c r="AN828" s="102"/>
      <c r="AO828" s="102"/>
      <c r="AP828" s="102"/>
      <c r="AQ828" s="102"/>
      <c r="AR828" s="102"/>
      <c r="AS828" s="102"/>
      <c r="AT828" s="102"/>
      <c r="AU828" s="102"/>
      <c r="AV828" s="102"/>
      <c r="AW828" s="102"/>
      <c r="AX828" s="102"/>
      <c r="AY828" s="102"/>
    </row>
    <row r="829" spans="1:5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  <c r="AH829" s="102"/>
      <c r="AI829" s="102"/>
      <c r="AJ829" s="102"/>
      <c r="AK829" s="102"/>
      <c r="AL829" s="102"/>
      <c r="AM829" s="102"/>
      <c r="AN829" s="102"/>
      <c r="AO829" s="102"/>
      <c r="AP829" s="102"/>
      <c r="AQ829" s="102"/>
      <c r="AR829" s="102"/>
      <c r="AS829" s="102"/>
      <c r="AT829" s="102"/>
      <c r="AU829" s="102"/>
      <c r="AV829" s="102"/>
      <c r="AW829" s="102"/>
      <c r="AX829" s="102"/>
      <c r="AY829" s="102"/>
    </row>
    <row r="830" spans="1:5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  <c r="AH830" s="102"/>
      <c r="AI830" s="102"/>
      <c r="AJ830" s="102"/>
      <c r="AK830" s="102"/>
      <c r="AL830" s="102"/>
      <c r="AM830" s="102"/>
      <c r="AN830" s="102"/>
      <c r="AO830" s="102"/>
      <c r="AP830" s="102"/>
      <c r="AQ830" s="102"/>
      <c r="AR830" s="102"/>
      <c r="AS830" s="102"/>
      <c r="AT830" s="102"/>
      <c r="AU830" s="102"/>
      <c r="AV830" s="102"/>
      <c r="AW830" s="102"/>
      <c r="AX830" s="102"/>
      <c r="AY830" s="102"/>
    </row>
    <row r="831" spans="1:5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  <c r="AI831" s="102"/>
      <c r="AJ831" s="102"/>
      <c r="AK831" s="102"/>
      <c r="AL831" s="102"/>
      <c r="AM831" s="102"/>
      <c r="AN831" s="102"/>
      <c r="AO831" s="102"/>
      <c r="AP831" s="102"/>
      <c r="AQ831" s="102"/>
      <c r="AR831" s="102"/>
      <c r="AS831" s="102"/>
      <c r="AT831" s="102"/>
      <c r="AU831" s="102"/>
      <c r="AV831" s="102"/>
      <c r="AW831" s="102"/>
      <c r="AX831" s="102"/>
      <c r="AY831" s="102"/>
    </row>
    <row r="832" spans="1:5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  <c r="AH832" s="102"/>
      <c r="AI832" s="102"/>
      <c r="AJ832" s="102"/>
      <c r="AK832" s="102"/>
      <c r="AL832" s="102"/>
      <c r="AM832" s="102"/>
      <c r="AN832" s="102"/>
      <c r="AO832" s="102"/>
      <c r="AP832" s="102"/>
      <c r="AQ832" s="102"/>
      <c r="AR832" s="102"/>
      <c r="AS832" s="102"/>
      <c r="AT832" s="102"/>
      <c r="AU832" s="102"/>
      <c r="AV832" s="102"/>
      <c r="AW832" s="102"/>
      <c r="AX832" s="102"/>
      <c r="AY832" s="102"/>
    </row>
    <row r="833" spans="1:5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  <c r="AH833" s="102"/>
      <c r="AI833" s="102"/>
      <c r="AJ833" s="102"/>
      <c r="AK833" s="102"/>
      <c r="AL833" s="102"/>
      <c r="AM833" s="102"/>
      <c r="AN833" s="102"/>
      <c r="AO833" s="102"/>
      <c r="AP833" s="102"/>
      <c r="AQ833" s="102"/>
      <c r="AR833" s="102"/>
      <c r="AS833" s="102"/>
      <c r="AT833" s="102"/>
      <c r="AU833" s="102"/>
      <c r="AV833" s="102"/>
      <c r="AW833" s="102"/>
      <c r="AX833" s="102"/>
      <c r="AY833" s="102"/>
    </row>
    <row r="834" spans="1:5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  <c r="AH834" s="102"/>
      <c r="AI834" s="102"/>
      <c r="AJ834" s="102"/>
      <c r="AK834" s="102"/>
      <c r="AL834" s="102"/>
      <c r="AM834" s="102"/>
      <c r="AN834" s="102"/>
      <c r="AO834" s="102"/>
      <c r="AP834" s="102"/>
      <c r="AQ834" s="102"/>
      <c r="AR834" s="102"/>
      <c r="AS834" s="102"/>
      <c r="AT834" s="102"/>
      <c r="AU834" s="102"/>
      <c r="AV834" s="102"/>
      <c r="AW834" s="102"/>
      <c r="AX834" s="102"/>
      <c r="AY834" s="102"/>
    </row>
    <row r="835" spans="1:5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  <c r="AH835" s="102"/>
      <c r="AI835" s="102"/>
      <c r="AJ835" s="102"/>
      <c r="AK835" s="102"/>
      <c r="AL835" s="102"/>
      <c r="AM835" s="102"/>
      <c r="AN835" s="102"/>
      <c r="AO835" s="102"/>
      <c r="AP835" s="102"/>
      <c r="AQ835" s="102"/>
      <c r="AR835" s="102"/>
      <c r="AS835" s="102"/>
      <c r="AT835" s="102"/>
      <c r="AU835" s="102"/>
      <c r="AV835" s="102"/>
      <c r="AW835" s="102"/>
      <c r="AX835" s="102"/>
      <c r="AY835" s="102"/>
    </row>
    <row r="836" spans="1:5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  <c r="AH836" s="102"/>
      <c r="AI836" s="102"/>
      <c r="AJ836" s="102"/>
      <c r="AK836" s="102"/>
      <c r="AL836" s="102"/>
      <c r="AM836" s="102"/>
      <c r="AN836" s="102"/>
      <c r="AO836" s="102"/>
      <c r="AP836" s="102"/>
      <c r="AQ836" s="102"/>
      <c r="AR836" s="102"/>
      <c r="AS836" s="102"/>
      <c r="AT836" s="102"/>
      <c r="AU836" s="102"/>
      <c r="AV836" s="102"/>
      <c r="AW836" s="102"/>
      <c r="AX836" s="102"/>
      <c r="AY836" s="102"/>
    </row>
    <row r="837" spans="1:5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  <c r="AH837" s="102"/>
      <c r="AI837" s="102"/>
      <c r="AJ837" s="102"/>
      <c r="AK837" s="102"/>
      <c r="AL837" s="102"/>
      <c r="AM837" s="102"/>
      <c r="AN837" s="102"/>
      <c r="AO837" s="102"/>
      <c r="AP837" s="102"/>
      <c r="AQ837" s="102"/>
      <c r="AR837" s="102"/>
      <c r="AS837" s="102"/>
      <c r="AT837" s="102"/>
      <c r="AU837" s="102"/>
      <c r="AV837" s="102"/>
      <c r="AW837" s="102"/>
      <c r="AX837" s="102"/>
      <c r="AY837" s="102"/>
    </row>
    <row r="838" spans="1:5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  <c r="AH838" s="102"/>
      <c r="AI838" s="102"/>
      <c r="AJ838" s="102"/>
      <c r="AK838" s="102"/>
      <c r="AL838" s="102"/>
      <c r="AM838" s="102"/>
      <c r="AN838" s="102"/>
      <c r="AO838" s="102"/>
      <c r="AP838" s="102"/>
      <c r="AQ838" s="102"/>
      <c r="AR838" s="102"/>
      <c r="AS838" s="102"/>
      <c r="AT838" s="102"/>
      <c r="AU838" s="102"/>
      <c r="AV838" s="102"/>
      <c r="AW838" s="102"/>
      <c r="AX838" s="102"/>
      <c r="AY838" s="102"/>
    </row>
    <row r="839" spans="1:5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  <c r="AH839" s="102"/>
      <c r="AI839" s="102"/>
      <c r="AJ839" s="102"/>
      <c r="AK839" s="102"/>
      <c r="AL839" s="102"/>
      <c r="AM839" s="102"/>
      <c r="AN839" s="102"/>
      <c r="AO839" s="102"/>
      <c r="AP839" s="102"/>
      <c r="AQ839" s="102"/>
      <c r="AR839" s="102"/>
      <c r="AS839" s="102"/>
      <c r="AT839" s="102"/>
      <c r="AU839" s="102"/>
      <c r="AV839" s="102"/>
      <c r="AW839" s="102"/>
      <c r="AX839" s="102"/>
      <c r="AY839" s="102"/>
    </row>
    <row r="840" spans="1:5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  <c r="AH840" s="102"/>
      <c r="AI840" s="102"/>
      <c r="AJ840" s="102"/>
      <c r="AK840" s="102"/>
      <c r="AL840" s="102"/>
      <c r="AM840" s="102"/>
      <c r="AN840" s="102"/>
      <c r="AO840" s="102"/>
      <c r="AP840" s="102"/>
      <c r="AQ840" s="102"/>
      <c r="AR840" s="102"/>
      <c r="AS840" s="102"/>
      <c r="AT840" s="102"/>
      <c r="AU840" s="102"/>
      <c r="AV840" s="102"/>
      <c r="AW840" s="102"/>
      <c r="AX840" s="102"/>
      <c r="AY840" s="102"/>
    </row>
    <row r="841" spans="1:5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  <c r="AH841" s="102"/>
      <c r="AI841" s="102"/>
      <c r="AJ841" s="102"/>
      <c r="AK841" s="102"/>
      <c r="AL841" s="102"/>
      <c r="AM841" s="102"/>
      <c r="AN841" s="102"/>
      <c r="AO841" s="102"/>
      <c r="AP841" s="102"/>
      <c r="AQ841" s="102"/>
      <c r="AR841" s="102"/>
      <c r="AS841" s="102"/>
      <c r="AT841" s="102"/>
      <c r="AU841" s="102"/>
      <c r="AV841" s="102"/>
      <c r="AW841" s="102"/>
      <c r="AX841" s="102"/>
      <c r="AY841" s="102"/>
    </row>
    <row r="842" spans="1:5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  <c r="AH842" s="102"/>
      <c r="AI842" s="102"/>
      <c r="AJ842" s="102"/>
      <c r="AK842" s="102"/>
      <c r="AL842" s="102"/>
      <c r="AM842" s="102"/>
      <c r="AN842" s="102"/>
      <c r="AO842" s="102"/>
      <c r="AP842" s="102"/>
      <c r="AQ842" s="102"/>
      <c r="AR842" s="102"/>
      <c r="AS842" s="102"/>
      <c r="AT842" s="102"/>
      <c r="AU842" s="102"/>
      <c r="AV842" s="102"/>
      <c r="AW842" s="102"/>
      <c r="AX842" s="102"/>
      <c r="AY842" s="102"/>
    </row>
    <row r="843" spans="1:5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  <c r="AH843" s="102"/>
      <c r="AI843" s="102"/>
      <c r="AJ843" s="102"/>
      <c r="AK843" s="102"/>
      <c r="AL843" s="102"/>
      <c r="AM843" s="102"/>
      <c r="AN843" s="102"/>
      <c r="AO843" s="102"/>
      <c r="AP843" s="102"/>
      <c r="AQ843" s="102"/>
      <c r="AR843" s="102"/>
      <c r="AS843" s="102"/>
      <c r="AT843" s="102"/>
      <c r="AU843" s="102"/>
      <c r="AV843" s="102"/>
      <c r="AW843" s="102"/>
      <c r="AX843" s="102"/>
      <c r="AY843" s="102"/>
    </row>
    <row r="844" spans="1:5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  <c r="AH844" s="102"/>
      <c r="AI844" s="102"/>
      <c r="AJ844" s="102"/>
      <c r="AK844" s="102"/>
      <c r="AL844" s="102"/>
      <c r="AM844" s="102"/>
      <c r="AN844" s="102"/>
      <c r="AO844" s="102"/>
      <c r="AP844" s="102"/>
      <c r="AQ844" s="102"/>
      <c r="AR844" s="102"/>
      <c r="AS844" s="102"/>
      <c r="AT844" s="102"/>
      <c r="AU844" s="102"/>
      <c r="AV844" s="102"/>
      <c r="AW844" s="102"/>
      <c r="AX844" s="102"/>
      <c r="AY844" s="102"/>
    </row>
    <row r="845" spans="1:5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  <c r="AH845" s="102"/>
      <c r="AI845" s="102"/>
      <c r="AJ845" s="102"/>
      <c r="AK845" s="102"/>
      <c r="AL845" s="102"/>
      <c r="AM845" s="102"/>
      <c r="AN845" s="102"/>
      <c r="AO845" s="102"/>
      <c r="AP845" s="102"/>
      <c r="AQ845" s="102"/>
      <c r="AR845" s="102"/>
      <c r="AS845" s="102"/>
      <c r="AT845" s="102"/>
      <c r="AU845" s="102"/>
      <c r="AV845" s="102"/>
      <c r="AW845" s="102"/>
      <c r="AX845" s="102"/>
      <c r="AY845" s="102"/>
    </row>
    <row r="846" spans="1:5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  <c r="AH846" s="102"/>
      <c r="AI846" s="102"/>
      <c r="AJ846" s="102"/>
      <c r="AK846" s="102"/>
      <c r="AL846" s="102"/>
      <c r="AM846" s="102"/>
      <c r="AN846" s="102"/>
      <c r="AO846" s="102"/>
      <c r="AP846" s="102"/>
      <c r="AQ846" s="102"/>
      <c r="AR846" s="102"/>
      <c r="AS846" s="102"/>
      <c r="AT846" s="102"/>
      <c r="AU846" s="102"/>
      <c r="AV846" s="102"/>
      <c r="AW846" s="102"/>
      <c r="AX846" s="102"/>
      <c r="AY846" s="102"/>
    </row>
    <row r="847" spans="1:5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  <c r="AH847" s="102"/>
      <c r="AI847" s="102"/>
      <c r="AJ847" s="102"/>
      <c r="AK847" s="102"/>
      <c r="AL847" s="102"/>
      <c r="AM847" s="102"/>
      <c r="AN847" s="102"/>
      <c r="AO847" s="102"/>
      <c r="AP847" s="102"/>
      <c r="AQ847" s="102"/>
      <c r="AR847" s="102"/>
      <c r="AS847" s="102"/>
      <c r="AT847" s="102"/>
      <c r="AU847" s="102"/>
      <c r="AV847" s="102"/>
      <c r="AW847" s="102"/>
      <c r="AX847" s="102"/>
      <c r="AY847" s="102"/>
    </row>
    <row r="848" spans="1:5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  <c r="AH848" s="102"/>
      <c r="AI848" s="102"/>
      <c r="AJ848" s="102"/>
      <c r="AK848" s="102"/>
      <c r="AL848" s="102"/>
      <c r="AM848" s="102"/>
      <c r="AN848" s="102"/>
      <c r="AO848" s="102"/>
      <c r="AP848" s="102"/>
      <c r="AQ848" s="102"/>
      <c r="AR848" s="102"/>
      <c r="AS848" s="102"/>
      <c r="AT848" s="102"/>
      <c r="AU848" s="102"/>
      <c r="AV848" s="102"/>
      <c r="AW848" s="102"/>
      <c r="AX848" s="102"/>
      <c r="AY848" s="102"/>
    </row>
    <row r="849" spans="1:5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  <c r="AI849" s="102"/>
      <c r="AJ849" s="102"/>
      <c r="AK849" s="102"/>
      <c r="AL849" s="102"/>
      <c r="AM849" s="102"/>
      <c r="AN849" s="102"/>
      <c r="AO849" s="102"/>
      <c r="AP849" s="102"/>
      <c r="AQ849" s="102"/>
      <c r="AR849" s="102"/>
      <c r="AS849" s="102"/>
      <c r="AT849" s="102"/>
      <c r="AU849" s="102"/>
      <c r="AV849" s="102"/>
      <c r="AW849" s="102"/>
      <c r="AX849" s="102"/>
      <c r="AY849" s="102"/>
    </row>
    <row r="850" spans="1:5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  <c r="AH850" s="102"/>
      <c r="AI850" s="102"/>
      <c r="AJ850" s="102"/>
      <c r="AK850" s="102"/>
      <c r="AL850" s="102"/>
      <c r="AM850" s="102"/>
      <c r="AN850" s="102"/>
      <c r="AO850" s="102"/>
      <c r="AP850" s="102"/>
      <c r="AQ850" s="102"/>
      <c r="AR850" s="102"/>
      <c r="AS850" s="102"/>
      <c r="AT850" s="102"/>
      <c r="AU850" s="102"/>
      <c r="AV850" s="102"/>
      <c r="AW850" s="102"/>
      <c r="AX850" s="102"/>
      <c r="AY850" s="102"/>
    </row>
    <row r="851" spans="1:5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  <c r="AH851" s="102"/>
      <c r="AI851" s="102"/>
      <c r="AJ851" s="102"/>
      <c r="AK851" s="102"/>
      <c r="AL851" s="102"/>
      <c r="AM851" s="102"/>
      <c r="AN851" s="102"/>
      <c r="AO851" s="102"/>
      <c r="AP851" s="102"/>
      <c r="AQ851" s="102"/>
      <c r="AR851" s="102"/>
      <c r="AS851" s="102"/>
      <c r="AT851" s="102"/>
      <c r="AU851" s="102"/>
      <c r="AV851" s="102"/>
      <c r="AW851" s="102"/>
      <c r="AX851" s="102"/>
      <c r="AY851" s="102"/>
    </row>
    <row r="852" spans="1:5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  <c r="AH852" s="102"/>
      <c r="AI852" s="102"/>
      <c r="AJ852" s="102"/>
      <c r="AK852" s="102"/>
      <c r="AL852" s="102"/>
      <c r="AM852" s="102"/>
      <c r="AN852" s="102"/>
      <c r="AO852" s="102"/>
      <c r="AP852" s="102"/>
      <c r="AQ852" s="102"/>
      <c r="AR852" s="102"/>
      <c r="AS852" s="102"/>
      <c r="AT852" s="102"/>
      <c r="AU852" s="102"/>
      <c r="AV852" s="102"/>
      <c r="AW852" s="102"/>
      <c r="AX852" s="102"/>
      <c r="AY852" s="102"/>
    </row>
    <row r="853" spans="1:5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  <c r="AH853" s="102"/>
      <c r="AI853" s="102"/>
      <c r="AJ853" s="102"/>
      <c r="AK853" s="102"/>
      <c r="AL853" s="102"/>
      <c r="AM853" s="102"/>
      <c r="AN853" s="102"/>
      <c r="AO853" s="102"/>
      <c r="AP853" s="102"/>
      <c r="AQ853" s="102"/>
      <c r="AR853" s="102"/>
      <c r="AS853" s="102"/>
      <c r="AT853" s="102"/>
      <c r="AU853" s="102"/>
      <c r="AV853" s="102"/>
      <c r="AW853" s="102"/>
      <c r="AX853" s="102"/>
      <c r="AY853" s="102"/>
    </row>
    <row r="854" spans="1:5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  <c r="AI854" s="102"/>
      <c r="AJ854" s="102"/>
      <c r="AK854" s="102"/>
      <c r="AL854" s="102"/>
      <c r="AM854" s="102"/>
      <c r="AN854" s="102"/>
      <c r="AO854" s="102"/>
      <c r="AP854" s="102"/>
      <c r="AQ854" s="102"/>
      <c r="AR854" s="102"/>
      <c r="AS854" s="102"/>
      <c r="AT854" s="102"/>
      <c r="AU854" s="102"/>
      <c r="AV854" s="102"/>
      <c r="AW854" s="102"/>
      <c r="AX854" s="102"/>
      <c r="AY854" s="102"/>
    </row>
    <row r="855" spans="1:5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  <c r="AI855" s="102"/>
      <c r="AJ855" s="102"/>
      <c r="AK855" s="102"/>
      <c r="AL855" s="102"/>
      <c r="AM855" s="102"/>
      <c r="AN855" s="102"/>
      <c r="AO855" s="102"/>
      <c r="AP855" s="102"/>
      <c r="AQ855" s="102"/>
      <c r="AR855" s="102"/>
      <c r="AS855" s="102"/>
      <c r="AT855" s="102"/>
      <c r="AU855" s="102"/>
      <c r="AV855" s="102"/>
      <c r="AW855" s="102"/>
      <c r="AX855" s="102"/>
      <c r="AY855" s="102"/>
    </row>
    <row r="856" spans="1:5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  <c r="AH856" s="102"/>
      <c r="AI856" s="102"/>
      <c r="AJ856" s="102"/>
      <c r="AK856" s="102"/>
      <c r="AL856" s="102"/>
      <c r="AM856" s="102"/>
      <c r="AN856" s="102"/>
      <c r="AO856" s="102"/>
      <c r="AP856" s="102"/>
      <c r="AQ856" s="102"/>
      <c r="AR856" s="102"/>
      <c r="AS856" s="102"/>
      <c r="AT856" s="102"/>
      <c r="AU856" s="102"/>
      <c r="AV856" s="102"/>
      <c r="AW856" s="102"/>
      <c r="AX856" s="102"/>
      <c r="AY856" s="102"/>
    </row>
    <row r="857" spans="1:5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  <c r="AH857" s="102"/>
      <c r="AI857" s="102"/>
      <c r="AJ857" s="102"/>
      <c r="AK857" s="102"/>
      <c r="AL857" s="102"/>
      <c r="AM857" s="102"/>
      <c r="AN857" s="102"/>
      <c r="AO857" s="102"/>
      <c r="AP857" s="102"/>
      <c r="AQ857" s="102"/>
      <c r="AR857" s="102"/>
      <c r="AS857" s="102"/>
      <c r="AT857" s="102"/>
      <c r="AU857" s="102"/>
      <c r="AV857" s="102"/>
      <c r="AW857" s="102"/>
      <c r="AX857" s="102"/>
      <c r="AY857" s="102"/>
    </row>
    <row r="858" spans="1:5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  <c r="AH858" s="102"/>
      <c r="AI858" s="102"/>
      <c r="AJ858" s="102"/>
      <c r="AK858" s="102"/>
      <c r="AL858" s="102"/>
      <c r="AM858" s="102"/>
      <c r="AN858" s="102"/>
      <c r="AO858" s="102"/>
      <c r="AP858" s="102"/>
      <c r="AQ858" s="102"/>
      <c r="AR858" s="102"/>
      <c r="AS858" s="102"/>
      <c r="AT858" s="102"/>
      <c r="AU858" s="102"/>
      <c r="AV858" s="102"/>
      <c r="AW858" s="102"/>
      <c r="AX858" s="102"/>
      <c r="AY858" s="102"/>
    </row>
    <row r="859" spans="1:5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  <c r="AH859" s="102"/>
      <c r="AI859" s="102"/>
      <c r="AJ859" s="102"/>
      <c r="AK859" s="102"/>
      <c r="AL859" s="102"/>
      <c r="AM859" s="102"/>
      <c r="AN859" s="102"/>
      <c r="AO859" s="102"/>
      <c r="AP859" s="102"/>
      <c r="AQ859" s="102"/>
      <c r="AR859" s="102"/>
      <c r="AS859" s="102"/>
      <c r="AT859" s="102"/>
      <c r="AU859" s="102"/>
      <c r="AV859" s="102"/>
      <c r="AW859" s="102"/>
      <c r="AX859" s="102"/>
      <c r="AY859" s="102"/>
    </row>
    <row r="860" spans="1:5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  <c r="AH860" s="102"/>
      <c r="AI860" s="102"/>
      <c r="AJ860" s="102"/>
      <c r="AK860" s="102"/>
      <c r="AL860" s="102"/>
      <c r="AM860" s="102"/>
      <c r="AN860" s="102"/>
      <c r="AO860" s="102"/>
      <c r="AP860" s="102"/>
      <c r="AQ860" s="102"/>
      <c r="AR860" s="102"/>
      <c r="AS860" s="102"/>
      <c r="AT860" s="102"/>
      <c r="AU860" s="102"/>
      <c r="AV860" s="102"/>
      <c r="AW860" s="102"/>
      <c r="AX860" s="102"/>
      <c r="AY860" s="102"/>
    </row>
    <row r="861" spans="1:5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  <c r="AH861" s="102"/>
      <c r="AI861" s="102"/>
      <c r="AJ861" s="102"/>
      <c r="AK861" s="102"/>
      <c r="AL861" s="102"/>
      <c r="AM861" s="102"/>
      <c r="AN861" s="102"/>
      <c r="AO861" s="102"/>
      <c r="AP861" s="102"/>
      <c r="AQ861" s="102"/>
      <c r="AR861" s="102"/>
      <c r="AS861" s="102"/>
      <c r="AT861" s="102"/>
      <c r="AU861" s="102"/>
      <c r="AV861" s="102"/>
      <c r="AW861" s="102"/>
      <c r="AX861" s="102"/>
      <c r="AY861" s="102"/>
    </row>
    <row r="862" spans="1:5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  <c r="AH862" s="102"/>
      <c r="AI862" s="102"/>
      <c r="AJ862" s="102"/>
      <c r="AK862" s="102"/>
      <c r="AL862" s="102"/>
      <c r="AM862" s="102"/>
      <c r="AN862" s="102"/>
      <c r="AO862" s="102"/>
      <c r="AP862" s="102"/>
      <c r="AQ862" s="102"/>
      <c r="AR862" s="102"/>
      <c r="AS862" s="102"/>
      <c r="AT862" s="102"/>
      <c r="AU862" s="102"/>
      <c r="AV862" s="102"/>
      <c r="AW862" s="102"/>
      <c r="AX862" s="102"/>
      <c r="AY862" s="102"/>
    </row>
    <row r="863" spans="1:5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  <c r="AH863" s="102"/>
      <c r="AI863" s="102"/>
      <c r="AJ863" s="102"/>
      <c r="AK863" s="102"/>
      <c r="AL863" s="102"/>
      <c r="AM863" s="102"/>
      <c r="AN863" s="102"/>
      <c r="AO863" s="102"/>
      <c r="AP863" s="102"/>
      <c r="AQ863" s="102"/>
      <c r="AR863" s="102"/>
      <c r="AS863" s="102"/>
      <c r="AT863" s="102"/>
      <c r="AU863" s="102"/>
      <c r="AV863" s="102"/>
      <c r="AW863" s="102"/>
      <c r="AX863" s="102"/>
      <c r="AY863" s="102"/>
    </row>
    <row r="864" spans="1:5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  <c r="AH864" s="102"/>
      <c r="AI864" s="102"/>
      <c r="AJ864" s="102"/>
      <c r="AK864" s="102"/>
      <c r="AL864" s="102"/>
      <c r="AM864" s="102"/>
      <c r="AN864" s="102"/>
      <c r="AO864" s="102"/>
      <c r="AP864" s="102"/>
      <c r="AQ864" s="102"/>
      <c r="AR864" s="102"/>
      <c r="AS864" s="102"/>
      <c r="AT864" s="102"/>
      <c r="AU864" s="102"/>
      <c r="AV864" s="102"/>
      <c r="AW864" s="102"/>
      <c r="AX864" s="102"/>
      <c r="AY864" s="102"/>
    </row>
    <row r="865" spans="1:5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  <c r="AH865" s="102"/>
      <c r="AI865" s="102"/>
      <c r="AJ865" s="102"/>
      <c r="AK865" s="102"/>
      <c r="AL865" s="102"/>
      <c r="AM865" s="102"/>
      <c r="AN865" s="102"/>
      <c r="AO865" s="102"/>
      <c r="AP865" s="102"/>
      <c r="AQ865" s="102"/>
      <c r="AR865" s="102"/>
      <c r="AS865" s="102"/>
      <c r="AT865" s="102"/>
      <c r="AU865" s="102"/>
      <c r="AV865" s="102"/>
      <c r="AW865" s="102"/>
      <c r="AX865" s="102"/>
      <c r="AY865" s="102"/>
    </row>
    <row r="866" spans="1:5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  <c r="AH866" s="102"/>
      <c r="AI866" s="102"/>
      <c r="AJ866" s="102"/>
      <c r="AK866" s="102"/>
      <c r="AL866" s="102"/>
      <c r="AM866" s="102"/>
      <c r="AN866" s="102"/>
      <c r="AO866" s="102"/>
      <c r="AP866" s="102"/>
      <c r="AQ866" s="102"/>
      <c r="AR866" s="102"/>
      <c r="AS866" s="102"/>
      <c r="AT866" s="102"/>
      <c r="AU866" s="102"/>
      <c r="AV866" s="102"/>
      <c r="AW866" s="102"/>
      <c r="AX866" s="102"/>
      <c r="AY866" s="102"/>
    </row>
    <row r="867" spans="1:5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  <c r="AH867" s="102"/>
      <c r="AI867" s="102"/>
      <c r="AJ867" s="102"/>
      <c r="AK867" s="102"/>
      <c r="AL867" s="102"/>
      <c r="AM867" s="102"/>
      <c r="AN867" s="102"/>
      <c r="AO867" s="102"/>
      <c r="AP867" s="102"/>
      <c r="AQ867" s="102"/>
      <c r="AR867" s="102"/>
      <c r="AS867" s="102"/>
      <c r="AT867" s="102"/>
      <c r="AU867" s="102"/>
      <c r="AV867" s="102"/>
      <c r="AW867" s="102"/>
      <c r="AX867" s="102"/>
      <c r="AY867" s="102"/>
    </row>
    <row r="868" spans="1:5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  <c r="AH868" s="102"/>
      <c r="AI868" s="102"/>
      <c r="AJ868" s="102"/>
      <c r="AK868" s="102"/>
      <c r="AL868" s="102"/>
      <c r="AM868" s="102"/>
      <c r="AN868" s="102"/>
      <c r="AO868" s="102"/>
      <c r="AP868" s="102"/>
      <c r="AQ868" s="102"/>
      <c r="AR868" s="102"/>
      <c r="AS868" s="102"/>
      <c r="AT868" s="102"/>
      <c r="AU868" s="102"/>
      <c r="AV868" s="102"/>
      <c r="AW868" s="102"/>
      <c r="AX868" s="102"/>
      <c r="AY868" s="102"/>
    </row>
    <row r="869" spans="1:5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  <c r="AH869" s="102"/>
      <c r="AI869" s="102"/>
      <c r="AJ869" s="102"/>
      <c r="AK869" s="102"/>
      <c r="AL869" s="102"/>
      <c r="AM869" s="102"/>
      <c r="AN869" s="102"/>
      <c r="AO869" s="102"/>
      <c r="AP869" s="102"/>
      <c r="AQ869" s="102"/>
      <c r="AR869" s="102"/>
      <c r="AS869" s="102"/>
      <c r="AT869" s="102"/>
      <c r="AU869" s="102"/>
      <c r="AV869" s="102"/>
      <c r="AW869" s="102"/>
      <c r="AX869" s="102"/>
      <c r="AY869" s="102"/>
    </row>
    <row r="870" spans="1:5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  <c r="AH870" s="102"/>
      <c r="AI870" s="102"/>
      <c r="AJ870" s="102"/>
      <c r="AK870" s="102"/>
      <c r="AL870" s="102"/>
      <c r="AM870" s="102"/>
      <c r="AN870" s="102"/>
      <c r="AO870" s="102"/>
      <c r="AP870" s="102"/>
      <c r="AQ870" s="102"/>
      <c r="AR870" s="102"/>
      <c r="AS870" s="102"/>
      <c r="AT870" s="102"/>
      <c r="AU870" s="102"/>
      <c r="AV870" s="102"/>
      <c r="AW870" s="102"/>
      <c r="AX870" s="102"/>
      <c r="AY870" s="102"/>
    </row>
    <row r="871" spans="1:5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  <c r="AH871" s="102"/>
      <c r="AI871" s="102"/>
      <c r="AJ871" s="102"/>
      <c r="AK871" s="102"/>
      <c r="AL871" s="102"/>
      <c r="AM871" s="102"/>
      <c r="AN871" s="102"/>
      <c r="AO871" s="102"/>
      <c r="AP871" s="102"/>
      <c r="AQ871" s="102"/>
      <c r="AR871" s="102"/>
      <c r="AS871" s="102"/>
      <c r="AT871" s="102"/>
      <c r="AU871" s="102"/>
      <c r="AV871" s="102"/>
      <c r="AW871" s="102"/>
      <c r="AX871" s="102"/>
      <c r="AY871" s="102"/>
    </row>
    <row r="872" spans="1:5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  <c r="AH872" s="102"/>
      <c r="AI872" s="102"/>
      <c r="AJ872" s="102"/>
      <c r="AK872" s="102"/>
      <c r="AL872" s="102"/>
      <c r="AM872" s="102"/>
      <c r="AN872" s="102"/>
      <c r="AO872" s="102"/>
      <c r="AP872" s="102"/>
      <c r="AQ872" s="102"/>
      <c r="AR872" s="102"/>
      <c r="AS872" s="102"/>
      <c r="AT872" s="102"/>
      <c r="AU872" s="102"/>
      <c r="AV872" s="102"/>
      <c r="AW872" s="102"/>
      <c r="AX872" s="102"/>
      <c r="AY872" s="102"/>
    </row>
    <row r="873" spans="1:5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  <c r="AH873" s="102"/>
      <c r="AI873" s="102"/>
      <c r="AJ873" s="102"/>
      <c r="AK873" s="102"/>
      <c r="AL873" s="102"/>
      <c r="AM873" s="102"/>
      <c r="AN873" s="102"/>
      <c r="AO873" s="102"/>
      <c r="AP873" s="102"/>
      <c r="AQ873" s="102"/>
      <c r="AR873" s="102"/>
      <c r="AS873" s="102"/>
      <c r="AT873" s="102"/>
      <c r="AU873" s="102"/>
      <c r="AV873" s="102"/>
      <c r="AW873" s="102"/>
      <c r="AX873" s="102"/>
      <c r="AY873" s="102"/>
    </row>
    <row r="874" spans="1:5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  <c r="AH874" s="102"/>
      <c r="AI874" s="102"/>
      <c r="AJ874" s="102"/>
      <c r="AK874" s="102"/>
      <c r="AL874" s="102"/>
      <c r="AM874" s="102"/>
      <c r="AN874" s="102"/>
      <c r="AO874" s="102"/>
      <c r="AP874" s="102"/>
      <c r="AQ874" s="102"/>
      <c r="AR874" s="102"/>
      <c r="AS874" s="102"/>
      <c r="AT874" s="102"/>
      <c r="AU874" s="102"/>
      <c r="AV874" s="102"/>
      <c r="AW874" s="102"/>
      <c r="AX874" s="102"/>
      <c r="AY874" s="102"/>
    </row>
    <row r="875" spans="1:5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  <c r="AH875" s="102"/>
      <c r="AI875" s="102"/>
      <c r="AJ875" s="102"/>
      <c r="AK875" s="102"/>
      <c r="AL875" s="102"/>
      <c r="AM875" s="102"/>
      <c r="AN875" s="102"/>
      <c r="AO875" s="102"/>
      <c r="AP875" s="102"/>
      <c r="AQ875" s="102"/>
      <c r="AR875" s="102"/>
      <c r="AS875" s="102"/>
      <c r="AT875" s="102"/>
      <c r="AU875" s="102"/>
      <c r="AV875" s="102"/>
      <c r="AW875" s="102"/>
      <c r="AX875" s="102"/>
      <c r="AY875" s="102"/>
    </row>
    <row r="876" spans="1:5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  <c r="AH876" s="102"/>
      <c r="AI876" s="102"/>
      <c r="AJ876" s="102"/>
      <c r="AK876" s="102"/>
      <c r="AL876" s="102"/>
      <c r="AM876" s="102"/>
      <c r="AN876" s="102"/>
      <c r="AO876" s="102"/>
      <c r="AP876" s="102"/>
      <c r="AQ876" s="102"/>
      <c r="AR876" s="102"/>
      <c r="AS876" s="102"/>
      <c r="AT876" s="102"/>
      <c r="AU876" s="102"/>
      <c r="AV876" s="102"/>
      <c r="AW876" s="102"/>
      <c r="AX876" s="102"/>
      <c r="AY876" s="102"/>
    </row>
    <row r="877" spans="1:5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  <c r="AH877" s="102"/>
      <c r="AI877" s="102"/>
      <c r="AJ877" s="102"/>
      <c r="AK877" s="102"/>
      <c r="AL877" s="102"/>
      <c r="AM877" s="102"/>
      <c r="AN877" s="102"/>
      <c r="AO877" s="102"/>
      <c r="AP877" s="102"/>
      <c r="AQ877" s="102"/>
      <c r="AR877" s="102"/>
      <c r="AS877" s="102"/>
      <c r="AT877" s="102"/>
      <c r="AU877" s="102"/>
      <c r="AV877" s="102"/>
      <c r="AW877" s="102"/>
      <c r="AX877" s="102"/>
      <c r="AY877" s="102"/>
    </row>
    <row r="878" spans="1:5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  <c r="AH878" s="102"/>
      <c r="AI878" s="102"/>
      <c r="AJ878" s="102"/>
      <c r="AK878" s="102"/>
      <c r="AL878" s="102"/>
      <c r="AM878" s="102"/>
      <c r="AN878" s="102"/>
      <c r="AO878" s="102"/>
      <c r="AP878" s="102"/>
      <c r="AQ878" s="102"/>
      <c r="AR878" s="102"/>
      <c r="AS878" s="102"/>
      <c r="AT878" s="102"/>
      <c r="AU878" s="102"/>
      <c r="AV878" s="102"/>
      <c r="AW878" s="102"/>
      <c r="AX878" s="102"/>
      <c r="AY878" s="102"/>
    </row>
    <row r="879" spans="1:5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  <c r="AI879" s="102"/>
      <c r="AJ879" s="102"/>
      <c r="AK879" s="102"/>
      <c r="AL879" s="102"/>
      <c r="AM879" s="102"/>
      <c r="AN879" s="102"/>
      <c r="AO879" s="102"/>
      <c r="AP879" s="102"/>
      <c r="AQ879" s="102"/>
      <c r="AR879" s="102"/>
      <c r="AS879" s="102"/>
      <c r="AT879" s="102"/>
      <c r="AU879" s="102"/>
      <c r="AV879" s="102"/>
      <c r="AW879" s="102"/>
      <c r="AX879" s="102"/>
      <c r="AY879" s="102"/>
    </row>
    <row r="880" spans="1:5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  <c r="AH880" s="102"/>
      <c r="AI880" s="102"/>
      <c r="AJ880" s="102"/>
      <c r="AK880" s="102"/>
      <c r="AL880" s="102"/>
      <c r="AM880" s="102"/>
      <c r="AN880" s="102"/>
      <c r="AO880" s="102"/>
      <c r="AP880" s="102"/>
      <c r="AQ880" s="102"/>
      <c r="AR880" s="102"/>
      <c r="AS880" s="102"/>
      <c r="AT880" s="102"/>
      <c r="AU880" s="102"/>
      <c r="AV880" s="102"/>
      <c r="AW880" s="102"/>
      <c r="AX880" s="102"/>
      <c r="AY880" s="102"/>
    </row>
    <row r="881" spans="1:5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  <c r="AH881" s="102"/>
      <c r="AI881" s="102"/>
      <c r="AJ881" s="102"/>
      <c r="AK881" s="102"/>
      <c r="AL881" s="102"/>
      <c r="AM881" s="102"/>
      <c r="AN881" s="102"/>
      <c r="AO881" s="102"/>
      <c r="AP881" s="102"/>
      <c r="AQ881" s="102"/>
      <c r="AR881" s="102"/>
      <c r="AS881" s="102"/>
      <c r="AT881" s="102"/>
      <c r="AU881" s="102"/>
      <c r="AV881" s="102"/>
      <c r="AW881" s="102"/>
      <c r="AX881" s="102"/>
      <c r="AY881" s="102"/>
    </row>
    <row r="882" spans="1:5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  <c r="AH882" s="102"/>
      <c r="AI882" s="102"/>
      <c r="AJ882" s="102"/>
      <c r="AK882" s="102"/>
      <c r="AL882" s="102"/>
      <c r="AM882" s="102"/>
      <c r="AN882" s="102"/>
      <c r="AO882" s="102"/>
      <c r="AP882" s="102"/>
      <c r="AQ882" s="102"/>
      <c r="AR882" s="102"/>
      <c r="AS882" s="102"/>
      <c r="AT882" s="102"/>
      <c r="AU882" s="102"/>
      <c r="AV882" s="102"/>
      <c r="AW882" s="102"/>
      <c r="AX882" s="102"/>
      <c r="AY882" s="102"/>
    </row>
    <row r="883" spans="1:5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  <c r="AH883" s="102"/>
      <c r="AI883" s="102"/>
      <c r="AJ883" s="102"/>
      <c r="AK883" s="102"/>
      <c r="AL883" s="102"/>
      <c r="AM883" s="102"/>
      <c r="AN883" s="102"/>
      <c r="AO883" s="102"/>
      <c r="AP883" s="102"/>
      <c r="AQ883" s="102"/>
      <c r="AR883" s="102"/>
      <c r="AS883" s="102"/>
      <c r="AT883" s="102"/>
      <c r="AU883" s="102"/>
      <c r="AV883" s="102"/>
      <c r="AW883" s="102"/>
      <c r="AX883" s="102"/>
      <c r="AY883" s="102"/>
    </row>
    <row r="884" spans="1:5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  <c r="AH884" s="102"/>
      <c r="AI884" s="102"/>
      <c r="AJ884" s="102"/>
      <c r="AK884" s="102"/>
      <c r="AL884" s="102"/>
      <c r="AM884" s="102"/>
      <c r="AN884" s="102"/>
      <c r="AO884" s="102"/>
      <c r="AP884" s="102"/>
      <c r="AQ884" s="102"/>
      <c r="AR884" s="102"/>
      <c r="AS884" s="102"/>
      <c r="AT884" s="102"/>
      <c r="AU884" s="102"/>
      <c r="AV884" s="102"/>
      <c r="AW884" s="102"/>
      <c r="AX884" s="102"/>
      <c r="AY884" s="102"/>
    </row>
    <row r="885" spans="1:5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  <c r="AH885" s="102"/>
      <c r="AI885" s="102"/>
      <c r="AJ885" s="102"/>
      <c r="AK885" s="102"/>
      <c r="AL885" s="102"/>
      <c r="AM885" s="102"/>
      <c r="AN885" s="102"/>
      <c r="AO885" s="102"/>
      <c r="AP885" s="102"/>
      <c r="AQ885" s="102"/>
      <c r="AR885" s="102"/>
      <c r="AS885" s="102"/>
      <c r="AT885" s="102"/>
      <c r="AU885" s="102"/>
      <c r="AV885" s="102"/>
      <c r="AW885" s="102"/>
      <c r="AX885" s="102"/>
      <c r="AY885" s="102"/>
    </row>
    <row r="886" spans="1:5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  <c r="AH886" s="102"/>
      <c r="AI886" s="102"/>
      <c r="AJ886" s="102"/>
      <c r="AK886" s="102"/>
      <c r="AL886" s="102"/>
      <c r="AM886" s="102"/>
      <c r="AN886" s="102"/>
      <c r="AO886" s="102"/>
      <c r="AP886" s="102"/>
      <c r="AQ886" s="102"/>
      <c r="AR886" s="102"/>
      <c r="AS886" s="102"/>
      <c r="AT886" s="102"/>
      <c r="AU886" s="102"/>
      <c r="AV886" s="102"/>
      <c r="AW886" s="102"/>
      <c r="AX886" s="102"/>
      <c r="AY886" s="102"/>
    </row>
    <row r="887" spans="1:5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  <c r="AH887" s="102"/>
      <c r="AI887" s="102"/>
      <c r="AJ887" s="102"/>
      <c r="AK887" s="102"/>
      <c r="AL887" s="102"/>
      <c r="AM887" s="102"/>
      <c r="AN887" s="102"/>
      <c r="AO887" s="102"/>
      <c r="AP887" s="102"/>
      <c r="AQ887" s="102"/>
      <c r="AR887" s="102"/>
      <c r="AS887" s="102"/>
      <c r="AT887" s="102"/>
      <c r="AU887" s="102"/>
      <c r="AV887" s="102"/>
      <c r="AW887" s="102"/>
      <c r="AX887" s="102"/>
      <c r="AY887" s="102"/>
    </row>
    <row r="888" spans="1:5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  <c r="AH888" s="102"/>
      <c r="AI888" s="102"/>
      <c r="AJ888" s="102"/>
      <c r="AK888" s="102"/>
      <c r="AL888" s="102"/>
      <c r="AM888" s="102"/>
      <c r="AN888" s="102"/>
      <c r="AO888" s="102"/>
      <c r="AP888" s="102"/>
      <c r="AQ888" s="102"/>
      <c r="AR888" s="102"/>
      <c r="AS888" s="102"/>
      <c r="AT888" s="102"/>
      <c r="AU888" s="102"/>
      <c r="AV888" s="102"/>
      <c r="AW888" s="102"/>
      <c r="AX888" s="102"/>
      <c r="AY888" s="102"/>
    </row>
    <row r="889" spans="1:5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  <c r="AH889" s="102"/>
      <c r="AI889" s="102"/>
      <c r="AJ889" s="102"/>
      <c r="AK889" s="102"/>
      <c r="AL889" s="102"/>
      <c r="AM889" s="102"/>
      <c r="AN889" s="102"/>
      <c r="AO889" s="102"/>
      <c r="AP889" s="102"/>
      <c r="AQ889" s="102"/>
      <c r="AR889" s="102"/>
      <c r="AS889" s="102"/>
      <c r="AT889" s="102"/>
      <c r="AU889" s="102"/>
      <c r="AV889" s="102"/>
      <c r="AW889" s="102"/>
      <c r="AX889" s="102"/>
      <c r="AY889" s="102"/>
    </row>
    <row r="890" spans="1:5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  <c r="AH890" s="102"/>
      <c r="AI890" s="102"/>
      <c r="AJ890" s="102"/>
      <c r="AK890" s="102"/>
      <c r="AL890" s="102"/>
      <c r="AM890" s="102"/>
      <c r="AN890" s="102"/>
      <c r="AO890" s="102"/>
      <c r="AP890" s="102"/>
      <c r="AQ890" s="102"/>
      <c r="AR890" s="102"/>
      <c r="AS890" s="102"/>
      <c r="AT890" s="102"/>
      <c r="AU890" s="102"/>
      <c r="AV890" s="102"/>
      <c r="AW890" s="102"/>
      <c r="AX890" s="102"/>
      <c r="AY890" s="102"/>
    </row>
    <row r="891" spans="1:5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  <c r="AH891" s="102"/>
      <c r="AI891" s="102"/>
      <c r="AJ891" s="102"/>
      <c r="AK891" s="102"/>
      <c r="AL891" s="102"/>
      <c r="AM891" s="102"/>
      <c r="AN891" s="102"/>
      <c r="AO891" s="102"/>
      <c r="AP891" s="102"/>
      <c r="AQ891" s="102"/>
      <c r="AR891" s="102"/>
      <c r="AS891" s="102"/>
      <c r="AT891" s="102"/>
      <c r="AU891" s="102"/>
      <c r="AV891" s="102"/>
      <c r="AW891" s="102"/>
      <c r="AX891" s="102"/>
      <c r="AY891" s="102"/>
    </row>
    <row r="892" spans="1:5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  <c r="AH892" s="102"/>
      <c r="AI892" s="102"/>
      <c r="AJ892" s="102"/>
      <c r="AK892" s="102"/>
      <c r="AL892" s="102"/>
      <c r="AM892" s="102"/>
      <c r="AN892" s="102"/>
      <c r="AO892" s="102"/>
      <c r="AP892" s="102"/>
      <c r="AQ892" s="102"/>
      <c r="AR892" s="102"/>
      <c r="AS892" s="102"/>
      <c r="AT892" s="102"/>
      <c r="AU892" s="102"/>
      <c r="AV892" s="102"/>
      <c r="AW892" s="102"/>
      <c r="AX892" s="102"/>
      <c r="AY892" s="102"/>
    </row>
    <row r="893" spans="1:5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  <c r="AH893" s="102"/>
      <c r="AI893" s="102"/>
      <c r="AJ893" s="102"/>
      <c r="AK893" s="102"/>
      <c r="AL893" s="102"/>
      <c r="AM893" s="102"/>
      <c r="AN893" s="102"/>
      <c r="AO893" s="102"/>
      <c r="AP893" s="102"/>
      <c r="AQ893" s="102"/>
      <c r="AR893" s="102"/>
      <c r="AS893" s="102"/>
      <c r="AT893" s="102"/>
      <c r="AU893" s="102"/>
      <c r="AV893" s="102"/>
      <c r="AW893" s="102"/>
      <c r="AX893" s="102"/>
      <c r="AY893" s="102"/>
    </row>
    <row r="894" spans="1:5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  <c r="AH894" s="102"/>
      <c r="AI894" s="102"/>
      <c r="AJ894" s="102"/>
      <c r="AK894" s="102"/>
      <c r="AL894" s="102"/>
      <c r="AM894" s="102"/>
      <c r="AN894" s="102"/>
      <c r="AO894" s="102"/>
      <c r="AP894" s="102"/>
      <c r="AQ894" s="102"/>
      <c r="AR894" s="102"/>
      <c r="AS894" s="102"/>
      <c r="AT894" s="102"/>
      <c r="AU894" s="102"/>
      <c r="AV894" s="102"/>
      <c r="AW894" s="102"/>
      <c r="AX894" s="102"/>
      <c r="AY894" s="102"/>
    </row>
    <row r="895" spans="1:5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  <c r="AH895" s="102"/>
      <c r="AI895" s="102"/>
      <c r="AJ895" s="102"/>
      <c r="AK895" s="102"/>
      <c r="AL895" s="102"/>
      <c r="AM895" s="102"/>
      <c r="AN895" s="102"/>
      <c r="AO895" s="102"/>
      <c r="AP895" s="102"/>
      <c r="AQ895" s="102"/>
      <c r="AR895" s="102"/>
      <c r="AS895" s="102"/>
      <c r="AT895" s="102"/>
      <c r="AU895" s="102"/>
      <c r="AV895" s="102"/>
      <c r="AW895" s="102"/>
      <c r="AX895" s="102"/>
      <c r="AY895" s="102"/>
    </row>
    <row r="896" spans="1:5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  <c r="AH896" s="102"/>
      <c r="AI896" s="102"/>
      <c r="AJ896" s="102"/>
      <c r="AK896" s="102"/>
      <c r="AL896" s="102"/>
      <c r="AM896" s="102"/>
      <c r="AN896" s="102"/>
      <c r="AO896" s="102"/>
      <c r="AP896" s="102"/>
      <c r="AQ896" s="102"/>
      <c r="AR896" s="102"/>
      <c r="AS896" s="102"/>
      <c r="AT896" s="102"/>
      <c r="AU896" s="102"/>
      <c r="AV896" s="102"/>
      <c r="AW896" s="102"/>
      <c r="AX896" s="102"/>
      <c r="AY896" s="102"/>
    </row>
    <row r="897" spans="1:5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  <c r="AH897" s="102"/>
      <c r="AI897" s="102"/>
      <c r="AJ897" s="102"/>
      <c r="AK897" s="102"/>
      <c r="AL897" s="102"/>
      <c r="AM897" s="102"/>
      <c r="AN897" s="102"/>
      <c r="AO897" s="102"/>
      <c r="AP897" s="102"/>
      <c r="AQ897" s="102"/>
      <c r="AR897" s="102"/>
      <c r="AS897" s="102"/>
      <c r="AT897" s="102"/>
      <c r="AU897" s="102"/>
      <c r="AV897" s="102"/>
      <c r="AW897" s="102"/>
      <c r="AX897" s="102"/>
      <c r="AY897" s="102"/>
    </row>
    <row r="898" spans="1:5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  <c r="AH898" s="102"/>
      <c r="AI898" s="102"/>
      <c r="AJ898" s="102"/>
      <c r="AK898" s="102"/>
      <c r="AL898" s="102"/>
      <c r="AM898" s="102"/>
      <c r="AN898" s="102"/>
      <c r="AO898" s="102"/>
      <c r="AP898" s="102"/>
      <c r="AQ898" s="102"/>
      <c r="AR898" s="102"/>
      <c r="AS898" s="102"/>
      <c r="AT898" s="102"/>
      <c r="AU898" s="102"/>
      <c r="AV898" s="102"/>
      <c r="AW898" s="102"/>
      <c r="AX898" s="102"/>
      <c r="AY898" s="102"/>
    </row>
    <row r="899" spans="1:5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  <c r="AH899" s="102"/>
      <c r="AI899" s="102"/>
      <c r="AJ899" s="102"/>
      <c r="AK899" s="102"/>
      <c r="AL899" s="102"/>
      <c r="AM899" s="102"/>
      <c r="AN899" s="102"/>
      <c r="AO899" s="102"/>
      <c r="AP899" s="102"/>
      <c r="AQ899" s="102"/>
      <c r="AR899" s="102"/>
      <c r="AS899" s="102"/>
      <c r="AT899" s="102"/>
      <c r="AU899" s="102"/>
      <c r="AV899" s="102"/>
      <c r="AW899" s="102"/>
      <c r="AX899" s="102"/>
      <c r="AY899" s="102"/>
    </row>
    <row r="900" spans="1:5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  <c r="AH900" s="102"/>
      <c r="AI900" s="102"/>
      <c r="AJ900" s="102"/>
      <c r="AK900" s="102"/>
      <c r="AL900" s="102"/>
      <c r="AM900" s="102"/>
      <c r="AN900" s="102"/>
      <c r="AO900" s="102"/>
      <c r="AP900" s="102"/>
      <c r="AQ900" s="102"/>
      <c r="AR900" s="102"/>
      <c r="AS900" s="102"/>
      <c r="AT900" s="102"/>
      <c r="AU900" s="102"/>
      <c r="AV900" s="102"/>
      <c r="AW900" s="102"/>
      <c r="AX900" s="102"/>
      <c r="AY900" s="102"/>
    </row>
    <row r="901" spans="1:5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  <c r="AH901" s="102"/>
      <c r="AI901" s="102"/>
      <c r="AJ901" s="102"/>
      <c r="AK901" s="102"/>
      <c r="AL901" s="102"/>
      <c r="AM901" s="102"/>
      <c r="AN901" s="102"/>
      <c r="AO901" s="102"/>
      <c r="AP901" s="102"/>
      <c r="AQ901" s="102"/>
      <c r="AR901" s="102"/>
      <c r="AS901" s="102"/>
      <c r="AT901" s="102"/>
      <c r="AU901" s="102"/>
      <c r="AV901" s="102"/>
      <c r="AW901" s="102"/>
      <c r="AX901" s="102"/>
      <c r="AY901" s="102"/>
    </row>
    <row r="902" spans="1:5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  <c r="AH902" s="102"/>
      <c r="AI902" s="102"/>
      <c r="AJ902" s="102"/>
      <c r="AK902" s="102"/>
      <c r="AL902" s="102"/>
      <c r="AM902" s="102"/>
      <c r="AN902" s="102"/>
      <c r="AO902" s="102"/>
      <c r="AP902" s="102"/>
      <c r="AQ902" s="102"/>
      <c r="AR902" s="102"/>
      <c r="AS902" s="102"/>
      <c r="AT902" s="102"/>
      <c r="AU902" s="102"/>
      <c r="AV902" s="102"/>
      <c r="AW902" s="102"/>
      <c r="AX902" s="102"/>
      <c r="AY902" s="102"/>
    </row>
    <row r="903" spans="1:5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  <c r="AH903" s="102"/>
      <c r="AI903" s="102"/>
      <c r="AJ903" s="102"/>
      <c r="AK903" s="102"/>
      <c r="AL903" s="102"/>
      <c r="AM903" s="102"/>
      <c r="AN903" s="102"/>
      <c r="AO903" s="102"/>
      <c r="AP903" s="102"/>
      <c r="AQ903" s="102"/>
      <c r="AR903" s="102"/>
      <c r="AS903" s="102"/>
      <c r="AT903" s="102"/>
      <c r="AU903" s="102"/>
      <c r="AV903" s="102"/>
      <c r="AW903" s="102"/>
      <c r="AX903" s="102"/>
      <c r="AY903" s="102"/>
    </row>
    <row r="904" spans="1:5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  <c r="AH904" s="102"/>
      <c r="AI904" s="102"/>
      <c r="AJ904" s="102"/>
      <c r="AK904" s="102"/>
      <c r="AL904" s="102"/>
      <c r="AM904" s="102"/>
      <c r="AN904" s="102"/>
      <c r="AO904" s="102"/>
      <c r="AP904" s="102"/>
      <c r="AQ904" s="102"/>
      <c r="AR904" s="102"/>
      <c r="AS904" s="102"/>
      <c r="AT904" s="102"/>
      <c r="AU904" s="102"/>
      <c r="AV904" s="102"/>
      <c r="AW904" s="102"/>
      <c r="AX904" s="102"/>
      <c r="AY904" s="102"/>
    </row>
    <row r="905" spans="1:5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  <c r="AH905" s="102"/>
      <c r="AI905" s="102"/>
      <c r="AJ905" s="102"/>
      <c r="AK905" s="102"/>
      <c r="AL905" s="102"/>
      <c r="AM905" s="102"/>
      <c r="AN905" s="102"/>
      <c r="AO905" s="102"/>
      <c r="AP905" s="102"/>
      <c r="AQ905" s="102"/>
      <c r="AR905" s="102"/>
      <c r="AS905" s="102"/>
      <c r="AT905" s="102"/>
      <c r="AU905" s="102"/>
      <c r="AV905" s="102"/>
      <c r="AW905" s="102"/>
      <c r="AX905" s="102"/>
      <c r="AY905" s="102"/>
    </row>
    <row r="906" spans="1:5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  <c r="AH906" s="102"/>
      <c r="AI906" s="102"/>
      <c r="AJ906" s="102"/>
      <c r="AK906" s="102"/>
      <c r="AL906" s="102"/>
      <c r="AM906" s="102"/>
      <c r="AN906" s="102"/>
      <c r="AO906" s="102"/>
      <c r="AP906" s="102"/>
      <c r="AQ906" s="102"/>
      <c r="AR906" s="102"/>
      <c r="AS906" s="102"/>
      <c r="AT906" s="102"/>
      <c r="AU906" s="102"/>
      <c r="AV906" s="102"/>
      <c r="AW906" s="102"/>
      <c r="AX906" s="102"/>
      <c r="AY906" s="102"/>
    </row>
    <row r="907" spans="1:5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  <c r="AH907" s="102"/>
      <c r="AI907" s="102"/>
      <c r="AJ907" s="102"/>
      <c r="AK907" s="102"/>
      <c r="AL907" s="102"/>
      <c r="AM907" s="102"/>
      <c r="AN907" s="102"/>
      <c r="AO907" s="102"/>
      <c r="AP907" s="102"/>
      <c r="AQ907" s="102"/>
      <c r="AR907" s="102"/>
      <c r="AS907" s="102"/>
      <c r="AT907" s="102"/>
      <c r="AU907" s="102"/>
      <c r="AV907" s="102"/>
      <c r="AW907" s="102"/>
      <c r="AX907" s="102"/>
      <c r="AY907" s="102"/>
    </row>
    <row r="908" spans="1:5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  <c r="AH908" s="102"/>
      <c r="AI908" s="102"/>
      <c r="AJ908" s="102"/>
      <c r="AK908" s="102"/>
      <c r="AL908" s="102"/>
      <c r="AM908" s="102"/>
      <c r="AN908" s="102"/>
      <c r="AO908" s="102"/>
      <c r="AP908" s="102"/>
      <c r="AQ908" s="102"/>
      <c r="AR908" s="102"/>
      <c r="AS908" s="102"/>
      <c r="AT908" s="102"/>
      <c r="AU908" s="102"/>
      <c r="AV908" s="102"/>
      <c r="AW908" s="102"/>
      <c r="AX908" s="102"/>
      <c r="AY908" s="102"/>
    </row>
    <row r="909" spans="1:5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  <c r="AH909" s="102"/>
      <c r="AI909" s="102"/>
      <c r="AJ909" s="102"/>
      <c r="AK909" s="102"/>
      <c r="AL909" s="102"/>
      <c r="AM909" s="102"/>
      <c r="AN909" s="102"/>
      <c r="AO909" s="102"/>
      <c r="AP909" s="102"/>
      <c r="AQ909" s="102"/>
      <c r="AR909" s="102"/>
      <c r="AS909" s="102"/>
      <c r="AT909" s="102"/>
      <c r="AU909" s="102"/>
      <c r="AV909" s="102"/>
      <c r="AW909" s="102"/>
      <c r="AX909" s="102"/>
      <c r="AY909" s="102"/>
    </row>
    <row r="910" spans="1:5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  <c r="AH910" s="102"/>
      <c r="AI910" s="102"/>
      <c r="AJ910" s="102"/>
      <c r="AK910" s="102"/>
      <c r="AL910" s="102"/>
      <c r="AM910" s="102"/>
      <c r="AN910" s="102"/>
      <c r="AO910" s="102"/>
      <c r="AP910" s="102"/>
      <c r="AQ910" s="102"/>
      <c r="AR910" s="102"/>
      <c r="AS910" s="102"/>
      <c r="AT910" s="102"/>
      <c r="AU910" s="102"/>
      <c r="AV910" s="102"/>
      <c r="AW910" s="102"/>
      <c r="AX910" s="102"/>
      <c r="AY910" s="102"/>
    </row>
    <row r="911" spans="1:5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  <c r="AH911" s="102"/>
      <c r="AI911" s="102"/>
      <c r="AJ911" s="102"/>
      <c r="AK911" s="102"/>
      <c r="AL911" s="102"/>
      <c r="AM911" s="102"/>
      <c r="AN911" s="102"/>
      <c r="AO911" s="102"/>
      <c r="AP911" s="102"/>
      <c r="AQ911" s="102"/>
      <c r="AR911" s="102"/>
      <c r="AS911" s="102"/>
      <c r="AT911" s="102"/>
      <c r="AU911" s="102"/>
      <c r="AV911" s="102"/>
      <c r="AW911" s="102"/>
      <c r="AX911" s="102"/>
      <c r="AY911" s="102"/>
    </row>
    <row r="912" spans="1:5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  <c r="AH912" s="102"/>
      <c r="AI912" s="102"/>
      <c r="AJ912" s="102"/>
      <c r="AK912" s="102"/>
      <c r="AL912" s="102"/>
      <c r="AM912" s="102"/>
      <c r="AN912" s="102"/>
      <c r="AO912" s="102"/>
      <c r="AP912" s="102"/>
      <c r="AQ912" s="102"/>
      <c r="AR912" s="102"/>
      <c r="AS912" s="102"/>
      <c r="AT912" s="102"/>
      <c r="AU912" s="102"/>
      <c r="AV912" s="102"/>
      <c r="AW912" s="102"/>
      <c r="AX912" s="102"/>
      <c r="AY912" s="102"/>
    </row>
    <row r="913" spans="1:5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  <c r="AH913" s="102"/>
      <c r="AI913" s="102"/>
      <c r="AJ913" s="102"/>
      <c r="AK913" s="102"/>
      <c r="AL913" s="102"/>
      <c r="AM913" s="102"/>
      <c r="AN913" s="102"/>
      <c r="AO913" s="102"/>
      <c r="AP913" s="102"/>
      <c r="AQ913" s="102"/>
      <c r="AR913" s="102"/>
      <c r="AS913" s="102"/>
      <c r="AT913" s="102"/>
      <c r="AU913" s="102"/>
      <c r="AV913" s="102"/>
      <c r="AW913" s="102"/>
      <c r="AX913" s="102"/>
      <c r="AY913" s="102"/>
    </row>
    <row r="914" spans="1:5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  <c r="AH914" s="102"/>
      <c r="AI914" s="102"/>
      <c r="AJ914" s="102"/>
      <c r="AK914" s="102"/>
      <c r="AL914" s="102"/>
      <c r="AM914" s="102"/>
      <c r="AN914" s="102"/>
      <c r="AO914" s="102"/>
      <c r="AP914" s="102"/>
      <c r="AQ914" s="102"/>
      <c r="AR914" s="102"/>
      <c r="AS914" s="102"/>
      <c r="AT914" s="102"/>
      <c r="AU914" s="102"/>
      <c r="AV914" s="102"/>
      <c r="AW914" s="102"/>
      <c r="AX914" s="102"/>
      <c r="AY914" s="102"/>
    </row>
    <row r="915" spans="1:5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  <c r="AH915" s="102"/>
      <c r="AI915" s="102"/>
      <c r="AJ915" s="102"/>
      <c r="AK915" s="102"/>
      <c r="AL915" s="102"/>
      <c r="AM915" s="102"/>
      <c r="AN915" s="102"/>
      <c r="AO915" s="102"/>
      <c r="AP915" s="102"/>
      <c r="AQ915" s="102"/>
      <c r="AR915" s="102"/>
      <c r="AS915" s="102"/>
      <c r="AT915" s="102"/>
      <c r="AU915" s="102"/>
      <c r="AV915" s="102"/>
      <c r="AW915" s="102"/>
      <c r="AX915" s="102"/>
      <c r="AY915" s="102"/>
    </row>
    <row r="916" spans="1:5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  <c r="AH916" s="102"/>
      <c r="AI916" s="102"/>
      <c r="AJ916" s="102"/>
      <c r="AK916" s="102"/>
      <c r="AL916" s="102"/>
      <c r="AM916" s="102"/>
      <c r="AN916" s="102"/>
      <c r="AO916" s="102"/>
      <c r="AP916" s="102"/>
      <c r="AQ916" s="102"/>
      <c r="AR916" s="102"/>
      <c r="AS916" s="102"/>
      <c r="AT916" s="102"/>
      <c r="AU916" s="102"/>
      <c r="AV916" s="102"/>
      <c r="AW916" s="102"/>
      <c r="AX916" s="102"/>
      <c r="AY916" s="102"/>
    </row>
    <row r="917" spans="1:5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  <c r="AH917" s="102"/>
      <c r="AI917" s="102"/>
      <c r="AJ917" s="102"/>
      <c r="AK917" s="102"/>
      <c r="AL917" s="102"/>
      <c r="AM917" s="102"/>
      <c r="AN917" s="102"/>
      <c r="AO917" s="102"/>
      <c r="AP917" s="102"/>
      <c r="AQ917" s="102"/>
      <c r="AR917" s="102"/>
      <c r="AS917" s="102"/>
      <c r="AT917" s="102"/>
      <c r="AU917" s="102"/>
      <c r="AV917" s="102"/>
      <c r="AW917" s="102"/>
      <c r="AX917" s="102"/>
      <c r="AY917" s="102"/>
    </row>
    <row r="918" spans="1:5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  <c r="AH918" s="102"/>
      <c r="AI918" s="102"/>
      <c r="AJ918" s="102"/>
      <c r="AK918" s="102"/>
      <c r="AL918" s="102"/>
      <c r="AM918" s="102"/>
      <c r="AN918" s="102"/>
      <c r="AO918" s="102"/>
      <c r="AP918" s="102"/>
      <c r="AQ918" s="102"/>
      <c r="AR918" s="102"/>
      <c r="AS918" s="102"/>
      <c r="AT918" s="102"/>
      <c r="AU918" s="102"/>
      <c r="AV918" s="102"/>
      <c r="AW918" s="102"/>
      <c r="AX918" s="102"/>
      <c r="AY918" s="102"/>
    </row>
    <row r="919" spans="1:5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  <c r="AH919" s="102"/>
      <c r="AI919" s="102"/>
      <c r="AJ919" s="102"/>
      <c r="AK919" s="102"/>
      <c r="AL919" s="102"/>
      <c r="AM919" s="102"/>
      <c r="AN919" s="102"/>
      <c r="AO919" s="102"/>
      <c r="AP919" s="102"/>
      <c r="AQ919" s="102"/>
      <c r="AR919" s="102"/>
      <c r="AS919" s="102"/>
      <c r="AT919" s="102"/>
      <c r="AU919" s="102"/>
      <c r="AV919" s="102"/>
      <c r="AW919" s="102"/>
      <c r="AX919" s="102"/>
      <c r="AY919" s="102"/>
    </row>
    <row r="920" spans="1:5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  <c r="AH920" s="102"/>
      <c r="AI920" s="102"/>
      <c r="AJ920" s="102"/>
      <c r="AK920" s="102"/>
      <c r="AL920" s="102"/>
      <c r="AM920" s="102"/>
      <c r="AN920" s="102"/>
      <c r="AO920" s="102"/>
      <c r="AP920" s="102"/>
      <c r="AQ920" s="102"/>
      <c r="AR920" s="102"/>
      <c r="AS920" s="102"/>
      <c r="AT920" s="102"/>
      <c r="AU920" s="102"/>
      <c r="AV920" s="102"/>
      <c r="AW920" s="102"/>
      <c r="AX920" s="102"/>
      <c r="AY920" s="102"/>
    </row>
    <row r="921" spans="1:5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  <c r="AH921" s="102"/>
      <c r="AI921" s="102"/>
      <c r="AJ921" s="102"/>
      <c r="AK921" s="102"/>
      <c r="AL921" s="102"/>
      <c r="AM921" s="102"/>
      <c r="AN921" s="102"/>
      <c r="AO921" s="102"/>
      <c r="AP921" s="102"/>
      <c r="AQ921" s="102"/>
      <c r="AR921" s="102"/>
      <c r="AS921" s="102"/>
      <c r="AT921" s="102"/>
      <c r="AU921" s="102"/>
      <c r="AV921" s="102"/>
      <c r="AW921" s="102"/>
      <c r="AX921" s="102"/>
      <c r="AY921" s="102"/>
    </row>
    <row r="922" spans="1:5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  <c r="AH922" s="102"/>
      <c r="AI922" s="102"/>
      <c r="AJ922" s="102"/>
      <c r="AK922" s="102"/>
      <c r="AL922" s="102"/>
      <c r="AM922" s="102"/>
      <c r="AN922" s="102"/>
      <c r="AO922" s="102"/>
      <c r="AP922" s="102"/>
      <c r="AQ922" s="102"/>
      <c r="AR922" s="102"/>
      <c r="AS922" s="102"/>
      <c r="AT922" s="102"/>
      <c r="AU922" s="102"/>
      <c r="AV922" s="102"/>
      <c r="AW922" s="102"/>
      <c r="AX922" s="102"/>
      <c r="AY922" s="102"/>
    </row>
    <row r="923" spans="1:5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  <c r="AH923" s="102"/>
      <c r="AI923" s="102"/>
      <c r="AJ923" s="102"/>
      <c r="AK923" s="102"/>
      <c r="AL923" s="102"/>
      <c r="AM923" s="102"/>
      <c r="AN923" s="102"/>
      <c r="AO923" s="102"/>
      <c r="AP923" s="102"/>
      <c r="AQ923" s="102"/>
      <c r="AR923" s="102"/>
      <c r="AS923" s="102"/>
      <c r="AT923" s="102"/>
      <c r="AU923" s="102"/>
      <c r="AV923" s="102"/>
      <c r="AW923" s="102"/>
      <c r="AX923" s="102"/>
      <c r="AY923" s="102"/>
    </row>
    <row r="924" spans="1:5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  <c r="AH924" s="102"/>
      <c r="AI924" s="102"/>
      <c r="AJ924" s="102"/>
      <c r="AK924" s="102"/>
      <c r="AL924" s="102"/>
      <c r="AM924" s="102"/>
      <c r="AN924" s="102"/>
      <c r="AO924" s="102"/>
      <c r="AP924" s="102"/>
      <c r="AQ924" s="102"/>
      <c r="AR924" s="102"/>
      <c r="AS924" s="102"/>
      <c r="AT924" s="102"/>
      <c r="AU924" s="102"/>
      <c r="AV924" s="102"/>
      <c r="AW924" s="102"/>
      <c r="AX924" s="102"/>
      <c r="AY924" s="102"/>
    </row>
    <row r="925" spans="1:5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  <c r="AH925" s="102"/>
      <c r="AI925" s="102"/>
      <c r="AJ925" s="102"/>
      <c r="AK925" s="102"/>
      <c r="AL925" s="102"/>
      <c r="AM925" s="102"/>
      <c r="AN925" s="102"/>
      <c r="AO925" s="102"/>
      <c r="AP925" s="102"/>
      <c r="AQ925" s="102"/>
      <c r="AR925" s="102"/>
      <c r="AS925" s="102"/>
      <c r="AT925" s="102"/>
      <c r="AU925" s="102"/>
      <c r="AV925" s="102"/>
      <c r="AW925" s="102"/>
      <c r="AX925" s="102"/>
      <c r="AY925" s="102"/>
    </row>
    <row r="926" spans="1:5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  <c r="AH926" s="102"/>
      <c r="AI926" s="102"/>
      <c r="AJ926" s="102"/>
      <c r="AK926" s="102"/>
      <c r="AL926" s="102"/>
      <c r="AM926" s="102"/>
      <c r="AN926" s="102"/>
      <c r="AO926" s="102"/>
      <c r="AP926" s="102"/>
      <c r="AQ926" s="102"/>
      <c r="AR926" s="102"/>
      <c r="AS926" s="102"/>
      <c r="AT926" s="102"/>
      <c r="AU926" s="102"/>
      <c r="AV926" s="102"/>
      <c r="AW926" s="102"/>
      <c r="AX926" s="102"/>
      <c r="AY926" s="102"/>
    </row>
    <row r="927" spans="1:5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  <c r="AH927" s="102"/>
      <c r="AI927" s="102"/>
      <c r="AJ927" s="102"/>
      <c r="AK927" s="102"/>
      <c r="AL927" s="102"/>
      <c r="AM927" s="102"/>
      <c r="AN927" s="102"/>
      <c r="AO927" s="102"/>
      <c r="AP927" s="102"/>
      <c r="AQ927" s="102"/>
      <c r="AR927" s="102"/>
      <c r="AS927" s="102"/>
      <c r="AT927" s="102"/>
      <c r="AU927" s="102"/>
      <c r="AV927" s="102"/>
      <c r="AW927" s="102"/>
      <c r="AX927" s="102"/>
      <c r="AY927" s="102"/>
    </row>
    <row r="928" spans="1:5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  <c r="AH928" s="102"/>
      <c r="AI928" s="102"/>
      <c r="AJ928" s="102"/>
      <c r="AK928" s="102"/>
      <c r="AL928" s="102"/>
      <c r="AM928" s="102"/>
      <c r="AN928" s="102"/>
      <c r="AO928" s="102"/>
      <c r="AP928" s="102"/>
      <c r="AQ928" s="102"/>
      <c r="AR928" s="102"/>
      <c r="AS928" s="102"/>
      <c r="AT928" s="102"/>
      <c r="AU928" s="102"/>
      <c r="AV928" s="102"/>
      <c r="AW928" s="102"/>
      <c r="AX928" s="102"/>
      <c r="AY928" s="102"/>
    </row>
    <row r="929" spans="1:5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  <c r="AH929" s="102"/>
      <c r="AI929" s="102"/>
      <c r="AJ929" s="102"/>
      <c r="AK929" s="102"/>
      <c r="AL929" s="102"/>
      <c r="AM929" s="102"/>
      <c r="AN929" s="102"/>
      <c r="AO929" s="102"/>
      <c r="AP929" s="102"/>
      <c r="AQ929" s="102"/>
      <c r="AR929" s="102"/>
      <c r="AS929" s="102"/>
      <c r="AT929" s="102"/>
      <c r="AU929" s="102"/>
      <c r="AV929" s="102"/>
      <c r="AW929" s="102"/>
      <c r="AX929" s="102"/>
      <c r="AY929" s="102"/>
    </row>
    <row r="930" spans="1:5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  <c r="AH930" s="102"/>
      <c r="AI930" s="102"/>
      <c r="AJ930" s="102"/>
      <c r="AK930" s="102"/>
      <c r="AL930" s="102"/>
      <c r="AM930" s="102"/>
      <c r="AN930" s="102"/>
      <c r="AO930" s="102"/>
      <c r="AP930" s="102"/>
      <c r="AQ930" s="102"/>
      <c r="AR930" s="102"/>
      <c r="AS930" s="102"/>
      <c r="AT930" s="102"/>
      <c r="AU930" s="102"/>
      <c r="AV930" s="102"/>
      <c r="AW930" s="102"/>
      <c r="AX930" s="102"/>
      <c r="AY930" s="102"/>
    </row>
    <row r="931" spans="1:5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  <c r="AH931" s="102"/>
      <c r="AI931" s="102"/>
      <c r="AJ931" s="102"/>
      <c r="AK931" s="102"/>
      <c r="AL931" s="102"/>
      <c r="AM931" s="102"/>
      <c r="AN931" s="102"/>
      <c r="AO931" s="102"/>
      <c r="AP931" s="102"/>
      <c r="AQ931" s="102"/>
      <c r="AR931" s="102"/>
      <c r="AS931" s="102"/>
      <c r="AT931" s="102"/>
      <c r="AU931" s="102"/>
      <c r="AV931" s="102"/>
      <c r="AW931" s="102"/>
      <c r="AX931" s="102"/>
      <c r="AY931" s="102"/>
    </row>
    <row r="932" spans="1:5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  <c r="AH932" s="102"/>
      <c r="AI932" s="102"/>
      <c r="AJ932" s="102"/>
      <c r="AK932" s="102"/>
      <c r="AL932" s="102"/>
      <c r="AM932" s="102"/>
      <c r="AN932" s="102"/>
      <c r="AO932" s="102"/>
      <c r="AP932" s="102"/>
      <c r="AQ932" s="102"/>
      <c r="AR932" s="102"/>
      <c r="AS932" s="102"/>
      <c r="AT932" s="102"/>
      <c r="AU932" s="102"/>
      <c r="AV932" s="102"/>
      <c r="AW932" s="102"/>
      <c r="AX932" s="102"/>
      <c r="AY932" s="102"/>
    </row>
    <row r="933" spans="1:5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  <c r="AH933" s="102"/>
      <c r="AI933" s="102"/>
      <c r="AJ933" s="102"/>
      <c r="AK933" s="102"/>
      <c r="AL933" s="102"/>
      <c r="AM933" s="102"/>
      <c r="AN933" s="102"/>
      <c r="AO933" s="102"/>
      <c r="AP933" s="102"/>
      <c r="AQ933" s="102"/>
      <c r="AR933" s="102"/>
      <c r="AS933" s="102"/>
      <c r="AT933" s="102"/>
      <c r="AU933" s="102"/>
      <c r="AV933" s="102"/>
      <c r="AW933" s="102"/>
      <c r="AX933" s="102"/>
      <c r="AY933" s="102"/>
    </row>
    <row r="934" spans="1:5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  <c r="AH934" s="102"/>
      <c r="AI934" s="102"/>
      <c r="AJ934" s="102"/>
      <c r="AK934" s="102"/>
      <c r="AL934" s="102"/>
      <c r="AM934" s="102"/>
      <c r="AN934" s="102"/>
      <c r="AO934" s="102"/>
      <c r="AP934" s="102"/>
      <c r="AQ934" s="102"/>
      <c r="AR934" s="102"/>
      <c r="AS934" s="102"/>
      <c r="AT934" s="102"/>
      <c r="AU934" s="102"/>
      <c r="AV934" s="102"/>
      <c r="AW934" s="102"/>
      <c r="AX934" s="102"/>
      <c r="AY934" s="102"/>
    </row>
    <row r="935" spans="1:5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  <c r="AH935" s="102"/>
      <c r="AI935" s="102"/>
      <c r="AJ935" s="102"/>
      <c r="AK935" s="102"/>
      <c r="AL935" s="102"/>
      <c r="AM935" s="102"/>
      <c r="AN935" s="102"/>
      <c r="AO935" s="102"/>
      <c r="AP935" s="102"/>
      <c r="AQ935" s="102"/>
      <c r="AR935" s="102"/>
      <c r="AS935" s="102"/>
      <c r="AT935" s="102"/>
      <c r="AU935" s="102"/>
      <c r="AV935" s="102"/>
      <c r="AW935" s="102"/>
      <c r="AX935" s="102"/>
      <c r="AY935" s="102"/>
    </row>
    <row r="936" spans="1:5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  <c r="AH936" s="102"/>
      <c r="AI936" s="102"/>
      <c r="AJ936" s="102"/>
      <c r="AK936" s="102"/>
      <c r="AL936" s="102"/>
      <c r="AM936" s="102"/>
      <c r="AN936" s="102"/>
      <c r="AO936" s="102"/>
      <c r="AP936" s="102"/>
      <c r="AQ936" s="102"/>
      <c r="AR936" s="102"/>
      <c r="AS936" s="102"/>
      <c r="AT936" s="102"/>
      <c r="AU936" s="102"/>
      <c r="AV936" s="102"/>
      <c r="AW936" s="102"/>
      <c r="AX936" s="102"/>
      <c r="AY936" s="102"/>
    </row>
    <row r="937" spans="1:5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2"/>
      <c r="AH937" s="102"/>
      <c r="AI937" s="102"/>
      <c r="AJ937" s="102"/>
      <c r="AK937" s="102"/>
      <c r="AL937" s="102"/>
      <c r="AM937" s="102"/>
      <c r="AN937" s="102"/>
      <c r="AO937" s="102"/>
      <c r="AP937" s="102"/>
      <c r="AQ937" s="102"/>
      <c r="AR937" s="102"/>
      <c r="AS937" s="102"/>
      <c r="AT937" s="102"/>
      <c r="AU937" s="102"/>
      <c r="AV937" s="102"/>
      <c r="AW937" s="102"/>
      <c r="AX937" s="102"/>
      <c r="AY937" s="102"/>
    </row>
    <row r="938" spans="1:5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2"/>
      <c r="AH938" s="102"/>
      <c r="AI938" s="102"/>
      <c r="AJ938" s="102"/>
      <c r="AK938" s="102"/>
      <c r="AL938" s="102"/>
      <c r="AM938" s="102"/>
      <c r="AN938" s="102"/>
      <c r="AO938" s="102"/>
      <c r="AP938" s="102"/>
      <c r="AQ938" s="102"/>
      <c r="AR938" s="102"/>
      <c r="AS938" s="102"/>
      <c r="AT938" s="102"/>
      <c r="AU938" s="102"/>
      <c r="AV938" s="102"/>
      <c r="AW938" s="102"/>
      <c r="AX938" s="102"/>
      <c r="AY938" s="102"/>
    </row>
    <row r="939" spans="1:5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2"/>
      <c r="AH939" s="102"/>
      <c r="AI939" s="102"/>
      <c r="AJ939" s="102"/>
      <c r="AK939" s="102"/>
      <c r="AL939" s="102"/>
      <c r="AM939" s="102"/>
      <c r="AN939" s="102"/>
      <c r="AO939" s="102"/>
      <c r="AP939" s="102"/>
      <c r="AQ939" s="102"/>
      <c r="AR939" s="102"/>
      <c r="AS939" s="102"/>
      <c r="AT939" s="102"/>
      <c r="AU939" s="102"/>
      <c r="AV939" s="102"/>
      <c r="AW939" s="102"/>
      <c r="AX939" s="102"/>
      <c r="AY939" s="102"/>
    </row>
    <row r="940" spans="1:5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2"/>
      <c r="AH940" s="102"/>
      <c r="AI940" s="102"/>
      <c r="AJ940" s="102"/>
      <c r="AK940" s="102"/>
      <c r="AL940" s="102"/>
      <c r="AM940" s="102"/>
      <c r="AN940" s="102"/>
      <c r="AO940" s="102"/>
      <c r="AP940" s="102"/>
      <c r="AQ940" s="102"/>
      <c r="AR940" s="102"/>
      <c r="AS940" s="102"/>
      <c r="AT940" s="102"/>
      <c r="AU940" s="102"/>
      <c r="AV940" s="102"/>
      <c r="AW940" s="102"/>
      <c r="AX940" s="102"/>
      <c r="AY940" s="102"/>
    </row>
    <row r="941" spans="1:5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2"/>
      <c r="AH941" s="102"/>
      <c r="AI941" s="102"/>
      <c r="AJ941" s="102"/>
      <c r="AK941" s="102"/>
      <c r="AL941" s="102"/>
      <c r="AM941" s="102"/>
      <c r="AN941" s="102"/>
      <c r="AO941" s="102"/>
      <c r="AP941" s="102"/>
      <c r="AQ941" s="102"/>
      <c r="AR941" s="102"/>
      <c r="AS941" s="102"/>
      <c r="AT941" s="102"/>
      <c r="AU941" s="102"/>
      <c r="AV941" s="102"/>
      <c r="AW941" s="102"/>
      <c r="AX941" s="102"/>
      <c r="AY941" s="102"/>
    </row>
    <row r="942" spans="1:5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2"/>
      <c r="AH942" s="102"/>
      <c r="AI942" s="102"/>
      <c r="AJ942" s="102"/>
      <c r="AK942" s="102"/>
      <c r="AL942" s="102"/>
      <c r="AM942" s="102"/>
      <c r="AN942" s="102"/>
      <c r="AO942" s="102"/>
      <c r="AP942" s="102"/>
      <c r="AQ942" s="102"/>
      <c r="AR942" s="102"/>
      <c r="AS942" s="102"/>
      <c r="AT942" s="102"/>
      <c r="AU942" s="102"/>
      <c r="AV942" s="102"/>
      <c r="AW942" s="102"/>
      <c r="AX942" s="102"/>
      <c r="AY942" s="102"/>
    </row>
    <row r="943" spans="1:5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2"/>
      <c r="AH943" s="102"/>
      <c r="AI943" s="102"/>
      <c r="AJ943" s="102"/>
      <c r="AK943" s="102"/>
      <c r="AL943" s="102"/>
      <c r="AM943" s="102"/>
      <c r="AN943" s="102"/>
      <c r="AO943" s="102"/>
      <c r="AP943" s="102"/>
      <c r="AQ943" s="102"/>
      <c r="AR943" s="102"/>
      <c r="AS943" s="102"/>
      <c r="AT943" s="102"/>
      <c r="AU943" s="102"/>
      <c r="AV943" s="102"/>
      <c r="AW943" s="102"/>
      <c r="AX943" s="102"/>
      <c r="AY943" s="102"/>
    </row>
    <row r="944" spans="1:5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2"/>
      <c r="AH944" s="102"/>
      <c r="AI944" s="102"/>
      <c r="AJ944" s="102"/>
      <c r="AK944" s="102"/>
      <c r="AL944" s="102"/>
      <c r="AM944" s="102"/>
      <c r="AN944" s="102"/>
      <c r="AO944" s="102"/>
      <c r="AP944" s="102"/>
      <c r="AQ944" s="102"/>
      <c r="AR944" s="102"/>
      <c r="AS944" s="102"/>
      <c r="AT944" s="102"/>
      <c r="AU944" s="102"/>
      <c r="AV944" s="102"/>
      <c r="AW944" s="102"/>
      <c r="AX944" s="102"/>
      <c r="AY944" s="102"/>
    </row>
    <row r="945" spans="1:5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2"/>
      <c r="AH945" s="102"/>
      <c r="AI945" s="102"/>
      <c r="AJ945" s="102"/>
      <c r="AK945" s="102"/>
      <c r="AL945" s="102"/>
      <c r="AM945" s="102"/>
      <c r="AN945" s="102"/>
      <c r="AO945" s="102"/>
      <c r="AP945" s="102"/>
      <c r="AQ945" s="102"/>
      <c r="AR945" s="102"/>
      <c r="AS945" s="102"/>
      <c r="AT945" s="102"/>
      <c r="AU945" s="102"/>
      <c r="AV945" s="102"/>
      <c r="AW945" s="102"/>
      <c r="AX945" s="102"/>
      <c r="AY945" s="102"/>
    </row>
    <row r="946" spans="1:5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2"/>
      <c r="AH946" s="102"/>
      <c r="AI946" s="102"/>
      <c r="AJ946" s="102"/>
      <c r="AK946" s="102"/>
      <c r="AL946" s="102"/>
      <c r="AM946" s="102"/>
      <c r="AN946" s="102"/>
      <c r="AO946" s="102"/>
      <c r="AP946" s="102"/>
      <c r="AQ946" s="102"/>
      <c r="AR946" s="102"/>
      <c r="AS946" s="102"/>
      <c r="AT946" s="102"/>
      <c r="AU946" s="102"/>
      <c r="AV946" s="102"/>
      <c r="AW946" s="102"/>
      <c r="AX946" s="102"/>
      <c r="AY946" s="102"/>
    </row>
    <row r="947" spans="1:5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2"/>
      <c r="AH947" s="102"/>
      <c r="AI947" s="102"/>
      <c r="AJ947" s="102"/>
      <c r="AK947" s="102"/>
      <c r="AL947" s="102"/>
      <c r="AM947" s="102"/>
      <c r="AN947" s="102"/>
      <c r="AO947" s="102"/>
      <c r="AP947" s="102"/>
      <c r="AQ947" s="102"/>
      <c r="AR947" s="102"/>
      <c r="AS947" s="102"/>
      <c r="AT947" s="102"/>
      <c r="AU947" s="102"/>
      <c r="AV947" s="102"/>
      <c r="AW947" s="102"/>
      <c r="AX947" s="102"/>
      <c r="AY947" s="102"/>
    </row>
    <row r="948" spans="1:5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  <c r="AG948" s="102"/>
      <c r="AH948" s="102"/>
      <c r="AI948" s="102"/>
      <c r="AJ948" s="102"/>
      <c r="AK948" s="102"/>
      <c r="AL948" s="102"/>
      <c r="AM948" s="102"/>
      <c r="AN948" s="102"/>
      <c r="AO948" s="102"/>
      <c r="AP948" s="102"/>
      <c r="AQ948" s="102"/>
      <c r="AR948" s="102"/>
      <c r="AS948" s="102"/>
      <c r="AT948" s="102"/>
      <c r="AU948" s="102"/>
      <c r="AV948" s="102"/>
      <c r="AW948" s="102"/>
      <c r="AX948" s="102"/>
      <c r="AY948" s="102"/>
    </row>
    <row r="949" spans="1:5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  <c r="AG949" s="102"/>
      <c r="AH949" s="102"/>
      <c r="AI949" s="102"/>
      <c r="AJ949" s="102"/>
      <c r="AK949" s="102"/>
      <c r="AL949" s="102"/>
      <c r="AM949" s="102"/>
      <c r="AN949" s="102"/>
      <c r="AO949" s="102"/>
      <c r="AP949" s="102"/>
      <c r="AQ949" s="102"/>
      <c r="AR949" s="102"/>
      <c r="AS949" s="102"/>
      <c r="AT949" s="102"/>
      <c r="AU949" s="102"/>
      <c r="AV949" s="102"/>
      <c r="AW949" s="102"/>
      <c r="AX949" s="102"/>
      <c r="AY949" s="102"/>
    </row>
    <row r="950" spans="1:5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  <c r="AG950" s="102"/>
      <c r="AH950" s="102"/>
      <c r="AI950" s="102"/>
      <c r="AJ950" s="102"/>
      <c r="AK950" s="102"/>
      <c r="AL950" s="102"/>
      <c r="AM950" s="102"/>
      <c r="AN950" s="102"/>
      <c r="AO950" s="102"/>
      <c r="AP950" s="102"/>
      <c r="AQ950" s="102"/>
      <c r="AR950" s="102"/>
      <c r="AS950" s="102"/>
      <c r="AT950" s="102"/>
      <c r="AU950" s="102"/>
      <c r="AV950" s="102"/>
      <c r="AW950" s="102"/>
      <c r="AX950" s="102"/>
      <c r="AY950" s="102"/>
    </row>
    <row r="951" spans="1:5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  <c r="AG951" s="102"/>
      <c r="AH951" s="102"/>
      <c r="AI951" s="102"/>
      <c r="AJ951" s="102"/>
      <c r="AK951" s="102"/>
      <c r="AL951" s="102"/>
      <c r="AM951" s="102"/>
      <c r="AN951" s="102"/>
      <c r="AO951" s="102"/>
      <c r="AP951" s="102"/>
      <c r="AQ951" s="102"/>
      <c r="AR951" s="102"/>
      <c r="AS951" s="102"/>
      <c r="AT951" s="102"/>
      <c r="AU951" s="102"/>
      <c r="AV951" s="102"/>
      <c r="AW951" s="102"/>
      <c r="AX951" s="102"/>
      <c r="AY951" s="102"/>
    </row>
    <row r="952" spans="1:5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  <c r="AG952" s="102"/>
      <c r="AH952" s="102"/>
      <c r="AI952" s="102"/>
      <c r="AJ952" s="102"/>
      <c r="AK952" s="102"/>
      <c r="AL952" s="102"/>
      <c r="AM952" s="102"/>
      <c r="AN952" s="102"/>
      <c r="AO952" s="102"/>
      <c r="AP952" s="102"/>
      <c r="AQ952" s="102"/>
      <c r="AR952" s="102"/>
      <c r="AS952" s="102"/>
      <c r="AT952" s="102"/>
      <c r="AU952" s="102"/>
      <c r="AV952" s="102"/>
      <c r="AW952" s="102"/>
      <c r="AX952" s="102"/>
      <c r="AY952" s="102"/>
    </row>
    <row r="953" spans="1:5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  <c r="AG953" s="102"/>
      <c r="AH953" s="102"/>
      <c r="AI953" s="102"/>
      <c r="AJ953" s="102"/>
      <c r="AK953" s="102"/>
      <c r="AL953" s="102"/>
      <c r="AM953" s="102"/>
      <c r="AN953" s="102"/>
      <c r="AO953" s="102"/>
      <c r="AP953" s="102"/>
      <c r="AQ953" s="102"/>
      <c r="AR953" s="102"/>
      <c r="AS953" s="102"/>
      <c r="AT953" s="102"/>
      <c r="AU953" s="102"/>
      <c r="AV953" s="102"/>
      <c r="AW953" s="102"/>
      <c r="AX953" s="102"/>
      <c r="AY953" s="102"/>
    </row>
    <row r="954" spans="1:5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  <c r="AG954" s="102"/>
      <c r="AH954" s="102"/>
      <c r="AI954" s="102"/>
      <c r="AJ954" s="102"/>
      <c r="AK954" s="102"/>
      <c r="AL954" s="102"/>
      <c r="AM954" s="102"/>
      <c r="AN954" s="102"/>
      <c r="AO954" s="102"/>
      <c r="AP954" s="102"/>
      <c r="AQ954" s="102"/>
      <c r="AR954" s="102"/>
      <c r="AS954" s="102"/>
      <c r="AT954" s="102"/>
      <c r="AU954" s="102"/>
      <c r="AV954" s="102"/>
      <c r="AW954" s="102"/>
      <c r="AX954" s="102"/>
      <c r="AY954" s="102"/>
    </row>
    <row r="955" spans="1:5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  <c r="AG955" s="102"/>
      <c r="AH955" s="102"/>
      <c r="AI955" s="102"/>
      <c r="AJ955" s="102"/>
      <c r="AK955" s="102"/>
      <c r="AL955" s="102"/>
      <c r="AM955" s="102"/>
      <c r="AN955" s="102"/>
      <c r="AO955" s="102"/>
      <c r="AP955" s="102"/>
      <c r="AQ955" s="102"/>
      <c r="AR955" s="102"/>
      <c r="AS955" s="102"/>
      <c r="AT955" s="102"/>
      <c r="AU955" s="102"/>
      <c r="AV955" s="102"/>
      <c r="AW955" s="102"/>
      <c r="AX955" s="102"/>
      <c r="AY955" s="102"/>
    </row>
    <row r="956" spans="1:5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  <c r="AG956" s="102"/>
      <c r="AH956" s="102"/>
      <c r="AI956" s="102"/>
      <c r="AJ956" s="102"/>
      <c r="AK956" s="102"/>
      <c r="AL956" s="102"/>
      <c r="AM956" s="102"/>
      <c r="AN956" s="102"/>
      <c r="AO956" s="102"/>
      <c r="AP956" s="102"/>
      <c r="AQ956" s="102"/>
      <c r="AR956" s="102"/>
      <c r="AS956" s="102"/>
      <c r="AT956" s="102"/>
      <c r="AU956" s="102"/>
      <c r="AV956" s="102"/>
      <c r="AW956" s="102"/>
      <c r="AX956" s="102"/>
      <c r="AY956" s="102"/>
    </row>
    <row r="957" spans="1:5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  <c r="AG957" s="102"/>
      <c r="AH957" s="102"/>
      <c r="AI957" s="102"/>
      <c r="AJ957" s="102"/>
      <c r="AK957" s="102"/>
      <c r="AL957" s="102"/>
      <c r="AM957" s="102"/>
      <c r="AN957" s="102"/>
      <c r="AO957" s="102"/>
      <c r="AP957" s="102"/>
      <c r="AQ957" s="102"/>
      <c r="AR957" s="102"/>
      <c r="AS957" s="102"/>
      <c r="AT957" s="102"/>
      <c r="AU957" s="102"/>
      <c r="AV957" s="102"/>
      <c r="AW957" s="102"/>
      <c r="AX957" s="102"/>
      <c r="AY957" s="102"/>
    </row>
    <row r="958" spans="1:5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  <c r="AG958" s="102"/>
      <c r="AH958" s="102"/>
      <c r="AI958" s="102"/>
      <c r="AJ958" s="102"/>
      <c r="AK958" s="102"/>
      <c r="AL958" s="102"/>
      <c r="AM958" s="102"/>
      <c r="AN958" s="102"/>
      <c r="AO958" s="102"/>
      <c r="AP958" s="102"/>
      <c r="AQ958" s="102"/>
      <c r="AR958" s="102"/>
      <c r="AS958" s="102"/>
      <c r="AT958" s="102"/>
      <c r="AU958" s="102"/>
      <c r="AV958" s="102"/>
      <c r="AW958" s="102"/>
      <c r="AX958" s="102"/>
      <c r="AY958" s="102"/>
    </row>
    <row r="959" spans="1:5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  <c r="AG959" s="102"/>
      <c r="AH959" s="102"/>
      <c r="AI959" s="102"/>
      <c r="AJ959" s="102"/>
      <c r="AK959" s="102"/>
      <c r="AL959" s="102"/>
      <c r="AM959" s="102"/>
      <c r="AN959" s="102"/>
      <c r="AO959" s="102"/>
      <c r="AP959" s="102"/>
      <c r="AQ959" s="102"/>
      <c r="AR959" s="102"/>
      <c r="AS959" s="102"/>
      <c r="AT959" s="102"/>
      <c r="AU959" s="102"/>
      <c r="AV959" s="102"/>
      <c r="AW959" s="102"/>
      <c r="AX959" s="102"/>
      <c r="AY959" s="102"/>
    </row>
    <row r="960" spans="1:5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  <c r="AG960" s="102"/>
      <c r="AH960" s="102"/>
      <c r="AI960" s="102"/>
      <c r="AJ960" s="102"/>
      <c r="AK960" s="102"/>
      <c r="AL960" s="102"/>
      <c r="AM960" s="102"/>
      <c r="AN960" s="102"/>
      <c r="AO960" s="102"/>
      <c r="AP960" s="102"/>
      <c r="AQ960" s="102"/>
      <c r="AR960" s="102"/>
      <c r="AS960" s="102"/>
      <c r="AT960" s="102"/>
      <c r="AU960" s="102"/>
      <c r="AV960" s="102"/>
      <c r="AW960" s="102"/>
      <c r="AX960" s="102"/>
      <c r="AY960" s="102"/>
    </row>
    <row r="961" spans="1:5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  <c r="AG961" s="102"/>
      <c r="AH961" s="102"/>
      <c r="AI961" s="102"/>
      <c r="AJ961" s="102"/>
      <c r="AK961" s="102"/>
      <c r="AL961" s="102"/>
      <c r="AM961" s="102"/>
      <c r="AN961" s="102"/>
      <c r="AO961" s="102"/>
      <c r="AP961" s="102"/>
      <c r="AQ961" s="102"/>
      <c r="AR961" s="102"/>
      <c r="AS961" s="102"/>
      <c r="AT961" s="102"/>
      <c r="AU961" s="102"/>
      <c r="AV961" s="102"/>
      <c r="AW961" s="102"/>
      <c r="AX961" s="102"/>
      <c r="AY961" s="102"/>
    </row>
    <row r="962" spans="1:5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  <c r="AG962" s="102"/>
      <c r="AH962" s="102"/>
      <c r="AI962" s="102"/>
      <c r="AJ962" s="102"/>
      <c r="AK962" s="102"/>
      <c r="AL962" s="102"/>
      <c r="AM962" s="102"/>
      <c r="AN962" s="102"/>
      <c r="AO962" s="102"/>
      <c r="AP962" s="102"/>
      <c r="AQ962" s="102"/>
      <c r="AR962" s="102"/>
      <c r="AS962" s="102"/>
      <c r="AT962" s="102"/>
      <c r="AU962" s="102"/>
      <c r="AV962" s="102"/>
      <c r="AW962" s="102"/>
      <c r="AX962" s="102"/>
      <c r="AY962" s="102"/>
    </row>
    <row r="963" spans="1:5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  <c r="AG963" s="102"/>
      <c r="AH963" s="102"/>
      <c r="AI963" s="102"/>
      <c r="AJ963" s="102"/>
      <c r="AK963" s="102"/>
      <c r="AL963" s="102"/>
      <c r="AM963" s="102"/>
      <c r="AN963" s="102"/>
      <c r="AO963" s="102"/>
      <c r="AP963" s="102"/>
      <c r="AQ963" s="102"/>
      <c r="AR963" s="102"/>
      <c r="AS963" s="102"/>
      <c r="AT963" s="102"/>
      <c r="AU963" s="102"/>
      <c r="AV963" s="102"/>
      <c r="AW963" s="102"/>
      <c r="AX963" s="102"/>
      <c r="AY963" s="102"/>
    </row>
    <row r="964" spans="1:5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  <c r="AG964" s="102"/>
      <c r="AH964" s="102"/>
      <c r="AI964" s="102"/>
      <c r="AJ964" s="102"/>
      <c r="AK964" s="102"/>
      <c r="AL964" s="102"/>
      <c r="AM964" s="102"/>
      <c r="AN964" s="102"/>
      <c r="AO964" s="102"/>
      <c r="AP964" s="102"/>
      <c r="AQ964" s="102"/>
      <c r="AR964" s="102"/>
      <c r="AS964" s="102"/>
      <c r="AT964" s="102"/>
      <c r="AU964" s="102"/>
      <c r="AV964" s="102"/>
      <c r="AW964" s="102"/>
      <c r="AX964" s="102"/>
      <c r="AY964" s="102"/>
    </row>
    <row r="965" spans="1:5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  <c r="AG965" s="102"/>
      <c r="AH965" s="102"/>
      <c r="AI965" s="102"/>
      <c r="AJ965" s="102"/>
      <c r="AK965" s="102"/>
      <c r="AL965" s="102"/>
      <c r="AM965" s="102"/>
      <c r="AN965" s="102"/>
      <c r="AO965" s="102"/>
      <c r="AP965" s="102"/>
      <c r="AQ965" s="102"/>
      <c r="AR965" s="102"/>
      <c r="AS965" s="102"/>
      <c r="AT965" s="102"/>
      <c r="AU965" s="102"/>
      <c r="AV965" s="102"/>
      <c r="AW965" s="102"/>
      <c r="AX965" s="102"/>
      <c r="AY965" s="102"/>
    </row>
    <row r="966" spans="1:5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  <c r="AG966" s="102"/>
      <c r="AH966" s="102"/>
      <c r="AI966" s="102"/>
      <c r="AJ966" s="102"/>
      <c r="AK966" s="102"/>
      <c r="AL966" s="102"/>
      <c r="AM966" s="102"/>
      <c r="AN966" s="102"/>
      <c r="AO966" s="102"/>
      <c r="AP966" s="102"/>
      <c r="AQ966" s="102"/>
      <c r="AR966" s="102"/>
      <c r="AS966" s="102"/>
      <c r="AT966" s="102"/>
      <c r="AU966" s="102"/>
      <c r="AV966" s="102"/>
      <c r="AW966" s="102"/>
      <c r="AX966" s="102"/>
      <c r="AY966" s="102"/>
    </row>
    <row r="967" spans="1:5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  <c r="AG967" s="102"/>
      <c r="AH967" s="102"/>
      <c r="AI967" s="102"/>
      <c r="AJ967" s="102"/>
      <c r="AK967" s="102"/>
      <c r="AL967" s="102"/>
      <c r="AM967" s="102"/>
      <c r="AN967" s="102"/>
      <c r="AO967" s="102"/>
      <c r="AP967" s="102"/>
      <c r="AQ967" s="102"/>
      <c r="AR967" s="102"/>
      <c r="AS967" s="102"/>
      <c r="AT967" s="102"/>
      <c r="AU967" s="102"/>
      <c r="AV967" s="102"/>
      <c r="AW967" s="102"/>
      <c r="AX967" s="102"/>
      <c r="AY967" s="102"/>
    </row>
  </sheetData>
  <mergeCells count="1">
    <mergeCell ref="A1:G1"/>
  </mergeCells>
  <conditionalFormatting sqref="C37:C89 C3:C34">
    <cfRule type="duplicateValues" dxfId="2" priority="7"/>
  </conditionalFormatting>
  <conditionalFormatting sqref="C35:C36">
    <cfRule type="duplicateValues" dxfId="1" priority="11"/>
  </conditionalFormatting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47"/>
  <sheetViews>
    <sheetView topLeftCell="A55" workbookViewId="0">
      <selection activeCell="D76" sqref="D76"/>
    </sheetView>
  </sheetViews>
  <sheetFormatPr defaultColWidth="12.5703125" defaultRowHeight="15" customHeight="1"/>
  <cols>
    <col min="1" max="1" width="4.140625" customWidth="1"/>
    <col min="2" max="2" width="23.7109375" customWidth="1"/>
    <col min="3" max="3" width="49.28515625" customWidth="1"/>
    <col min="4" max="4" width="24.140625" customWidth="1"/>
    <col min="5" max="5" width="38.140625" customWidth="1"/>
    <col min="6" max="6" width="15.5703125" customWidth="1"/>
    <col min="7" max="26" width="48.85546875" customWidth="1"/>
  </cols>
  <sheetData>
    <row r="1" spans="1:26" ht="38.25" customHeight="1">
      <c r="A1" s="140" t="s">
        <v>746</v>
      </c>
      <c r="B1" s="125"/>
      <c r="C1" s="125"/>
      <c r="D1" s="125"/>
      <c r="E1" s="125"/>
      <c r="F1" s="141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2" customHeight="1">
      <c r="A2" s="107" t="s">
        <v>137</v>
      </c>
      <c r="B2" s="107" t="s">
        <v>138</v>
      </c>
      <c r="C2" s="107" t="s">
        <v>139</v>
      </c>
      <c r="D2" s="107" t="s">
        <v>586</v>
      </c>
      <c r="E2" s="107" t="s">
        <v>587</v>
      </c>
      <c r="F2" s="107" t="s">
        <v>588</v>
      </c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2" customHeight="1">
      <c r="A3" s="106">
        <v>2</v>
      </c>
      <c r="B3" s="106" t="s">
        <v>589</v>
      </c>
      <c r="C3" s="109" t="s">
        <v>590</v>
      </c>
      <c r="D3" s="110">
        <v>43671</v>
      </c>
      <c r="E3" s="106" t="s">
        <v>591</v>
      </c>
      <c r="F3" s="111">
        <v>30000</v>
      </c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ht="12" customHeight="1">
      <c r="A4" s="112">
        <v>15</v>
      </c>
      <c r="B4" s="106" t="s">
        <v>592</v>
      </c>
      <c r="C4" s="112" t="s">
        <v>593</v>
      </c>
      <c r="D4" s="113">
        <v>43696</v>
      </c>
      <c r="E4" s="106" t="s">
        <v>594</v>
      </c>
      <c r="F4" s="114">
        <v>0</v>
      </c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ht="12" customHeight="1">
      <c r="A5" s="106">
        <v>2</v>
      </c>
      <c r="B5" s="106" t="s">
        <v>595</v>
      </c>
      <c r="C5" s="106" t="s">
        <v>593</v>
      </c>
      <c r="D5" s="110">
        <v>43699</v>
      </c>
      <c r="E5" s="106" t="s">
        <v>596</v>
      </c>
      <c r="F5" s="111">
        <v>0</v>
      </c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ht="12" customHeight="1">
      <c r="A6" s="106">
        <v>2</v>
      </c>
      <c r="B6" s="106" t="s">
        <v>597</v>
      </c>
      <c r="C6" s="106" t="s">
        <v>593</v>
      </c>
      <c r="D6" s="115">
        <v>44018</v>
      </c>
      <c r="E6" s="106" t="s">
        <v>591</v>
      </c>
      <c r="F6" s="111">
        <v>8000</v>
      </c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ht="12" customHeight="1">
      <c r="A7" s="106">
        <v>2</v>
      </c>
      <c r="B7" s="106" t="s">
        <v>598</v>
      </c>
      <c r="C7" s="106" t="s">
        <v>599</v>
      </c>
      <c r="D7" s="110">
        <v>44047</v>
      </c>
      <c r="E7" s="106" t="s">
        <v>591</v>
      </c>
      <c r="F7" s="111">
        <v>5000</v>
      </c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ht="12" customHeight="1">
      <c r="A8" s="106">
        <v>2</v>
      </c>
      <c r="B8" s="106" t="s">
        <v>600</v>
      </c>
      <c r="C8" s="106" t="s">
        <v>601</v>
      </c>
      <c r="D8" s="115">
        <v>44082</v>
      </c>
      <c r="E8" s="106" t="s">
        <v>602</v>
      </c>
      <c r="F8" s="111">
        <v>1701.7</v>
      </c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12" customHeight="1">
      <c r="A9" s="106">
        <v>2</v>
      </c>
      <c r="B9" s="106" t="s">
        <v>603</v>
      </c>
      <c r="C9" s="106" t="s">
        <v>604</v>
      </c>
      <c r="D9" s="110">
        <v>44319</v>
      </c>
      <c r="E9" s="106" t="s">
        <v>591</v>
      </c>
      <c r="F9" s="111">
        <v>50000</v>
      </c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12" customHeight="1">
      <c r="A10" s="106">
        <v>3</v>
      </c>
      <c r="B10" s="106" t="s">
        <v>605</v>
      </c>
      <c r="C10" s="106" t="s">
        <v>606</v>
      </c>
      <c r="D10" s="115">
        <v>44516</v>
      </c>
      <c r="E10" s="106" t="s">
        <v>607</v>
      </c>
      <c r="F10" s="111">
        <v>0</v>
      </c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12" customHeight="1">
      <c r="A11" s="106">
        <v>15</v>
      </c>
      <c r="B11" s="106" t="s">
        <v>608</v>
      </c>
      <c r="C11" s="109" t="s">
        <v>609</v>
      </c>
      <c r="D11" s="110">
        <v>44671</v>
      </c>
      <c r="E11" s="106" t="s">
        <v>591</v>
      </c>
      <c r="F11" s="111">
        <v>32400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12" customHeight="1">
      <c r="A12" s="106">
        <v>15</v>
      </c>
      <c r="B12" s="106" t="s">
        <v>610</v>
      </c>
      <c r="C12" s="106" t="s">
        <v>611</v>
      </c>
      <c r="D12" s="115">
        <v>44792</v>
      </c>
      <c r="E12" s="106" t="s">
        <v>602</v>
      </c>
      <c r="F12" s="111">
        <v>1470.34</v>
      </c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12" customHeight="1">
      <c r="A13" s="106">
        <v>2</v>
      </c>
      <c r="B13" s="106" t="s">
        <v>612</v>
      </c>
      <c r="C13" s="106" t="s">
        <v>613</v>
      </c>
      <c r="D13" s="115">
        <v>44986</v>
      </c>
      <c r="E13" s="106" t="s">
        <v>602</v>
      </c>
      <c r="F13" s="111">
        <v>1477.14</v>
      </c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2" customHeight="1">
      <c r="A14" s="106">
        <v>2</v>
      </c>
      <c r="B14" s="106" t="s">
        <v>614</v>
      </c>
      <c r="C14" s="106" t="s">
        <v>615</v>
      </c>
      <c r="D14" s="115">
        <v>45013</v>
      </c>
      <c r="E14" s="106" t="s">
        <v>591</v>
      </c>
      <c r="F14" s="111">
        <v>0</v>
      </c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2" customHeight="1">
      <c r="A15" s="106">
        <v>20</v>
      </c>
      <c r="B15" s="106" t="s">
        <v>616</v>
      </c>
      <c r="C15" s="106" t="s">
        <v>617</v>
      </c>
      <c r="D15" s="115">
        <v>45014</v>
      </c>
      <c r="E15" s="106" t="s">
        <v>602</v>
      </c>
      <c r="F15" s="111">
        <v>0</v>
      </c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12" customHeight="1">
      <c r="A16" s="106">
        <v>23</v>
      </c>
      <c r="B16" s="106" t="s">
        <v>618</v>
      </c>
      <c r="C16" s="106" t="s">
        <v>619</v>
      </c>
      <c r="D16" s="115">
        <v>45034</v>
      </c>
      <c r="E16" s="106" t="s">
        <v>591</v>
      </c>
      <c r="F16" s="111">
        <v>0</v>
      </c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ht="12" customHeight="1">
      <c r="A17" s="106">
        <v>2</v>
      </c>
      <c r="B17" s="106" t="s">
        <v>620</v>
      </c>
      <c r="C17" s="106" t="s">
        <v>621</v>
      </c>
      <c r="D17" s="115">
        <v>45041</v>
      </c>
      <c r="E17" s="106" t="s">
        <v>602</v>
      </c>
      <c r="F17" s="111">
        <v>0</v>
      </c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12" customHeight="1">
      <c r="A18" s="106">
        <v>2</v>
      </c>
      <c r="B18" s="106" t="s">
        <v>622</v>
      </c>
      <c r="C18" s="106" t="s">
        <v>623</v>
      </c>
      <c r="D18" s="115">
        <v>45061</v>
      </c>
      <c r="E18" s="106" t="s">
        <v>591</v>
      </c>
      <c r="F18" s="111">
        <v>120000</v>
      </c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12" customHeight="1">
      <c r="A19" s="106">
        <v>3</v>
      </c>
      <c r="B19" s="106" t="s">
        <v>624</v>
      </c>
      <c r="C19" s="106" t="s">
        <v>625</v>
      </c>
      <c r="D19" s="115">
        <v>45068</v>
      </c>
      <c r="E19" s="106" t="s">
        <v>591</v>
      </c>
      <c r="F19" s="111">
        <v>0</v>
      </c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12" customHeight="1">
      <c r="A20" s="106">
        <v>2</v>
      </c>
      <c r="B20" s="106" t="s">
        <v>626</v>
      </c>
      <c r="C20" s="106" t="s">
        <v>627</v>
      </c>
      <c r="D20" s="115">
        <v>45071</v>
      </c>
      <c r="E20" s="106" t="s">
        <v>591</v>
      </c>
      <c r="F20" s="111">
        <v>208443</v>
      </c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12" customHeight="1">
      <c r="A21" s="106">
        <v>3</v>
      </c>
      <c r="B21" s="106" t="s">
        <v>628</v>
      </c>
      <c r="C21" s="106" t="s">
        <v>629</v>
      </c>
      <c r="D21" s="115">
        <v>45078</v>
      </c>
      <c r="E21" s="106" t="s">
        <v>602</v>
      </c>
      <c r="F21" s="111">
        <v>0</v>
      </c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12" customHeight="1">
      <c r="A22" s="106">
        <v>2</v>
      </c>
      <c r="B22" s="106" t="s">
        <v>630</v>
      </c>
      <c r="C22" s="106" t="s">
        <v>631</v>
      </c>
      <c r="D22" s="115">
        <v>45078</v>
      </c>
      <c r="E22" s="106" t="s">
        <v>602</v>
      </c>
      <c r="F22" s="111">
        <v>21572.6</v>
      </c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12" customHeight="1">
      <c r="A23" s="106">
        <v>3</v>
      </c>
      <c r="B23" s="106" t="s">
        <v>632</v>
      </c>
      <c r="C23" s="106" t="s">
        <v>633</v>
      </c>
      <c r="D23" s="115">
        <v>45078</v>
      </c>
      <c r="E23" s="106" t="s">
        <v>602</v>
      </c>
      <c r="F23" s="111">
        <v>0</v>
      </c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12" customHeight="1">
      <c r="A24" s="106">
        <v>2</v>
      </c>
      <c r="B24" s="106" t="s">
        <v>634</v>
      </c>
      <c r="C24" s="106" t="s">
        <v>635</v>
      </c>
      <c r="D24" s="115">
        <v>45125</v>
      </c>
      <c r="E24" s="106" t="s">
        <v>602</v>
      </c>
      <c r="F24" s="111">
        <v>38038.839999999997</v>
      </c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12" customHeight="1">
      <c r="A25" s="106">
        <v>4</v>
      </c>
      <c r="B25" s="106" t="s">
        <v>636</v>
      </c>
      <c r="C25" s="106" t="s">
        <v>637</v>
      </c>
      <c r="D25" s="115">
        <v>45209</v>
      </c>
      <c r="E25" s="106" t="s">
        <v>591</v>
      </c>
      <c r="F25" s="111">
        <v>0</v>
      </c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12" customHeight="1">
      <c r="A26" s="106">
        <v>2</v>
      </c>
      <c r="B26" s="106" t="s">
        <v>638</v>
      </c>
      <c r="C26" s="106" t="s">
        <v>639</v>
      </c>
      <c r="D26" s="115">
        <v>45232</v>
      </c>
      <c r="E26" s="106" t="s">
        <v>640</v>
      </c>
      <c r="F26" s="111">
        <v>0</v>
      </c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12" customHeight="1">
      <c r="A27" s="106">
        <v>2</v>
      </c>
      <c r="B27" s="106" t="s">
        <v>641</v>
      </c>
      <c r="C27" s="106" t="s">
        <v>465</v>
      </c>
      <c r="D27" s="115">
        <v>45257</v>
      </c>
      <c r="E27" s="106" t="s">
        <v>642</v>
      </c>
      <c r="F27" s="111">
        <v>0</v>
      </c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12" customHeight="1">
      <c r="A28" s="106">
        <v>18</v>
      </c>
      <c r="B28" s="106" t="s">
        <v>643</v>
      </c>
      <c r="C28" s="106" t="s">
        <v>644</v>
      </c>
      <c r="D28" s="115">
        <v>45343</v>
      </c>
      <c r="E28" s="106" t="s">
        <v>602</v>
      </c>
      <c r="F28" s="111">
        <v>0</v>
      </c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12" customHeight="1">
      <c r="A29" s="106">
        <v>2</v>
      </c>
      <c r="B29" s="106" t="s">
        <v>645</v>
      </c>
      <c r="C29" s="106" t="s">
        <v>646</v>
      </c>
      <c r="D29" s="115">
        <v>45345</v>
      </c>
      <c r="E29" s="106" t="s">
        <v>591</v>
      </c>
      <c r="F29" s="111">
        <v>0</v>
      </c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12" customHeight="1">
      <c r="A30" s="106">
        <v>23</v>
      </c>
      <c r="B30" s="106" t="s">
        <v>647</v>
      </c>
      <c r="C30" s="106" t="s">
        <v>639</v>
      </c>
      <c r="D30" s="115">
        <v>45355</v>
      </c>
      <c r="E30" s="106" t="s">
        <v>602</v>
      </c>
      <c r="F30" s="111">
        <v>0</v>
      </c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12" customHeight="1">
      <c r="A31" s="106">
        <v>2</v>
      </c>
      <c r="B31" s="106" t="s">
        <v>648</v>
      </c>
      <c r="C31" s="106" t="s">
        <v>649</v>
      </c>
      <c r="D31" s="115">
        <v>45373</v>
      </c>
      <c r="E31" s="106" t="s">
        <v>640</v>
      </c>
      <c r="F31" s="111">
        <v>0</v>
      </c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2" customHeight="1">
      <c r="A32" s="112">
        <v>2</v>
      </c>
      <c r="B32" s="112" t="s">
        <v>650</v>
      </c>
      <c r="C32" s="112" t="s">
        <v>651</v>
      </c>
      <c r="D32" s="113">
        <v>45390</v>
      </c>
      <c r="E32" s="112" t="s">
        <v>602</v>
      </c>
      <c r="F32" s="114">
        <v>9253.23</v>
      </c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2" customHeight="1">
      <c r="A33" s="106">
        <v>7</v>
      </c>
      <c r="B33" s="106" t="s">
        <v>652</v>
      </c>
      <c r="C33" s="106" t="s">
        <v>653</v>
      </c>
      <c r="D33" s="115">
        <v>45433</v>
      </c>
      <c r="E33" s="106" t="s">
        <v>602</v>
      </c>
      <c r="F33" s="111">
        <v>0</v>
      </c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2" customHeight="1">
      <c r="A34" s="106">
        <v>9</v>
      </c>
      <c r="B34" s="106" t="s">
        <v>654</v>
      </c>
      <c r="C34" s="106" t="s">
        <v>655</v>
      </c>
      <c r="D34" s="115">
        <v>45447</v>
      </c>
      <c r="E34" s="106" t="s">
        <v>602</v>
      </c>
      <c r="F34" s="111">
        <v>0</v>
      </c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spans="1:26" ht="12" customHeight="1">
      <c r="A35" s="106">
        <v>2</v>
      </c>
      <c r="B35" s="106" t="s">
        <v>656</v>
      </c>
      <c r="C35" s="106" t="s">
        <v>657</v>
      </c>
      <c r="D35" s="115">
        <v>45448</v>
      </c>
      <c r="E35" s="106" t="s">
        <v>602</v>
      </c>
      <c r="F35" s="111">
        <v>0</v>
      </c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2" customHeight="1">
      <c r="A36" s="106">
        <v>2</v>
      </c>
      <c r="B36" s="106" t="s">
        <v>658</v>
      </c>
      <c r="C36" s="106" t="s">
        <v>659</v>
      </c>
      <c r="D36" s="115">
        <v>45467</v>
      </c>
      <c r="E36" s="106" t="s">
        <v>660</v>
      </c>
      <c r="F36" s="111">
        <v>0</v>
      </c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2" customHeight="1">
      <c r="A37" s="106">
        <v>9</v>
      </c>
      <c r="B37" s="106" t="s">
        <v>661</v>
      </c>
      <c r="C37" s="106" t="s">
        <v>662</v>
      </c>
      <c r="D37" s="115">
        <v>45524</v>
      </c>
      <c r="E37" s="106" t="s">
        <v>602</v>
      </c>
      <c r="F37" s="111">
        <v>0</v>
      </c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2" customHeight="1">
      <c r="A38" s="106">
        <v>18</v>
      </c>
      <c r="B38" s="106" t="s">
        <v>663</v>
      </c>
      <c r="C38" s="106" t="s">
        <v>664</v>
      </c>
      <c r="D38" s="115">
        <v>45560</v>
      </c>
      <c r="E38" s="106" t="s">
        <v>591</v>
      </c>
      <c r="F38" s="111">
        <v>11000</v>
      </c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2" customHeight="1">
      <c r="A39" s="106">
        <v>4</v>
      </c>
      <c r="B39" s="106" t="s">
        <v>665</v>
      </c>
      <c r="C39" s="106" t="s">
        <v>666</v>
      </c>
      <c r="D39" s="115">
        <v>45582</v>
      </c>
      <c r="E39" s="106" t="s">
        <v>602</v>
      </c>
      <c r="F39" s="111">
        <v>0</v>
      </c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2" customHeight="1">
      <c r="A40" s="106">
        <v>15</v>
      </c>
      <c r="B40" s="106" t="s">
        <v>667</v>
      </c>
      <c r="C40" s="116" t="s">
        <v>668</v>
      </c>
      <c r="D40" s="117">
        <v>45593</v>
      </c>
      <c r="E40" s="106" t="s">
        <v>591</v>
      </c>
      <c r="F40" s="111">
        <v>12600</v>
      </c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2" customHeight="1">
      <c r="A41" s="106">
        <v>2</v>
      </c>
      <c r="B41" s="106" t="s">
        <v>669</v>
      </c>
      <c r="C41" s="106" t="s">
        <v>670</v>
      </c>
      <c r="D41" s="115">
        <v>45616</v>
      </c>
      <c r="E41" s="106" t="s">
        <v>660</v>
      </c>
      <c r="F41" s="118">
        <v>0</v>
      </c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2" customHeight="1">
      <c r="A42" s="106">
        <v>2</v>
      </c>
      <c r="B42" s="106" t="s">
        <v>671</v>
      </c>
      <c r="C42" s="106" t="s">
        <v>672</v>
      </c>
      <c r="D42" s="115">
        <v>45617</v>
      </c>
      <c r="E42" s="106" t="s">
        <v>602</v>
      </c>
      <c r="F42" s="111">
        <v>30277.91</v>
      </c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2" customHeight="1">
      <c r="A43" s="106">
        <v>4</v>
      </c>
      <c r="B43" s="106" t="s">
        <v>673</v>
      </c>
      <c r="C43" s="106" t="s">
        <v>674</v>
      </c>
      <c r="D43" s="115">
        <v>45618</v>
      </c>
      <c r="E43" s="106" t="s">
        <v>602</v>
      </c>
      <c r="F43" s="111">
        <v>0</v>
      </c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2" customHeight="1">
      <c r="A44" s="106">
        <v>2</v>
      </c>
      <c r="B44" s="106" t="s">
        <v>675</v>
      </c>
      <c r="C44" s="106" t="s">
        <v>676</v>
      </c>
      <c r="D44" s="115">
        <v>45664</v>
      </c>
      <c r="E44" s="106" t="s">
        <v>660</v>
      </c>
      <c r="F44" s="111">
        <v>0</v>
      </c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2" customHeight="1">
      <c r="A45" s="106">
        <v>5</v>
      </c>
      <c r="B45" s="109" t="s">
        <v>677</v>
      </c>
      <c r="C45" s="109" t="s">
        <v>678</v>
      </c>
      <c r="D45" s="110">
        <v>45692</v>
      </c>
      <c r="E45" s="106" t="s">
        <v>679</v>
      </c>
      <c r="F45" s="111">
        <v>0</v>
      </c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2" customHeight="1">
      <c r="A46" s="106">
        <v>20</v>
      </c>
      <c r="B46" s="106" t="s">
        <v>680</v>
      </c>
      <c r="C46" s="106" t="s">
        <v>681</v>
      </c>
      <c r="D46" s="115">
        <v>45733</v>
      </c>
      <c r="E46" s="106" t="s">
        <v>602</v>
      </c>
      <c r="F46" s="111">
        <v>0</v>
      </c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2" customHeight="1">
      <c r="A47" s="106">
        <v>15</v>
      </c>
      <c r="B47" s="106" t="s">
        <v>682</v>
      </c>
      <c r="C47" s="106" t="s">
        <v>465</v>
      </c>
      <c r="D47" s="115">
        <v>45737</v>
      </c>
      <c r="E47" s="106" t="s">
        <v>602</v>
      </c>
      <c r="F47" s="111">
        <v>13680.05</v>
      </c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2" customHeight="1">
      <c r="A48" s="106">
        <v>4</v>
      </c>
      <c r="B48" s="106" t="s">
        <v>683</v>
      </c>
      <c r="C48" s="106" t="s">
        <v>684</v>
      </c>
      <c r="D48" s="115">
        <v>45743</v>
      </c>
      <c r="E48" s="106" t="s">
        <v>602</v>
      </c>
      <c r="F48" s="111">
        <v>0</v>
      </c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2" customHeight="1">
      <c r="A49" s="106">
        <v>2</v>
      </c>
      <c r="B49" s="106" t="s">
        <v>685</v>
      </c>
      <c r="C49" s="106" t="s">
        <v>686</v>
      </c>
      <c r="D49" s="115">
        <v>45748</v>
      </c>
      <c r="E49" s="106" t="s">
        <v>591</v>
      </c>
      <c r="F49" s="111">
        <v>0</v>
      </c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2" customHeight="1">
      <c r="A50" s="106">
        <v>2</v>
      </c>
      <c r="B50" s="106" t="s">
        <v>687</v>
      </c>
      <c r="C50" s="106" t="s">
        <v>688</v>
      </c>
      <c r="D50" s="115">
        <v>45751</v>
      </c>
      <c r="E50" s="106" t="s">
        <v>591</v>
      </c>
      <c r="F50" s="111">
        <v>30000</v>
      </c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2" customHeight="1">
      <c r="A51" s="106">
        <v>2</v>
      </c>
      <c r="B51" s="106" t="s">
        <v>689</v>
      </c>
      <c r="C51" s="106" t="s">
        <v>690</v>
      </c>
      <c r="D51" s="115">
        <v>45782</v>
      </c>
      <c r="E51" s="106" t="s">
        <v>591</v>
      </c>
      <c r="F51" s="111">
        <v>80000</v>
      </c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2" customHeight="1">
      <c r="A52" s="106">
        <v>15</v>
      </c>
      <c r="B52" s="106" t="s">
        <v>691</v>
      </c>
      <c r="C52" s="106" t="s">
        <v>692</v>
      </c>
      <c r="D52" s="115">
        <v>45788</v>
      </c>
      <c r="E52" s="106" t="s">
        <v>602</v>
      </c>
      <c r="F52" s="111">
        <v>44661.69</v>
      </c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2" customHeight="1">
      <c r="A53" s="106">
        <v>2</v>
      </c>
      <c r="B53" s="106" t="s">
        <v>693</v>
      </c>
      <c r="C53" s="106" t="s">
        <v>694</v>
      </c>
      <c r="D53" s="115">
        <v>45793</v>
      </c>
      <c r="E53" s="106" t="s">
        <v>660</v>
      </c>
      <c r="F53" s="111">
        <v>0</v>
      </c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2" customHeight="1">
      <c r="A54" s="106">
        <v>2</v>
      </c>
      <c r="B54" s="106" t="s">
        <v>695</v>
      </c>
      <c r="C54" s="106" t="s">
        <v>696</v>
      </c>
      <c r="D54" s="115">
        <v>45831</v>
      </c>
      <c r="E54" s="106" t="s">
        <v>660</v>
      </c>
      <c r="F54" s="111">
        <v>0</v>
      </c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2" customHeight="1">
      <c r="A55" s="106">
        <v>18</v>
      </c>
      <c r="B55" s="106" t="s">
        <v>697</v>
      </c>
      <c r="C55" s="106" t="s">
        <v>698</v>
      </c>
      <c r="D55" s="115">
        <v>45846</v>
      </c>
      <c r="E55" s="106" t="s">
        <v>602</v>
      </c>
      <c r="F55" s="111">
        <v>0</v>
      </c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2" customHeight="1">
      <c r="A56" s="106">
        <v>2</v>
      </c>
      <c r="B56" s="106" t="s">
        <v>699</v>
      </c>
      <c r="C56" s="106" t="s">
        <v>524</v>
      </c>
      <c r="D56" s="115">
        <v>45882</v>
      </c>
      <c r="E56" s="106" t="s">
        <v>700</v>
      </c>
      <c r="F56" s="111">
        <v>0</v>
      </c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2" customHeight="1">
      <c r="A57" s="106">
        <v>2</v>
      </c>
      <c r="B57" s="106" t="s">
        <v>701</v>
      </c>
      <c r="C57" s="106" t="s">
        <v>702</v>
      </c>
      <c r="D57" s="115">
        <v>45905</v>
      </c>
      <c r="E57" s="106" t="s">
        <v>602</v>
      </c>
      <c r="F57" s="111">
        <v>5997.74</v>
      </c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2" customHeight="1">
      <c r="A58" s="106">
        <v>2</v>
      </c>
      <c r="B58" s="106" t="s">
        <v>703</v>
      </c>
      <c r="C58" s="106" t="s">
        <v>672</v>
      </c>
      <c r="D58" s="115">
        <v>45908</v>
      </c>
      <c r="E58" s="106" t="s">
        <v>602</v>
      </c>
      <c r="F58" s="111">
        <v>30277.91</v>
      </c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2" customHeight="1">
      <c r="A59" s="106">
        <v>4</v>
      </c>
      <c r="B59" s="106" t="s">
        <v>704</v>
      </c>
      <c r="C59" s="106" t="s">
        <v>705</v>
      </c>
      <c r="D59" s="115">
        <v>45945</v>
      </c>
      <c r="E59" s="106" t="s">
        <v>679</v>
      </c>
      <c r="F59" s="111">
        <v>0</v>
      </c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2" customHeight="1">
      <c r="A60" s="106">
        <v>20</v>
      </c>
      <c r="B60" s="106" t="s">
        <v>706</v>
      </c>
      <c r="C60" s="106" t="s">
        <v>707</v>
      </c>
      <c r="D60" s="115">
        <v>45960</v>
      </c>
      <c r="E60" s="106" t="s">
        <v>602</v>
      </c>
      <c r="F60" s="111">
        <v>0</v>
      </c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2" customHeight="1">
      <c r="A61" s="106">
        <v>9</v>
      </c>
      <c r="B61" s="106" t="s">
        <v>708</v>
      </c>
      <c r="C61" s="106" t="s">
        <v>709</v>
      </c>
      <c r="D61" s="115">
        <v>45967</v>
      </c>
      <c r="E61" s="106" t="s">
        <v>660</v>
      </c>
      <c r="F61" s="111">
        <v>0</v>
      </c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2" customHeight="1">
      <c r="A62" s="106">
        <v>4</v>
      </c>
      <c r="B62" s="106" t="s">
        <v>710</v>
      </c>
      <c r="C62" s="106" t="s">
        <v>711</v>
      </c>
      <c r="D62" s="115">
        <v>45986</v>
      </c>
      <c r="E62" s="106" t="s">
        <v>602</v>
      </c>
      <c r="F62" s="111">
        <v>0</v>
      </c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2" customHeight="1">
      <c r="A63" s="106">
        <v>9</v>
      </c>
      <c r="B63" s="106" t="s">
        <v>712</v>
      </c>
      <c r="C63" s="106" t="s">
        <v>713</v>
      </c>
      <c r="D63" s="115">
        <v>45995</v>
      </c>
      <c r="E63" s="106" t="s">
        <v>602</v>
      </c>
      <c r="F63" s="111">
        <v>0</v>
      </c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2" customHeight="1">
      <c r="A64" s="106">
        <v>18</v>
      </c>
      <c r="B64" s="106" t="s">
        <v>714</v>
      </c>
      <c r="C64" s="106" t="s">
        <v>698</v>
      </c>
      <c r="D64" s="115">
        <v>46010</v>
      </c>
      <c r="E64" s="106" t="s">
        <v>602</v>
      </c>
      <c r="F64" s="111">
        <v>179941.96</v>
      </c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2" customHeight="1">
      <c r="A65" s="106">
        <v>4</v>
      </c>
      <c r="B65" s="106" t="s">
        <v>563</v>
      </c>
      <c r="C65" s="106" t="s">
        <v>533</v>
      </c>
      <c r="D65" s="115">
        <v>46076</v>
      </c>
      <c r="E65" s="106" t="s">
        <v>715</v>
      </c>
      <c r="F65" s="111">
        <v>0</v>
      </c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ht="12" customHeight="1">
      <c r="A66" s="106">
        <v>2</v>
      </c>
      <c r="B66" s="106" t="s">
        <v>716</v>
      </c>
      <c r="C66" s="106" t="s">
        <v>717</v>
      </c>
      <c r="D66" s="115">
        <v>46091</v>
      </c>
      <c r="E66" s="106" t="s">
        <v>640</v>
      </c>
      <c r="F66" s="111">
        <v>0</v>
      </c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2" customHeight="1">
      <c r="A67" s="106">
        <v>3</v>
      </c>
      <c r="B67" s="106" t="s">
        <v>718</v>
      </c>
      <c r="C67" s="106" t="s">
        <v>719</v>
      </c>
      <c r="D67" s="115">
        <v>46056</v>
      </c>
      <c r="E67" s="106" t="s">
        <v>720</v>
      </c>
      <c r="F67" s="111">
        <v>0</v>
      </c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2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2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2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2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2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2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2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2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2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2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2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2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2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2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2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2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2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2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2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2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2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2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2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2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2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2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2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2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2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2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2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2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2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2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2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2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2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2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2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2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2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2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2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2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2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2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2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2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2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2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2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2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2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2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2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2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2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2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2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2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2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2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2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2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2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2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2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2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2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2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2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2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2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2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2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2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2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2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2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2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2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2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2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2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2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2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2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2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2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2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2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2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2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2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2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2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2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2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2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2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2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2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2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2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2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2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2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2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2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2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2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2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2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2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2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2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2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2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2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2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2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2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2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2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2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2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2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2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2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2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2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2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2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2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2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2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2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2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2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2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2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2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2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2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2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2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2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2" customHeigh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 spans="1:26" ht="12" customHeigh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 spans="1:26" ht="12" customHeigh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 spans="1:26" ht="12" customHeigh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</row>
    <row r="219" spans="1:26" ht="12" customHeigh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</row>
    <row r="220" spans="1:26" ht="12" customHeigh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</row>
    <row r="221" spans="1:26" ht="12" customHeigh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 spans="1:26" ht="12" customHeight="1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</row>
    <row r="223" spans="1:26" ht="12" customHeight="1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</row>
    <row r="224" spans="1:26" ht="12" customHeight="1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</row>
    <row r="225" spans="1:26" ht="12" customHeight="1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</row>
    <row r="226" spans="1:26" ht="12" customHeight="1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</row>
    <row r="227" spans="1:26" ht="12" customHeight="1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</row>
    <row r="228" spans="1:26" ht="12" customHeight="1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</row>
    <row r="229" spans="1:26" ht="12" customHeight="1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</row>
    <row r="230" spans="1:26" ht="12" customHeight="1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</row>
    <row r="231" spans="1:26" ht="12" customHeight="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</row>
    <row r="232" spans="1:26" ht="12" customHeight="1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</row>
    <row r="233" spans="1:26" ht="12" customHeight="1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</row>
    <row r="234" spans="1:26" ht="12" customHeight="1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</row>
    <row r="235" spans="1:26" ht="12" customHeight="1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</row>
    <row r="236" spans="1:26" ht="12" customHeight="1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</row>
    <row r="237" spans="1:26" ht="12" customHeight="1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</row>
    <row r="238" spans="1:26" ht="12" customHeight="1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</row>
    <row r="239" spans="1:26" ht="12" customHeight="1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</row>
    <row r="240" spans="1:26" ht="12" customHeight="1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</row>
    <row r="241" spans="1:26" ht="12" customHeight="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</row>
    <row r="242" spans="1:26" ht="12" customHeigh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</row>
    <row r="243" spans="1:26" ht="12" customHeigh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</row>
    <row r="244" spans="1:26" ht="12" customHeight="1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</row>
    <row r="245" spans="1:26" ht="12" customHeight="1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</row>
    <row r="246" spans="1:26" ht="12" customHeight="1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</row>
    <row r="247" spans="1:26" ht="12" customHeight="1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</row>
    <row r="248" spans="1:26" ht="12" customHeight="1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</row>
    <row r="249" spans="1:26" ht="12" customHeight="1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</row>
    <row r="250" spans="1:26" ht="12" customHeight="1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</row>
    <row r="251" spans="1:26" ht="12" customHeight="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</row>
    <row r="252" spans="1:26" ht="12" customHeight="1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</row>
    <row r="253" spans="1:26" ht="12" customHeight="1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</row>
    <row r="254" spans="1:26" ht="12" customHeight="1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</row>
    <row r="255" spans="1:26" ht="12" customHeight="1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</row>
    <row r="256" spans="1:26" ht="12" customHeight="1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</row>
    <row r="257" spans="1:26" ht="12" customHeight="1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</row>
    <row r="258" spans="1:26" ht="12" customHeight="1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</row>
    <row r="259" spans="1:26" ht="12" customHeight="1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</row>
    <row r="260" spans="1:26" ht="12" customHeight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</row>
    <row r="261" spans="1:26" ht="12" customHeight="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</row>
    <row r="262" spans="1:26" ht="12" customHeight="1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</row>
    <row r="263" spans="1:26" ht="12" customHeight="1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</row>
    <row r="264" spans="1:26" ht="12" customHeight="1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</row>
    <row r="265" spans="1:26" ht="12" customHeight="1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</row>
    <row r="266" spans="1:26" ht="12" customHeight="1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</row>
    <row r="267" spans="1:26" ht="12" customHeight="1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</row>
    <row r="268" spans="1:26" ht="12" customHeight="1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</row>
    <row r="269" spans="1:26" ht="12" customHeight="1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</row>
    <row r="270" spans="1:26" ht="12" customHeight="1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</row>
    <row r="271" spans="1:26" ht="12" customHeight="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</row>
    <row r="272" spans="1:26" ht="12" customHeight="1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</row>
    <row r="273" spans="1:26" ht="12" customHeight="1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</row>
    <row r="274" spans="1:26" ht="12" customHeight="1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</row>
    <row r="275" spans="1:26" ht="12" customHeight="1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</row>
    <row r="276" spans="1:26" ht="12" customHeight="1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</row>
    <row r="277" spans="1:26" ht="12" customHeight="1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</row>
    <row r="278" spans="1:26" ht="12" customHeight="1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</row>
    <row r="279" spans="1:26" ht="12" customHeight="1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</row>
    <row r="280" spans="1:26" ht="12" customHeight="1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</row>
    <row r="281" spans="1:26" ht="12" customHeight="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</row>
    <row r="282" spans="1:26" ht="12" customHeight="1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</row>
    <row r="283" spans="1:26" ht="12" customHeight="1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</row>
    <row r="284" spans="1:26" ht="12" customHeight="1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</row>
    <row r="285" spans="1:26" ht="12" customHeight="1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</row>
    <row r="286" spans="1:26" ht="12" customHeight="1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</row>
    <row r="287" spans="1:26" ht="12" customHeight="1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</row>
    <row r="288" spans="1:26" ht="12" customHeight="1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</row>
    <row r="289" spans="1:26" ht="12" customHeight="1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</row>
    <row r="290" spans="1:26" ht="12" customHeight="1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</row>
    <row r="291" spans="1:26" ht="12" customHeight="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</row>
    <row r="292" spans="1:26" ht="12" customHeight="1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</row>
    <row r="293" spans="1:26" ht="12" customHeight="1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</row>
    <row r="294" spans="1:26" ht="12" customHeight="1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</row>
    <row r="295" spans="1:26" ht="12" customHeight="1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</row>
    <row r="296" spans="1:26" ht="12" customHeight="1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</row>
    <row r="297" spans="1:26" ht="12" customHeight="1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</row>
    <row r="298" spans="1:26" ht="12" customHeight="1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</row>
    <row r="299" spans="1:26" ht="12" customHeight="1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</row>
    <row r="300" spans="1:26" ht="12" customHeight="1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</row>
    <row r="301" spans="1:26" ht="12" customHeight="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</row>
    <row r="302" spans="1:26" ht="12" customHeight="1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</row>
    <row r="303" spans="1:26" ht="12" customHeight="1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</row>
    <row r="304" spans="1:26" ht="12" customHeight="1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</row>
    <row r="305" spans="1:26" ht="12" customHeight="1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</row>
    <row r="306" spans="1:26" ht="12" customHeight="1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</row>
    <row r="307" spans="1:26" ht="12" customHeight="1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</row>
    <row r="308" spans="1:26" ht="12" customHeight="1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</row>
    <row r="309" spans="1:26" ht="12" customHeight="1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</row>
    <row r="310" spans="1:26" ht="12" customHeight="1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</row>
    <row r="311" spans="1:26" ht="12" customHeight="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</row>
    <row r="312" spans="1:26" ht="12" customHeight="1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</row>
    <row r="313" spans="1:26" ht="12" customHeight="1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</row>
    <row r="314" spans="1:26" ht="12" customHeight="1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</row>
    <row r="315" spans="1:26" ht="12" customHeight="1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</row>
    <row r="316" spans="1:26" ht="12" customHeight="1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</row>
    <row r="317" spans="1:26" ht="12" customHeight="1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</row>
    <row r="318" spans="1:26" ht="12" customHeight="1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</row>
    <row r="319" spans="1:26" ht="12" customHeight="1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</row>
    <row r="320" spans="1:26" ht="12" customHeight="1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</row>
    <row r="321" spans="1:26" ht="12" customHeight="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</row>
    <row r="322" spans="1:26" ht="12" customHeight="1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</row>
    <row r="323" spans="1:26" ht="12" customHeight="1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</row>
    <row r="324" spans="1:26" ht="12" customHeight="1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</row>
    <row r="325" spans="1:26" ht="12" customHeight="1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</row>
    <row r="326" spans="1:26" ht="12" customHeight="1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</row>
    <row r="327" spans="1:26" ht="12" customHeight="1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</row>
    <row r="328" spans="1:26" ht="12" customHeight="1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</row>
    <row r="329" spans="1:26" ht="12" customHeight="1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</row>
    <row r="330" spans="1:26" ht="12" customHeight="1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</row>
    <row r="331" spans="1:26" ht="12" customHeight="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</row>
    <row r="332" spans="1:26" ht="12" customHeight="1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</row>
    <row r="333" spans="1:26" ht="12" customHeight="1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</row>
    <row r="334" spans="1:26" ht="12" customHeight="1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</row>
    <row r="335" spans="1:26" ht="12" customHeight="1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</row>
    <row r="336" spans="1:26" ht="12" customHeight="1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</row>
    <row r="337" spans="1:26" ht="12" customHeight="1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</row>
    <row r="338" spans="1:26" ht="12" customHeight="1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</row>
    <row r="339" spans="1:26" ht="12" customHeight="1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</row>
    <row r="340" spans="1:26" ht="12" customHeight="1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</row>
    <row r="341" spans="1:26" ht="12" customHeight="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</row>
    <row r="342" spans="1:26" ht="12" customHeight="1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</row>
    <row r="343" spans="1:26" ht="12" customHeight="1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</row>
    <row r="344" spans="1:26" ht="12" customHeight="1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</row>
    <row r="345" spans="1:26" ht="12" customHeight="1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</row>
    <row r="346" spans="1:26" ht="12" customHeight="1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</row>
    <row r="347" spans="1:26" ht="12" customHeight="1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</row>
    <row r="348" spans="1:26" ht="12" customHeight="1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</row>
    <row r="349" spans="1:26" ht="12" customHeight="1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</row>
    <row r="350" spans="1:26" ht="12" customHeight="1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</row>
    <row r="351" spans="1:26" ht="12" customHeight="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</row>
    <row r="352" spans="1:26" ht="12" customHeight="1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</row>
    <row r="353" spans="1:26" ht="12" customHeight="1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</row>
    <row r="354" spans="1:26" ht="12" customHeight="1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</row>
    <row r="355" spans="1:26" ht="12" customHeight="1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</row>
    <row r="356" spans="1:26" ht="12" customHeight="1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</row>
    <row r="357" spans="1:26" ht="12" customHeight="1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</row>
    <row r="358" spans="1:26" ht="12" customHeight="1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</row>
    <row r="359" spans="1:26" ht="12" customHeight="1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</row>
    <row r="360" spans="1:26" ht="12" customHeight="1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</row>
    <row r="361" spans="1:26" ht="12" customHeight="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</row>
    <row r="362" spans="1:26" ht="12" customHeight="1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</row>
    <row r="363" spans="1:26" ht="12" customHeight="1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</row>
    <row r="364" spans="1:26" ht="12" customHeight="1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</row>
    <row r="365" spans="1:26" ht="12" customHeight="1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</row>
    <row r="366" spans="1:26" ht="12" customHeight="1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</row>
    <row r="367" spans="1:26" ht="12" customHeight="1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</row>
    <row r="368" spans="1:26" ht="12" customHeight="1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</row>
    <row r="369" spans="1:26" ht="12" customHeight="1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</row>
    <row r="370" spans="1:26" ht="12" customHeight="1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</row>
    <row r="371" spans="1:26" ht="12" customHeight="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</row>
    <row r="372" spans="1:26" ht="12" customHeight="1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</row>
    <row r="373" spans="1:26" ht="12" customHeight="1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</row>
    <row r="374" spans="1:26" ht="12" customHeight="1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</row>
    <row r="375" spans="1:26" ht="12" customHeight="1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</row>
    <row r="376" spans="1:26" ht="12" customHeight="1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</row>
    <row r="377" spans="1:26" ht="12" customHeight="1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</row>
    <row r="378" spans="1:26" ht="12" customHeight="1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</row>
    <row r="379" spans="1:26" ht="12" customHeight="1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</row>
    <row r="380" spans="1:26" ht="12" customHeight="1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</row>
    <row r="381" spans="1:26" ht="12" customHeight="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</row>
    <row r="382" spans="1:26" ht="12" customHeight="1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</row>
    <row r="383" spans="1:26" ht="12" customHeight="1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</row>
    <row r="384" spans="1:26" ht="12" customHeight="1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</row>
    <row r="385" spans="1:26" ht="12" customHeight="1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</row>
    <row r="386" spans="1:26" ht="12" customHeight="1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</row>
    <row r="387" spans="1:26" ht="12" customHeight="1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</row>
    <row r="388" spans="1:26" ht="12" customHeight="1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</row>
    <row r="389" spans="1:26" ht="12" customHeight="1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</row>
    <row r="390" spans="1:26" ht="12" customHeight="1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</row>
    <row r="391" spans="1:26" ht="12" customHeight="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</row>
    <row r="392" spans="1:26" ht="12" customHeight="1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</row>
    <row r="393" spans="1:26" ht="12" customHeight="1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</row>
    <row r="394" spans="1:26" ht="12" customHeight="1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</row>
    <row r="395" spans="1:26" ht="12" customHeight="1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</row>
    <row r="396" spans="1:26" ht="12" customHeight="1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</row>
    <row r="397" spans="1:26" ht="12" customHeight="1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</row>
    <row r="398" spans="1:26" ht="12" customHeight="1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</row>
    <row r="399" spans="1:26" ht="12" customHeight="1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</row>
    <row r="400" spans="1:26" ht="12" customHeight="1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</row>
    <row r="401" spans="1:26" ht="12" customHeight="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</row>
    <row r="402" spans="1:26" ht="12" customHeight="1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</row>
    <row r="403" spans="1:26" ht="12" customHeight="1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</row>
    <row r="404" spans="1:26" ht="12" customHeight="1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</row>
    <row r="405" spans="1:26" ht="12" customHeight="1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</row>
    <row r="406" spans="1:26" ht="12" customHeight="1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</row>
    <row r="407" spans="1:26" ht="12" customHeight="1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</row>
    <row r="408" spans="1:26" ht="12" customHeight="1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</row>
    <row r="409" spans="1:26" ht="12" customHeight="1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</row>
    <row r="410" spans="1:26" ht="12" customHeight="1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</row>
    <row r="411" spans="1:26" ht="12" customHeight="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</row>
    <row r="412" spans="1:26" ht="12" customHeight="1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</row>
    <row r="413" spans="1:26" ht="12" customHeight="1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</row>
    <row r="414" spans="1:26" ht="12" customHeight="1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</row>
    <row r="415" spans="1:26" ht="12" customHeight="1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</row>
    <row r="416" spans="1:26" ht="12" customHeight="1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</row>
    <row r="417" spans="1:26" ht="12" customHeight="1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</row>
    <row r="418" spans="1:26" ht="12" customHeight="1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</row>
    <row r="419" spans="1:26" ht="12" customHeight="1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</row>
    <row r="420" spans="1:26" ht="12" customHeight="1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</row>
    <row r="421" spans="1:26" ht="12" customHeight="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</row>
    <row r="422" spans="1:26" ht="12" customHeight="1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</row>
    <row r="423" spans="1:26" ht="12" customHeight="1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</row>
    <row r="424" spans="1:26" ht="12" customHeight="1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</row>
    <row r="425" spans="1:26" ht="12" customHeight="1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</row>
    <row r="426" spans="1:26" ht="12" customHeight="1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</row>
    <row r="427" spans="1:26" ht="12" customHeight="1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</row>
    <row r="428" spans="1:26" ht="12" customHeight="1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</row>
    <row r="429" spans="1:26" ht="12" customHeight="1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</row>
    <row r="430" spans="1:26" ht="12" customHeight="1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</row>
    <row r="431" spans="1:26" ht="12" customHeight="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</row>
    <row r="432" spans="1:26" ht="12" customHeight="1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</row>
    <row r="433" spans="1:26" ht="12" customHeight="1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</row>
    <row r="434" spans="1:26" ht="12" customHeight="1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</row>
    <row r="435" spans="1:26" ht="12" customHeight="1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</row>
    <row r="436" spans="1:26" ht="12" customHeight="1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</row>
    <row r="437" spans="1:26" ht="12" customHeight="1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</row>
    <row r="438" spans="1:26" ht="12" customHeight="1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</row>
    <row r="439" spans="1:26" ht="12" customHeight="1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</row>
    <row r="440" spans="1:26" ht="12" customHeight="1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</row>
    <row r="441" spans="1:26" ht="12" customHeight="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</row>
    <row r="442" spans="1:26" ht="12" customHeight="1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</row>
    <row r="443" spans="1:26" ht="12" customHeight="1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</row>
    <row r="444" spans="1:26" ht="12" customHeight="1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</row>
    <row r="445" spans="1:26" ht="12" customHeight="1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</row>
    <row r="446" spans="1:26" ht="12" customHeight="1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</row>
    <row r="447" spans="1:26" ht="12" customHeight="1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</row>
    <row r="448" spans="1:26" ht="12" customHeight="1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</row>
    <row r="449" spans="1:26" ht="12" customHeight="1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</row>
    <row r="450" spans="1:26" ht="12" customHeight="1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</row>
    <row r="451" spans="1:26" ht="12" customHeight="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</row>
    <row r="452" spans="1:26" ht="12" customHeight="1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</row>
    <row r="453" spans="1:26" ht="12" customHeight="1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</row>
    <row r="454" spans="1:26" ht="12" customHeight="1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</row>
    <row r="455" spans="1:26" ht="12" customHeight="1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</row>
    <row r="456" spans="1:26" ht="12" customHeight="1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</row>
    <row r="457" spans="1:26" ht="12" customHeight="1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</row>
    <row r="458" spans="1:26" ht="12" customHeight="1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</row>
    <row r="459" spans="1:26" ht="12" customHeight="1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</row>
    <row r="460" spans="1:26" ht="12" customHeight="1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</row>
    <row r="461" spans="1:26" ht="12" customHeight="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</row>
    <row r="462" spans="1:26" ht="12" customHeight="1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</row>
    <row r="463" spans="1:26" ht="12" customHeight="1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</row>
    <row r="464" spans="1:26" ht="12" customHeight="1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</row>
    <row r="465" spans="1:26" ht="12" customHeight="1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</row>
    <row r="466" spans="1:26" ht="12" customHeight="1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</row>
    <row r="467" spans="1:26" ht="12" customHeight="1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</row>
    <row r="468" spans="1:26" ht="12" customHeight="1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</row>
    <row r="469" spans="1:26" ht="12" customHeight="1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</row>
    <row r="470" spans="1:26" ht="12" customHeight="1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</row>
    <row r="471" spans="1:26" ht="12" customHeight="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</row>
    <row r="472" spans="1:26" ht="12" customHeight="1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</row>
    <row r="473" spans="1:26" ht="12" customHeight="1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</row>
    <row r="474" spans="1:26" ht="12" customHeight="1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</row>
    <row r="475" spans="1:26" ht="12" customHeight="1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</row>
    <row r="476" spans="1:26" ht="12" customHeight="1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</row>
    <row r="477" spans="1:26" ht="12" customHeight="1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</row>
    <row r="478" spans="1:26" ht="12" customHeight="1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</row>
    <row r="479" spans="1:26" ht="12" customHeight="1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</row>
    <row r="480" spans="1:26" ht="12" customHeight="1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</row>
    <row r="481" spans="1:26" ht="12" customHeight="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</row>
    <row r="482" spans="1:26" ht="12" customHeight="1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</row>
    <row r="483" spans="1:26" ht="12" customHeight="1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</row>
    <row r="484" spans="1:26" ht="12" customHeight="1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</row>
    <row r="485" spans="1:26" ht="12" customHeight="1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</row>
    <row r="486" spans="1:26" ht="12" customHeight="1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</row>
    <row r="487" spans="1:26" ht="12" customHeight="1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</row>
    <row r="488" spans="1:26" ht="12" customHeight="1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</row>
    <row r="489" spans="1:26" ht="12" customHeight="1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</row>
    <row r="490" spans="1:26" ht="12" customHeight="1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</row>
    <row r="491" spans="1:26" ht="12" customHeight="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</row>
    <row r="492" spans="1:26" ht="12" customHeight="1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</row>
    <row r="493" spans="1:26" ht="12" customHeight="1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</row>
    <row r="494" spans="1:26" ht="12" customHeight="1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</row>
    <row r="495" spans="1:26" ht="12" customHeight="1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</row>
    <row r="496" spans="1:26" ht="12" customHeight="1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</row>
    <row r="497" spans="1:26" ht="12" customHeight="1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</row>
    <row r="498" spans="1:26" ht="12" customHeight="1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</row>
    <row r="499" spans="1:26" ht="12" customHeight="1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</row>
    <row r="500" spans="1:26" ht="12" customHeight="1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</row>
    <row r="501" spans="1:26" ht="12" customHeight="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</row>
    <row r="502" spans="1:26" ht="12" customHeight="1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</row>
    <row r="503" spans="1:26" ht="12" customHeight="1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</row>
    <row r="504" spans="1:26" ht="12" customHeight="1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</row>
    <row r="505" spans="1:26" ht="12" customHeight="1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</row>
    <row r="506" spans="1:26" ht="12" customHeight="1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</row>
    <row r="507" spans="1:26" ht="12" customHeight="1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</row>
    <row r="508" spans="1:26" ht="12" customHeight="1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</row>
    <row r="509" spans="1:26" ht="12" customHeight="1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</row>
    <row r="510" spans="1:26" ht="12" customHeight="1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</row>
    <row r="511" spans="1:26" ht="12" customHeight="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</row>
    <row r="512" spans="1:26" ht="12" customHeight="1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</row>
    <row r="513" spans="1:26" ht="12" customHeight="1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</row>
    <row r="514" spans="1:26" ht="12" customHeight="1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</row>
    <row r="515" spans="1:26" ht="12" customHeight="1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</row>
    <row r="516" spans="1:26" ht="12" customHeight="1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</row>
    <row r="517" spans="1:26" ht="12" customHeight="1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</row>
    <row r="518" spans="1:26" ht="12" customHeight="1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</row>
    <row r="519" spans="1:26" ht="12" customHeight="1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</row>
    <row r="520" spans="1:26" ht="12" customHeight="1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</row>
    <row r="521" spans="1:26" ht="12" customHeight="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</row>
    <row r="522" spans="1:26" ht="12" customHeight="1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</row>
    <row r="523" spans="1:26" ht="12" customHeight="1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</row>
    <row r="524" spans="1:26" ht="12" customHeight="1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</row>
    <row r="525" spans="1:26" ht="12" customHeight="1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</row>
    <row r="526" spans="1:26" ht="12" customHeight="1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</row>
    <row r="527" spans="1:26" ht="12" customHeight="1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</row>
    <row r="528" spans="1:26" ht="12" customHeight="1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</row>
    <row r="529" spans="1:26" ht="12" customHeight="1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</row>
    <row r="530" spans="1:26" ht="12" customHeight="1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</row>
    <row r="531" spans="1:26" ht="12" customHeight="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</row>
    <row r="532" spans="1:26" ht="12" customHeight="1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</row>
    <row r="533" spans="1:26" ht="12" customHeight="1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</row>
    <row r="534" spans="1:26" ht="12" customHeight="1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</row>
    <row r="535" spans="1:26" ht="12" customHeight="1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</row>
    <row r="536" spans="1:26" ht="12" customHeight="1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</row>
    <row r="537" spans="1:26" ht="12" customHeight="1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</row>
    <row r="538" spans="1:26" ht="12" customHeight="1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</row>
    <row r="539" spans="1:26" ht="12" customHeight="1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</row>
    <row r="540" spans="1:26" ht="12" customHeight="1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</row>
    <row r="541" spans="1:26" ht="12" customHeight="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</row>
    <row r="542" spans="1:26" ht="12" customHeight="1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</row>
    <row r="543" spans="1:26" ht="12" customHeight="1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</row>
    <row r="544" spans="1:26" ht="12" customHeight="1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</row>
    <row r="545" spans="1:26" ht="12" customHeight="1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</row>
    <row r="546" spans="1:26" ht="12" customHeight="1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</row>
    <row r="547" spans="1:26" ht="12" customHeight="1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</row>
    <row r="548" spans="1:26" ht="12" customHeight="1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</row>
    <row r="549" spans="1:26" ht="12" customHeight="1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</row>
    <row r="550" spans="1:26" ht="12" customHeight="1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</row>
    <row r="551" spans="1:26" ht="12" customHeight="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</row>
    <row r="552" spans="1:26" ht="12" customHeight="1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</row>
    <row r="553" spans="1:26" ht="12" customHeight="1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</row>
    <row r="554" spans="1:26" ht="12" customHeight="1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</row>
    <row r="555" spans="1:26" ht="12" customHeight="1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</row>
    <row r="556" spans="1:26" ht="12" customHeight="1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</row>
    <row r="557" spans="1:26" ht="12" customHeight="1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</row>
    <row r="558" spans="1:26" ht="12" customHeight="1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</row>
    <row r="559" spans="1:26" ht="12" customHeight="1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</row>
    <row r="560" spans="1:26" ht="12" customHeight="1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</row>
    <row r="561" spans="1:26" ht="12" customHeight="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</row>
    <row r="562" spans="1:26" ht="12" customHeight="1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</row>
    <row r="563" spans="1:26" ht="12" customHeight="1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</row>
    <row r="564" spans="1:26" ht="12" customHeight="1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</row>
    <row r="565" spans="1:26" ht="12" customHeight="1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</row>
    <row r="566" spans="1:26" ht="12" customHeight="1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</row>
    <row r="567" spans="1:26" ht="12" customHeight="1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</row>
    <row r="568" spans="1:26" ht="12" customHeight="1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</row>
    <row r="569" spans="1:26" ht="12" customHeight="1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</row>
    <row r="570" spans="1:26" ht="12" customHeight="1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</row>
    <row r="571" spans="1:26" ht="12" customHeight="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</row>
    <row r="572" spans="1:26" ht="12" customHeight="1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</row>
    <row r="573" spans="1:26" ht="12" customHeight="1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</row>
    <row r="574" spans="1:26" ht="12" customHeight="1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</row>
    <row r="575" spans="1:26" ht="12" customHeight="1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</row>
    <row r="576" spans="1:26" ht="12" customHeight="1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</row>
    <row r="577" spans="1:26" ht="12" customHeight="1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</row>
    <row r="578" spans="1:26" ht="12" customHeight="1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</row>
    <row r="579" spans="1:26" ht="12" customHeight="1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</row>
    <row r="580" spans="1:26" ht="12" customHeight="1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</row>
    <row r="581" spans="1:26" ht="12" customHeight="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</row>
    <row r="582" spans="1:26" ht="12" customHeight="1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</row>
    <row r="583" spans="1:26" ht="12" customHeight="1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</row>
    <row r="584" spans="1:26" ht="12" customHeight="1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</row>
    <row r="585" spans="1:26" ht="12" customHeight="1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</row>
    <row r="586" spans="1:26" ht="12" customHeight="1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</row>
    <row r="587" spans="1:26" ht="12" customHeight="1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</row>
    <row r="588" spans="1:26" ht="12" customHeight="1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</row>
    <row r="589" spans="1:26" ht="12" customHeight="1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</row>
    <row r="590" spans="1:26" ht="12" customHeight="1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</row>
    <row r="591" spans="1:26" ht="12" customHeight="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</row>
    <row r="592" spans="1:26" ht="12" customHeight="1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</row>
    <row r="593" spans="1:26" ht="12" customHeight="1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</row>
    <row r="594" spans="1:26" ht="12" customHeight="1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</row>
    <row r="595" spans="1:26" ht="12" customHeight="1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</row>
    <row r="596" spans="1:26" ht="12" customHeight="1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</row>
    <row r="597" spans="1:26" ht="12" customHeight="1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</row>
    <row r="598" spans="1:26" ht="12" customHeight="1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</row>
    <row r="599" spans="1:26" ht="12" customHeight="1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</row>
    <row r="600" spans="1:26" ht="12" customHeight="1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</row>
    <row r="601" spans="1:26" ht="12" customHeight="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</row>
    <row r="602" spans="1:26" ht="12" customHeight="1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</row>
    <row r="603" spans="1:26" ht="12" customHeight="1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</row>
    <row r="604" spans="1:26" ht="12" customHeight="1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</row>
    <row r="605" spans="1:26" ht="12" customHeight="1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</row>
    <row r="606" spans="1:26" ht="12" customHeight="1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</row>
    <row r="607" spans="1:26" ht="12" customHeight="1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</row>
    <row r="608" spans="1:26" ht="12" customHeight="1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</row>
    <row r="609" spans="1:26" ht="12" customHeight="1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</row>
    <row r="610" spans="1:26" ht="12" customHeight="1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</row>
    <row r="611" spans="1:26" ht="12" customHeight="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</row>
    <row r="612" spans="1:26" ht="12" customHeight="1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</row>
    <row r="613" spans="1:26" ht="12" customHeight="1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</row>
    <row r="614" spans="1:26" ht="12" customHeight="1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</row>
    <row r="615" spans="1:26" ht="12" customHeight="1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</row>
    <row r="616" spans="1:26" ht="12" customHeight="1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</row>
    <row r="617" spans="1:26" ht="12" customHeight="1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</row>
    <row r="618" spans="1:26" ht="12" customHeight="1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</row>
    <row r="619" spans="1:26" ht="12" customHeight="1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</row>
    <row r="620" spans="1:26" ht="12" customHeight="1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</row>
    <row r="621" spans="1:26" ht="12" customHeight="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</row>
    <row r="622" spans="1:26" ht="12" customHeight="1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</row>
    <row r="623" spans="1:26" ht="12" customHeight="1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</row>
    <row r="624" spans="1:26" ht="12" customHeight="1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</row>
    <row r="625" spans="1:26" ht="12" customHeight="1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</row>
    <row r="626" spans="1:26" ht="12" customHeight="1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</row>
    <row r="627" spans="1:26" ht="12" customHeight="1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</row>
    <row r="628" spans="1:26" ht="12" customHeight="1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</row>
    <row r="629" spans="1:26" ht="12" customHeight="1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</row>
    <row r="630" spans="1:26" ht="12" customHeight="1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</row>
    <row r="631" spans="1:26" ht="12" customHeight="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</row>
    <row r="632" spans="1:26" ht="12" customHeight="1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</row>
    <row r="633" spans="1:26" ht="12" customHeight="1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</row>
    <row r="634" spans="1:26" ht="12" customHeight="1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</row>
    <row r="635" spans="1:26" ht="12" customHeight="1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</row>
    <row r="636" spans="1:26" ht="12" customHeight="1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</row>
    <row r="637" spans="1:26" ht="12" customHeight="1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</row>
    <row r="638" spans="1:26" ht="12" customHeight="1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</row>
    <row r="639" spans="1:26" ht="12" customHeight="1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</row>
    <row r="640" spans="1:26" ht="12" customHeight="1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</row>
    <row r="641" spans="1:26" ht="12" customHeight="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</row>
    <row r="642" spans="1:26" ht="12" customHeight="1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</row>
    <row r="643" spans="1:26" ht="12" customHeight="1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</row>
    <row r="644" spans="1:26" ht="12" customHeight="1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</row>
    <row r="645" spans="1:26" ht="12" customHeight="1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</row>
    <row r="646" spans="1:26" ht="12" customHeight="1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</row>
    <row r="647" spans="1:26" ht="12" customHeight="1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</row>
    <row r="648" spans="1:26" ht="12" customHeight="1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</row>
    <row r="649" spans="1:26" ht="12" customHeight="1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</row>
    <row r="650" spans="1:26" ht="12" customHeight="1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</row>
    <row r="651" spans="1:26" ht="12" customHeight="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</row>
    <row r="652" spans="1:26" ht="12" customHeight="1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</row>
    <row r="653" spans="1:26" ht="12" customHeight="1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</row>
    <row r="654" spans="1:26" ht="12" customHeight="1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</row>
    <row r="655" spans="1:26" ht="12" customHeight="1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</row>
    <row r="656" spans="1:26" ht="12" customHeight="1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</row>
    <row r="657" spans="1:26" ht="12" customHeight="1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</row>
    <row r="658" spans="1:26" ht="12" customHeight="1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</row>
    <row r="659" spans="1:26" ht="12" customHeight="1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</row>
    <row r="660" spans="1:26" ht="12" customHeight="1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</row>
    <row r="661" spans="1:26" ht="12" customHeight="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</row>
    <row r="662" spans="1:26" ht="12" customHeight="1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</row>
    <row r="663" spans="1:26" ht="12" customHeight="1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</row>
    <row r="664" spans="1:26" ht="12" customHeight="1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</row>
    <row r="665" spans="1:26" ht="12" customHeight="1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</row>
    <row r="666" spans="1:26" ht="12" customHeight="1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</row>
    <row r="667" spans="1:26" ht="12" customHeight="1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</row>
    <row r="668" spans="1:26" ht="12" customHeight="1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</row>
    <row r="669" spans="1:26" ht="12" customHeight="1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</row>
    <row r="670" spans="1:26" ht="12" customHeight="1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</row>
    <row r="671" spans="1:26" ht="12" customHeight="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</row>
    <row r="672" spans="1:26" ht="12" customHeight="1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</row>
    <row r="673" spans="1:26" ht="12" customHeight="1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</row>
    <row r="674" spans="1:26" ht="12" customHeight="1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</row>
    <row r="675" spans="1:26" ht="12" customHeight="1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</row>
    <row r="676" spans="1:26" ht="12" customHeight="1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</row>
    <row r="677" spans="1:26" ht="12" customHeight="1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</row>
    <row r="678" spans="1:26" ht="12" customHeight="1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</row>
    <row r="679" spans="1:26" ht="12" customHeight="1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</row>
    <row r="680" spans="1:26" ht="12" customHeight="1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</row>
    <row r="681" spans="1:26" ht="12" customHeight="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</row>
    <row r="682" spans="1:26" ht="12" customHeight="1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</row>
    <row r="683" spans="1:26" ht="12" customHeight="1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</row>
    <row r="684" spans="1:26" ht="12" customHeight="1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</row>
    <row r="685" spans="1:26" ht="12" customHeight="1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</row>
    <row r="686" spans="1:26" ht="12" customHeight="1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</row>
    <row r="687" spans="1:26" ht="12" customHeight="1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</row>
    <row r="688" spans="1:26" ht="12" customHeight="1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</row>
    <row r="689" spans="1:26" ht="12" customHeight="1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</row>
    <row r="690" spans="1:26" ht="12" customHeight="1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</row>
    <row r="691" spans="1:26" ht="12" customHeight="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</row>
    <row r="692" spans="1:26" ht="12" customHeight="1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</row>
    <row r="693" spans="1:26" ht="12" customHeight="1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</row>
    <row r="694" spans="1:26" ht="12" customHeight="1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</row>
    <row r="695" spans="1:26" ht="12" customHeight="1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</row>
    <row r="696" spans="1:26" ht="12" customHeight="1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</row>
    <row r="697" spans="1:26" ht="12" customHeight="1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</row>
    <row r="698" spans="1:26" ht="12" customHeight="1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</row>
    <row r="699" spans="1:26" ht="12" customHeight="1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</row>
    <row r="700" spans="1:26" ht="12" customHeight="1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</row>
    <row r="701" spans="1:26" ht="12" customHeight="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</row>
    <row r="702" spans="1:26" ht="12" customHeight="1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</row>
    <row r="703" spans="1:26" ht="12" customHeight="1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</row>
    <row r="704" spans="1:26" ht="12" customHeight="1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</row>
    <row r="705" spans="1:26" ht="12" customHeight="1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</row>
    <row r="706" spans="1:26" ht="12" customHeight="1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</row>
    <row r="707" spans="1:26" ht="12" customHeight="1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</row>
    <row r="708" spans="1:26" ht="12" customHeight="1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</row>
    <row r="709" spans="1:26" ht="12" customHeight="1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</row>
    <row r="710" spans="1:26" ht="12" customHeight="1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</row>
    <row r="711" spans="1:26" ht="12" customHeight="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</row>
    <row r="712" spans="1:26" ht="12" customHeight="1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</row>
    <row r="713" spans="1:26" ht="12" customHeight="1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</row>
    <row r="714" spans="1:26" ht="12" customHeight="1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</row>
    <row r="715" spans="1:26" ht="12" customHeight="1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</row>
    <row r="716" spans="1:26" ht="12" customHeight="1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</row>
    <row r="717" spans="1:26" ht="12" customHeight="1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</row>
    <row r="718" spans="1:26" ht="12" customHeight="1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</row>
    <row r="719" spans="1:26" ht="12" customHeight="1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</row>
    <row r="720" spans="1:26" ht="12" customHeight="1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</row>
    <row r="721" spans="1:26" ht="12" customHeight="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</row>
    <row r="722" spans="1:26" ht="12" customHeight="1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</row>
    <row r="723" spans="1:26" ht="12" customHeight="1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</row>
    <row r="724" spans="1:26" ht="12" customHeight="1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</row>
    <row r="725" spans="1:26" ht="12" customHeight="1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</row>
    <row r="726" spans="1:26" ht="12" customHeight="1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</row>
    <row r="727" spans="1:26" ht="12" customHeight="1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</row>
    <row r="728" spans="1:26" ht="12" customHeight="1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</row>
    <row r="729" spans="1:26" ht="12" customHeight="1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</row>
    <row r="730" spans="1:26" ht="12" customHeight="1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</row>
    <row r="731" spans="1:26" ht="12" customHeight="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</row>
    <row r="732" spans="1:26" ht="12" customHeight="1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</row>
    <row r="733" spans="1:26" ht="12" customHeight="1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</row>
    <row r="734" spans="1:26" ht="12" customHeight="1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</row>
    <row r="735" spans="1:26" ht="12" customHeight="1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</row>
    <row r="736" spans="1:26" ht="12" customHeight="1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</row>
    <row r="737" spans="1:26" ht="12" customHeight="1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</row>
    <row r="738" spans="1:26" ht="12" customHeight="1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</row>
    <row r="739" spans="1:26" ht="12" customHeight="1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</row>
    <row r="740" spans="1:26" ht="12" customHeight="1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</row>
    <row r="741" spans="1:26" ht="12" customHeight="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</row>
    <row r="742" spans="1:26" ht="12" customHeight="1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</row>
    <row r="743" spans="1:26" ht="12" customHeight="1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</row>
    <row r="744" spans="1:26" ht="12" customHeight="1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</row>
    <row r="745" spans="1:26" ht="12" customHeight="1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</row>
    <row r="746" spans="1:26" ht="12" customHeight="1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</row>
    <row r="747" spans="1:26" ht="12" customHeight="1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</row>
    <row r="748" spans="1:26" ht="12" customHeight="1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</row>
    <row r="749" spans="1:26" ht="12" customHeight="1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</row>
    <row r="750" spans="1:26" ht="12" customHeight="1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</row>
    <row r="751" spans="1:26" ht="12" customHeight="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</row>
    <row r="752" spans="1:26" ht="12" customHeight="1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</row>
    <row r="753" spans="1:26" ht="12" customHeight="1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</row>
    <row r="754" spans="1:26" ht="12" customHeight="1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</row>
    <row r="755" spans="1:26" ht="12" customHeight="1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</row>
    <row r="756" spans="1:26" ht="12" customHeight="1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</row>
    <row r="757" spans="1:26" ht="12" customHeight="1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</row>
    <row r="758" spans="1:26" ht="12" customHeight="1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</row>
    <row r="759" spans="1:26" ht="12" customHeight="1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</row>
    <row r="760" spans="1:26" ht="12" customHeight="1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</row>
    <row r="761" spans="1:26" ht="12" customHeight="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</row>
    <row r="762" spans="1:26" ht="12" customHeight="1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</row>
    <row r="763" spans="1:26" ht="12" customHeight="1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</row>
    <row r="764" spans="1:26" ht="12" customHeight="1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</row>
    <row r="765" spans="1:26" ht="12" customHeight="1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</row>
    <row r="766" spans="1:26" ht="12" customHeight="1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</row>
    <row r="767" spans="1:26" ht="12" customHeight="1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</row>
    <row r="768" spans="1:26" ht="12" customHeight="1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</row>
    <row r="769" spans="1:26" ht="12" customHeight="1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</row>
    <row r="770" spans="1:26" ht="12" customHeight="1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</row>
    <row r="771" spans="1:26" ht="12" customHeight="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</row>
    <row r="772" spans="1:26" ht="12" customHeight="1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</row>
    <row r="773" spans="1:26" ht="12" customHeight="1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</row>
    <row r="774" spans="1:26" ht="12" customHeight="1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</row>
    <row r="775" spans="1:26" ht="12" customHeight="1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</row>
    <row r="776" spans="1:26" ht="12" customHeight="1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</row>
    <row r="777" spans="1:26" ht="12" customHeight="1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</row>
    <row r="778" spans="1:26" ht="12" customHeight="1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</row>
    <row r="779" spans="1:26" ht="12" customHeight="1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</row>
    <row r="780" spans="1:26" ht="12" customHeight="1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</row>
    <row r="781" spans="1:26" ht="12" customHeight="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</row>
    <row r="782" spans="1:26" ht="12" customHeight="1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</row>
    <row r="783" spans="1:26" ht="12" customHeight="1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</row>
    <row r="784" spans="1:26" ht="12" customHeight="1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</row>
    <row r="785" spans="1:26" ht="12" customHeight="1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</row>
    <row r="786" spans="1:26" ht="12" customHeight="1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</row>
    <row r="787" spans="1:26" ht="12" customHeight="1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</row>
    <row r="788" spans="1:26" ht="12" customHeight="1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</row>
    <row r="789" spans="1:26" ht="12" customHeight="1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</row>
    <row r="790" spans="1:26" ht="12" customHeight="1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</row>
    <row r="791" spans="1:26" ht="12" customHeight="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</row>
    <row r="792" spans="1:26" ht="12" customHeight="1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</row>
    <row r="793" spans="1:26" ht="12" customHeight="1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</row>
    <row r="794" spans="1:26" ht="12" customHeight="1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</row>
    <row r="795" spans="1:26" ht="12" customHeight="1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</row>
    <row r="796" spans="1:26" ht="12" customHeight="1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</row>
    <row r="797" spans="1:26" ht="12" customHeight="1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</row>
    <row r="798" spans="1:26" ht="12" customHeight="1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</row>
    <row r="799" spans="1:26" ht="12" customHeight="1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</row>
    <row r="800" spans="1:26" ht="12" customHeight="1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</row>
    <row r="801" spans="1:26" ht="12" customHeight="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</row>
    <row r="802" spans="1:26" ht="12" customHeight="1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</row>
    <row r="803" spans="1:26" ht="12" customHeight="1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</row>
    <row r="804" spans="1:26" ht="12" customHeight="1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</row>
    <row r="805" spans="1:26" ht="12" customHeight="1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</row>
    <row r="806" spans="1:26" ht="12" customHeight="1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</row>
    <row r="807" spans="1:26" ht="12" customHeight="1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</row>
    <row r="808" spans="1:26" ht="12" customHeight="1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</row>
    <row r="809" spans="1:26" ht="12" customHeight="1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</row>
    <row r="810" spans="1:26" ht="12" customHeight="1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</row>
    <row r="811" spans="1:26" ht="12" customHeight="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</row>
    <row r="812" spans="1:26" ht="12" customHeight="1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</row>
    <row r="813" spans="1:26" ht="12" customHeight="1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</row>
    <row r="814" spans="1:26" ht="12" customHeight="1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</row>
    <row r="815" spans="1:26" ht="12" customHeight="1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</row>
    <row r="816" spans="1:26" ht="12" customHeight="1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</row>
    <row r="817" spans="1:26" ht="12" customHeight="1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</row>
    <row r="818" spans="1:26" ht="12" customHeight="1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</row>
    <row r="819" spans="1:26" ht="12" customHeight="1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</row>
    <row r="820" spans="1:26" ht="12" customHeight="1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</row>
    <row r="821" spans="1:26" ht="12" customHeight="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</row>
    <row r="822" spans="1:26" ht="12" customHeight="1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</row>
    <row r="823" spans="1:26" ht="12" customHeight="1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</row>
    <row r="824" spans="1:26" ht="12" customHeight="1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</row>
    <row r="825" spans="1:26" ht="12" customHeight="1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</row>
    <row r="826" spans="1:26" ht="12" customHeight="1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</row>
    <row r="827" spans="1:26" ht="12" customHeight="1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</row>
    <row r="828" spans="1:26" ht="12" customHeight="1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</row>
    <row r="829" spans="1:26" ht="12" customHeight="1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</row>
    <row r="830" spans="1:26" ht="12" customHeight="1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</row>
    <row r="831" spans="1:26" ht="12" customHeight="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</row>
    <row r="832" spans="1:26" ht="12" customHeight="1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</row>
    <row r="833" spans="1:26" ht="12" customHeight="1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</row>
    <row r="834" spans="1:26" ht="12" customHeight="1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</row>
    <row r="835" spans="1:26" ht="12" customHeight="1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</row>
    <row r="836" spans="1:26" ht="12" customHeight="1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</row>
    <row r="837" spans="1:26" ht="12" customHeight="1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</row>
    <row r="838" spans="1:26" ht="12" customHeight="1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</row>
    <row r="839" spans="1:26" ht="12" customHeight="1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</row>
    <row r="840" spans="1:26" ht="12" customHeight="1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</row>
    <row r="841" spans="1:26" ht="12" customHeight="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</row>
    <row r="842" spans="1:26" ht="12" customHeight="1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</row>
    <row r="843" spans="1:26" ht="12" customHeight="1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</row>
    <row r="844" spans="1:26" ht="12" customHeight="1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</row>
    <row r="845" spans="1:26" ht="12" customHeight="1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</row>
    <row r="846" spans="1:26" ht="12" customHeight="1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</row>
    <row r="847" spans="1:26" ht="12" customHeight="1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</row>
    <row r="848" spans="1:26" ht="12" customHeight="1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</row>
    <row r="849" spans="1:26" ht="12" customHeight="1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</row>
    <row r="850" spans="1:26" ht="12" customHeight="1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</row>
    <row r="851" spans="1:26" ht="12" customHeight="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</row>
    <row r="852" spans="1:26" ht="12" customHeight="1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</row>
    <row r="853" spans="1:26" ht="12" customHeight="1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</row>
    <row r="854" spans="1:26" ht="12" customHeight="1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</row>
    <row r="855" spans="1:26" ht="12" customHeight="1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</row>
    <row r="856" spans="1:26" ht="12" customHeight="1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</row>
    <row r="857" spans="1:26" ht="12" customHeight="1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</row>
    <row r="858" spans="1:26" ht="12" customHeight="1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</row>
    <row r="859" spans="1:26" ht="12" customHeight="1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</row>
    <row r="860" spans="1:26" ht="12" customHeight="1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</row>
    <row r="861" spans="1:26" ht="12" customHeight="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</row>
    <row r="862" spans="1:26" ht="12" customHeight="1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</row>
    <row r="863" spans="1:26" ht="12" customHeight="1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</row>
    <row r="864" spans="1:26" ht="12" customHeight="1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</row>
    <row r="865" spans="1:26" ht="12" customHeight="1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</row>
    <row r="866" spans="1:26" ht="12" customHeight="1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</row>
    <row r="867" spans="1:26" ht="12" customHeight="1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</row>
    <row r="868" spans="1:26" ht="12" customHeight="1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</row>
    <row r="869" spans="1:26" ht="12" customHeight="1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</row>
    <row r="870" spans="1:26" ht="12" customHeight="1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</row>
    <row r="871" spans="1:26" ht="12" customHeight="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</row>
    <row r="872" spans="1:26" ht="12" customHeight="1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</row>
    <row r="873" spans="1:26" ht="12" customHeight="1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</row>
    <row r="874" spans="1:26" ht="12" customHeight="1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</row>
    <row r="875" spans="1:26" ht="12" customHeight="1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</row>
    <row r="876" spans="1:26" ht="12" customHeight="1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</row>
    <row r="877" spans="1:26" ht="12" customHeight="1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</row>
    <row r="878" spans="1:26" ht="12" customHeight="1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</row>
    <row r="879" spans="1:26" ht="12" customHeight="1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</row>
    <row r="880" spans="1:26" ht="12" customHeight="1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</row>
    <row r="881" spans="1:26" ht="12" customHeight="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</row>
    <row r="882" spans="1:26" ht="12" customHeight="1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</row>
    <row r="883" spans="1:26" ht="12" customHeight="1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</row>
    <row r="884" spans="1:26" ht="12" customHeight="1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</row>
    <row r="885" spans="1:26" ht="12" customHeight="1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</row>
    <row r="886" spans="1:26" ht="12" customHeight="1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</row>
    <row r="887" spans="1:26" ht="12" customHeight="1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</row>
    <row r="888" spans="1:26" ht="12" customHeight="1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</row>
    <row r="889" spans="1:26" ht="12" customHeight="1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</row>
    <row r="890" spans="1:26" ht="12" customHeight="1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</row>
    <row r="891" spans="1:26" ht="12" customHeight="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</row>
    <row r="892" spans="1:26" ht="12" customHeight="1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</row>
    <row r="893" spans="1:26" ht="12" customHeight="1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</row>
    <row r="894" spans="1:26" ht="12" customHeight="1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</row>
    <row r="895" spans="1:26" ht="12" customHeight="1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</row>
    <row r="896" spans="1:26" ht="12" customHeight="1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</row>
    <row r="897" spans="1:26" ht="12" customHeight="1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</row>
    <row r="898" spans="1:26" ht="12" customHeight="1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</row>
    <row r="899" spans="1:26" ht="12" customHeight="1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</row>
    <row r="900" spans="1:26" ht="12" customHeight="1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</row>
    <row r="901" spans="1:26" ht="12" customHeight="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</row>
    <row r="902" spans="1:26" ht="12" customHeight="1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</row>
    <row r="903" spans="1:26" ht="12" customHeight="1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</row>
    <row r="904" spans="1:26" ht="12" customHeight="1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</row>
    <row r="905" spans="1:26" ht="12" customHeight="1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</row>
    <row r="906" spans="1:26" ht="12" customHeight="1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</row>
    <row r="907" spans="1:26" ht="12" customHeight="1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</row>
    <row r="908" spans="1:26" ht="12" customHeight="1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</row>
    <row r="909" spans="1:26" ht="12" customHeight="1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</row>
    <row r="910" spans="1:26" ht="12" customHeight="1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</row>
    <row r="911" spans="1:26" ht="12" customHeight="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</row>
    <row r="912" spans="1:26" ht="12" customHeight="1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</row>
    <row r="913" spans="1:26" ht="12" customHeight="1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</row>
    <row r="914" spans="1:26" ht="12" customHeight="1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</row>
    <row r="915" spans="1:26" ht="12" customHeight="1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</row>
    <row r="916" spans="1:26" ht="12" customHeight="1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</row>
    <row r="917" spans="1:26" ht="12" customHeight="1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</row>
    <row r="918" spans="1:26" ht="12" customHeight="1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</row>
    <row r="919" spans="1:26" ht="12" customHeight="1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</row>
    <row r="920" spans="1:26" ht="12" customHeight="1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</row>
    <row r="921" spans="1:26" ht="12" customHeight="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</row>
    <row r="922" spans="1:26" ht="12" customHeight="1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</row>
    <row r="923" spans="1:26" ht="12" customHeight="1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</row>
    <row r="924" spans="1:26" ht="12" customHeight="1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</row>
    <row r="925" spans="1:26" ht="12" customHeight="1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</row>
    <row r="926" spans="1:26" ht="12" customHeight="1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</row>
    <row r="927" spans="1:26" ht="12" customHeight="1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</row>
    <row r="928" spans="1:26" ht="12" customHeight="1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</row>
    <row r="929" spans="1:26" ht="12" customHeight="1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</row>
    <row r="930" spans="1:26" ht="12" customHeight="1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</row>
    <row r="931" spans="1:26" ht="12" customHeight="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</row>
    <row r="932" spans="1:26" ht="12" customHeight="1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</row>
    <row r="933" spans="1:26" ht="12" customHeight="1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</row>
    <row r="934" spans="1:26" ht="12" customHeight="1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</row>
    <row r="935" spans="1:26" ht="12" customHeight="1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</row>
    <row r="936" spans="1:26" ht="12" customHeight="1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</row>
    <row r="937" spans="1:26" ht="12" customHeight="1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</row>
    <row r="938" spans="1:26" ht="12" customHeight="1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</row>
    <row r="939" spans="1:26" ht="12" customHeight="1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</row>
    <row r="940" spans="1:26" ht="12" customHeight="1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</row>
    <row r="941" spans="1:26" ht="12" customHeight="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</row>
    <row r="942" spans="1:26" ht="12" customHeight="1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</row>
    <row r="943" spans="1:26" ht="12" customHeight="1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</row>
    <row r="944" spans="1:26" ht="12" customHeight="1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</row>
    <row r="945" spans="1:26" ht="12" customHeight="1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</row>
    <row r="946" spans="1:26" ht="12" customHeight="1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</row>
    <row r="947" spans="1:26" ht="12" customHeight="1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</row>
  </sheetData>
  <mergeCells count="1">
    <mergeCell ref="A1:F1"/>
  </mergeCells>
  <conditionalFormatting sqref="B3:B69">
    <cfRule type="duplicateValues" dxfId="0" priority="9"/>
  </conditionalFormatting>
  <pageMargins left="0.511811024" right="0.511811024" top="0.78740157499999996" bottom="0.78740157499999996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C4" sqref="C4"/>
    </sheetView>
  </sheetViews>
  <sheetFormatPr defaultColWidth="12.5703125" defaultRowHeight="15" customHeight="1"/>
  <cols>
    <col min="1" max="1" width="18.28515625" customWidth="1"/>
    <col min="2" max="2" width="19.85546875" customWidth="1"/>
    <col min="3" max="3" width="11.85546875" customWidth="1"/>
    <col min="4" max="4" width="29.28515625" customWidth="1"/>
    <col min="5" max="5" width="25" customWidth="1"/>
    <col min="6" max="6" width="7" customWidth="1"/>
    <col min="7" max="7" width="3.7109375" customWidth="1"/>
    <col min="8" max="8" width="40" customWidth="1"/>
    <col min="9" max="9" width="22.85546875" customWidth="1"/>
    <col min="10" max="26" width="9.140625" customWidth="1"/>
  </cols>
  <sheetData>
    <row r="1" spans="1:26" ht="31.5" customHeight="1">
      <c r="A1" s="140" t="s">
        <v>747</v>
      </c>
      <c r="B1" s="125"/>
      <c r="C1" s="125"/>
      <c r="D1" s="125"/>
      <c r="E1" s="125"/>
      <c r="F1" s="125"/>
      <c r="G1" s="125"/>
      <c r="H1" s="141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31.5" customHeight="1">
      <c r="A2" s="119" t="s">
        <v>721</v>
      </c>
      <c r="B2" s="119" t="s">
        <v>722</v>
      </c>
      <c r="C2" s="119" t="s">
        <v>723</v>
      </c>
      <c r="D2" s="119" t="s">
        <v>724</v>
      </c>
      <c r="E2" s="119" t="s">
        <v>725</v>
      </c>
      <c r="F2" s="119" t="s">
        <v>726</v>
      </c>
      <c r="G2" s="119" t="s">
        <v>727</v>
      </c>
      <c r="H2" s="119" t="s">
        <v>728</v>
      </c>
      <c r="I2" s="120" t="s">
        <v>729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36">
      <c r="A3" s="115">
        <v>44637</v>
      </c>
      <c r="B3" s="106" t="s">
        <v>730</v>
      </c>
      <c r="C3" s="106" t="s">
        <v>731</v>
      </c>
      <c r="D3" s="106" t="s">
        <v>232</v>
      </c>
      <c r="E3" s="106" t="s">
        <v>732</v>
      </c>
      <c r="F3" s="106" t="s">
        <v>733</v>
      </c>
      <c r="G3" s="106" t="s">
        <v>734</v>
      </c>
      <c r="H3" s="106" t="s">
        <v>735</v>
      </c>
      <c r="I3" s="106" t="s">
        <v>26</v>
      </c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60">
      <c r="A4" s="115">
        <v>44637</v>
      </c>
      <c r="B4" s="106" t="s">
        <v>736</v>
      </c>
      <c r="C4" s="106" t="s">
        <v>731</v>
      </c>
      <c r="D4" s="106" t="s">
        <v>232</v>
      </c>
      <c r="E4" s="106" t="s">
        <v>732</v>
      </c>
      <c r="F4" s="106" t="s">
        <v>733</v>
      </c>
      <c r="G4" s="106" t="s">
        <v>734</v>
      </c>
      <c r="H4" s="106" t="s">
        <v>737</v>
      </c>
      <c r="I4" s="106" t="s">
        <v>26</v>
      </c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ht="60">
      <c r="A5" s="121">
        <v>44651</v>
      </c>
      <c r="B5" s="106" t="s">
        <v>738</v>
      </c>
      <c r="C5" s="122" t="s">
        <v>731</v>
      </c>
      <c r="D5" s="122" t="s">
        <v>232</v>
      </c>
      <c r="E5" s="122" t="s">
        <v>732</v>
      </c>
      <c r="F5" s="122" t="s">
        <v>733</v>
      </c>
      <c r="G5" s="122" t="s">
        <v>734</v>
      </c>
      <c r="H5" s="122" t="s">
        <v>739</v>
      </c>
      <c r="I5" s="106" t="s">
        <v>740</v>
      </c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ht="31.5" customHeight="1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ht="31.5" customHeight="1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ht="31.5" customHeight="1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31.5" customHeight="1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31.5" customHeight="1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31.5" customHeight="1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31.5" customHeight="1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31.5" customHeight="1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31.5" customHeight="1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31.5" customHeight="1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31.5" customHeight="1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ht="31.5" customHeight="1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31.5" customHeight="1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31.5" customHeight="1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31.5" customHeight="1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31.5" customHeight="1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31.5" customHeight="1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31.5" customHeight="1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31.5" customHeight="1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31.5" customHeight="1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31.5" customHeight="1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31.5" customHeight="1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31.5" customHeight="1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31.5" customHeight="1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31.5" customHeight="1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  <row r="31" spans="1:26" ht="31.5" customHeight="1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 spans="1:26" ht="31.5" customHeight="1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 spans="1:26" ht="31.5" customHeight="1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 spans="1:26" ht="31.5" customHeight="1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</row>
    <row r="35" spans="1:26" ht="31.5" customHeight="1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 spans="1:26" ht="31.5" customHeight="1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spans="1:26" ht="31.5" customHeight="1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spans="1:26" ht="31.5" customHeight="1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spans="1:26" ht="31.5" customHeight="1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spans="1:26" ht="31.5" customHeight="1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 spans="1:26" ht="31.5" customHeight="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spans="1:26" ht="31.5" customHeight="1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spans="1:26" ht="31.5" customHeight="1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spans="1:26" ht="31.5" customHeight="1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spans="1:26" ht="31.5" customHeight="1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spans="1:26" ht="31.5" customHeight="1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spans="1:26" ht="31.5" customHeight="1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spans="1:26" ht="31.5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spans="1:26" ht="31.5" customHeight="1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spans="1:26" ht="31.5" customHeight="1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spans="1:26" ht="31.5" customHeight="1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spans="1:26" ht="31.5" customHeight="1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spans="1:26" ht="31.5" customHeight="1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spans="1:26" ht="31.5" customHeight="1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spans="1:26" ht="31.5" customHeight="1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spans="1:26" ht="31.5" customHeight="1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spans="1:26" ht="31.5" customHeight="1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spans="1:26" ht="31.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spans="1:26" ht="31.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spans="1:26" ht="31.5" customHeight="1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spans="1:26" ht="31.5" customHeight="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spans="1:26" ht="31.5" customHeight="1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spans="1:26" ht="31.5" customHeight="1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spans="1:26" ht="31.5" customHeight="1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spans="1:26" ht="31.5" customHeight="1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spans="1:26" ht="31.5" customHeight="1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 spans="1:26" ht="31.5" customHeight="1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 spans="1:26" ht="31.5" customHeight="1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 spans="1:26" ht="31.5" customHeight="1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 spans="1:26" ht="31.5" customHeight="1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spans="1:26" ht="31.5" customHeight="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spans="1:26" ht="31.5" customHeight="1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spans="1:26" ht="31.5" customHeight="1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 spans="1:26" ht="31.5" customHeight="1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 spans="1:26" ht="31.5" customHeight="1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</row>
    <row r="76" spans="1:26" ht="31.5" customHeight="1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</row>
    <row r="77" spans="1:26" ht="31.5" customHeight="1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</row>
    <row r="78" spans="1:26" ht="31.5" customHeight="1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</row>
    <row r="79" spans="1:26" ht="31.5" customHeight="1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</row>
    <row r="80" spans="1:26" ht="31.5" customHeight="1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</row>
    <row r="81" spans="1:26" ht="31.5" customHeight="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</row>
    <row r="82" spans="1:26" ht="31.5" customHeight="1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</row>
    <row r="83" spans="1:26" ht="31.5" customHeight="1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</row>
    <row r="84" spans="1:26" ht="31.5" customHeight="1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 spans="1:26" ht="31.5" customHeight="1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 spans="1:26" ht="31.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 spans="1:26" ht="31.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 spans="1:26" ht="31.5" customHeight="1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 spans="1:26" ht="31.5" customHeight="1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 spans="1:26" ht="31.5" customHeight="1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 spans="1:26" ht="31.5" customHeight="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</row>
    <row r="92" spans="1:26" ht="31.5" customHeight="1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</row>
    <row r="93" spans="1:26" ht="31.5" customHeight="1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 spans="1:26" ht="31.5" customHeight="1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 spans="1:26" ht="31.5" customHeight="1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 spans="1:26" ht="31.5" customHeight="1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 spans="1:26" ht="31.5" customHeight="1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 spans="1:26" ht="31.5" customHeight="1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 spans="1:26" ht="31.5" customHeight="1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 spans="1:26" ht="31.5" customHeight="1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 spans="1:26" ht="31.5" customHeight="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 spans="1:26" ht="31.5" customHeight="1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 spans="1:26" ht="31.5" customHeight="1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</row>
    <row r="104" spans="1:26" ht="31.5" customHeight="1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 spans="1:26" ht="31.5" customHeight="1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 spans="1:26" ht="31.5" customHeight="1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 spans="1:26" ht="31.5" customHeight="1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 spans="1:26" ht="31.5" customHeight="1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 spans="1:26" ht="31.5" customHeight="1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</row>
    <row r="110" spans="1:26" ht="31.5" customHeight="1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 spans="1:26" ht="31.5" customHeight="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 spans="1:26" ht="31.5" customHeight="1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 spans="1:26" ht="31.5" customHeight="1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 spans="1:26" ht="31.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 spans="1:26" ht="31.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 spans="1:26" ht="31.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 spans="1:26" ht="31.5" customHeight="1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 spans="1:26" ht="31.5" customHeight="1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 spans="1:26" ht="31.5" customHeight="1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 spans="1:26" ht="31.5" customHeight="1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 spans="1:26" ht="31.5" customHeight="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 spans="1:26" ht="31.5" customHeight="1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 spans="1:26" ht="31.5" customHeight="1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 spans="1:26" ht="31.5" customHeight="1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 spans="1:26" ht="31.5" customHeight="1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 spans="1:26" ht="31.5" customHeight="1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 spans="1:26" ht="31.5" customHeight="1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</row>
    <row r="128" spans="1:26" ht="31.5" customHeight="1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 spans="1:26" ht="31.5" customHeight="1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 spans="1:26" ht="31.5" customHeight="1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 spans="1:26" ht="31.5" customHeight="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 spans="1:26" ht="31.5" customHeight="1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 spans="1:26" ht="31.5" customHeight="1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 spans="1:26" ht="31.5" customHeight="1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 spans="1:26" ht="31.5" customHeight="1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 spans="1:26" ht="31.5" customHeight="1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 spans="1:26" ht="31.5" customHeight="1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 spans="1:26" ht="31.5" customHeight="1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 spans="1:26" ht="31.5" customHeight="1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 spans="1:26" ht="31.5" customHeight="1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 spans="1:26" ht="31.5" customHeight="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 spans="1:26" ht="31.5" customHeight="1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 spans="1:26" ht="31.5" customHeight="1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 spans="1:26" ht="31.5" customHeight="1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 spans="1:26" ht="31.5" customHeight="1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 spans="1:26" ht="31.5" customHeight="1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 spans="1:26" ht="31.5" customHeight="1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</row>
    <row r="148" spans="1:26" ht="31.5" customHeight="1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</row>
    <row r="149" spans="1:26" ht="31.5" customHeight="1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</row>
    <row r="150" spans="1:26" ht="31.5" customHeight="1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</row>
    <row r="151" spans="1:26" ht="31.5" customHeight="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</row>
    <row r="152" spans="1:26" ht="31.5" customHeight="1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</row>
    <row r="153" spans="1:26" ht="31.5" customHeight="1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</row>
    <row r="154" spans="1:26" ht="31.5" customHeight="1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 spans="1:26" ht="31.5" customHeight="1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</row>
    <row r="156" spans="1:26" ht="31.5" customHeight="1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</row>
    <row r="157" spans="1:26" ht="31.5" customHeight="1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</row>
    <row r="158" spans="1:26" ht="31.5" customHeight="1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</row>
    <row r="159" spans="1:26" ht="31.5" customHeight="1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</row>
    <row r="160" spans="1:26" ht="31.5" customHeight="1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</row>
    <row r="161" spans="1:26" ht="31.5" customHeight="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</row>
    <row r="162" spans="1:26" ht="31.5" customHeight="1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</row>
    <row r="163" spans="1:26" ht="31.5" customHeight="1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</row>
    <row r="164" spans="1:26" ht="31.5" customHeight="1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</row>
    <row r="165" spans="1:26" ht="31.5" customHeight="1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</row>
    <row r="166" spans="1:26" ht="31.5" customHeight="1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</row>
    <row r="167" spans="1:26" ht="31.5" customHeight="1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</row>
    <row r="168" spans="1:26" ht="31.5" customHeight="1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</row>
    <row r="169" spans="1:26" ht="31.5" customHeight="1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</row>
    <row r="170" spans="1:26" ht="31.5" customHeight="1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 spans="1:26" ht="31.5" customHeight="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 spans="1:26" ht="31.5" customHeight="1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</row>
    <row r="173" spans="1:26" ht="31.5" customHeight="1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</row>
    <row r="174" spans="1:26" ht="31.5" customHeight="1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</row>
    <row r="175" spans="1:26" ht="31.5" customHeight="1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 spans="1:26" ht="31.5" customHeight="1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</row>
    <row r="177" spans="1:26" ht="31.5" customHeight="1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</row>
    <row r="178" spans="1:26" ht="31.5" customHeight="1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</row>
    <row r="179" spans="1:26" ht="31.5" customHeight="1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</row>
    <row r="180" spans="1:26" ht="31.5" customHeight="1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</row>
    <row r="181" spans="1:26" ht="31.5" customHeigh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</row>
    <row r="182" spans="1:26" ht="31.5" customHeight="1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</row>
    <row r="183" spans="1:26" ht="31.5" customHeight="1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</row>
    <row r="184" spans="1:26" ht="31.5" customHeight="1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</row>
    <row r="185" spans="1:26" ht="31.5" customHeight="1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</row>
    <row r="186" spans="1:26" ht="31.5" customHeight="1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</row>
    <row r="187" spans="1:26" ht="31.5" customHeight="1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</row>
    <row r="188" spans="1:26" ht="31.5" customHeight="1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</row>
    <row r="189" spans="1:26" ht="31.5" customHeight="1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</row>
    <row r="190" spans="1:26" ht="31.5" customHeight="1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</row>
    <row r="191" spans="1:26" ht="31.5" customHeight="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</row>
    <row r="192" spans="1:26" ht="31.5" customHeight="1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</row>
    <row r="193" spans="1:26" ht="31.5" customHeight="1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</row>
    <row r="194" spans="1:26" ht="31.5" customHeight="1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</row>
    <row r="195" spans="1:26" ht="31.5" customHeight="1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</row>
    <row r="196" spans="1:26" ht="31.5" customHeight="1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</row>
    <row r="197" spans="1:26" ht="31.5" customHeight="1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</row>
    <row r="198" spans="1:26" ht="31.5" customHeigh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</row>
    <row r="199" spans="1:26" ht="31.5" customHeight="1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</row>
    <row r="200" spans="1:26" ht="31.5" customHeight="1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</row>
    <row r="201" spans="1:26" ht="31.5" customHeight="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</row>
    <row r="202" spans="1:26" ht="31.5" customHeight="1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</row>
    <row r="203" spans="1:26" ht="31.5" customHeight="1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</row>
    <row r="204" spans="1:26" ht="31.5" customHeight="1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</row>
    <row r="205" spans="1:26" ht="31.5" customHeight="1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</row>
    <row r="206" spans="1:26" ht="31.5" customHeight="1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</row>
    <row r="207" spans="1:26" ht="31.5" customHeight="1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</row>
    <row r="208" spans="1:26" ht="31.5" customHeight="1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</row>
    <row r="209" spans="1:26" ht="31.5" customHeight="1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</row>
    <row r="210" spans="1:26" ht="31.5" customHeight="1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</row>
    <row r="211" spans="1:26" ht="31.5" customHeight="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</row>
    <row r="212" spans="1:26" ht="31.5" customHeight="1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</row>
    <row r="213" spans="1:26" ht="31.5" customHeight="1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</row>
    <row r="214" spans="1:26" ht="31.5" customHeight="1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</row>
    <row r="215" spans="1:26" ht="31.5" customHeigh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 spans="1:26" ht="31.5" customHeigh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 spans="1:26" ht="31.5" customHeigh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 spans="1:26" ht="31.5" customHeigh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</row>
    <row r="219" spans="1:26" ht="31.5" customHeigh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</row>
    <row r="220" spans="1:26" ht="31.5" customHeigh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</row>
    <row r="221" spans="1:26" ht="31.5" customHeigh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 spans="1:26" ht="31.5" customHeight="1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</row>
    <row r="223" spans="1:26" ht="31.5" customHeight="1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</row>
    <row r="224" spans="1:26" ht="31.5" customHeight="1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</row>
    <row r="225" spans="1:26" ht="31.5" customHeight="1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</row>
    <row r="226" spans="1:26" ht="31.5" customHeight="1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</row>
    <row r="227" spans="1:26" ht="31.5" customHeight="1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</row>
    <row r="228" spans="1:26" ht="31.5" customHeight="1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</row>
    <row r="229" spans="1:26" ht="31.5" customHeight="1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</row>
    <row r="230" spans="1:26" ht="31.5" customHeight="1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</row>
    <row r="231" spans="1:26" ht="31.5" customHeight="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</row>
    <row r="232" spans="1:26" ht="31.5" customHeight="1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</row>
    <row r="233" spans="1:26" ht="31.5" customHeight="1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</row>
    <row r="234" spans="1:26" ht="31.5" customHeight="1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</row>
    <row r="235" spans="1:26" ht="31.5" customHeight="1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</row>
    <row r="236" spans="1:26" ht="31.5" customHeight="1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</row>
    <row r="237" spans="1:26" ht="31.5" customHeight="1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</row>
    <row r="238" spans="1:26" ht="31.5" customHeight="1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</row>
    <row r="239" spans="1:26" ht="31.5" customHeight="1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</row>
    <row r="240" spans="1:26" ht="31.5" customHeight="1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</row>
    <row r="241" spans="1:26" ht="31.5" customHeight="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</row>
    <row r="242" spans="1:26" ht="31.5" customHeigh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</row>
    <row r="243" spans="1:26" ht="31.5" customHeigh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</row>
    <row r="244" spans="1:26" ht="31.5" customHeight="1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</row>
    <row r="245" spans="1:26" ht="31.5" customHeight="1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</row>
    <row r="246" spans="1:26" ht="31.5" customHeight="1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</row>
    <row r="247" spans="1:26" ht="31.5" customHeight="1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</row>
    <row r="248" spans="1:26" ht="31.5" customHeight="1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</row>
    <row r="249" spans="1:26" ht="31.5" customHeight="1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</row>
    <row r="250" spans="1:26" ht="31.5" customHeight="1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</row>
    <row r="251" spans="1:26" ht="31.5" customHeight="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</row>
    <row r="252" spans="1:26" ht="31.5" customHeight="1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</row>
    <row r="253" spans="1:26" ht="31.5" customHeight="1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</row>
    <row r="254" spans="1:26" ht="31.5" customHeight="1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</row>
    <row r="255" spans="1:26" ht="31.5" customHeight="1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</row>
    <row r="256" spans="1:26" ht="31.5" customHeight="1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</row>
    <row r="257" spans="1:26" ht="31.5" customHeight="1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</row>
    <row r="258" spans="1:26" ht="31.5" customHeight="1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</row>
    <row r="259" spans="1:26" ht="31.5" customHeight="1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</row>
    <row r="260" spans="1:26" ht="31.5" customHeight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</row>
    <row r="261" spans="1:26" ht="31.5" customHeight="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</row>
    <row r="262" spans="1:26" ht="31.5" customHeight="1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</row>
    <row r="263" spans="1:26" ht="31.5" customHeight="1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</row>
    <row r="264" spans="1:26" ht="31.5" customHeight="1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</row>
    <row r="265" spans="1:26" ht="31.5" customHeight="1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</row>
    <row r="266" spans="1:26" ht="31.5" customHeight="1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</row>
    <row r="267" spans="1:26" ht="31.5" customHeight="1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</row>
    <row r="268" spans="1:26" ht="31.5" customHeight="1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</row>
    <row r="269" spans="1:26" ht="31.5" customHeight="1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</row>
    <row r="270" spans="1:26" ht="31.5" customHeight="1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</row>
    <row r="271" spans="1:26" ht="31.5" customHeight="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</row>
    <row r="272" spans="1:26" ht="31.5" customHeight="1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</row>
    <row r="273" spans="1:26" ht="31.5" customHeight="1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</row>
    <row r="274" spans="1:26" ht="31.5" customHeight="1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</row>
    <row r="275" spans="1:26" ht="31.5" customHeight="1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</row>
    <row r="276" spans="1:26" ht="31.5" customHeight="1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</row>
    <row r="277" spans="1:26" ht="31.5" customHeight="1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</row>
    <row r="278" spans="1:26" ht="31.5" customHeight="1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</row>
    <row r="279" spans="1:26" ht="31.5" customHeight="1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</row>
    <row r="280" spans="1:26" ht="31.5" customHeight="1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</row>
    <row r="281" spans="1:26" ht="31.5" customHeight="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</row>
    <row r="282" spans="1:26" ht="31.5" customHeight="1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</row>
    <row r="283" spans="1:26" ht="31.5" customHeight="1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</row>
    <row r="284" spans="1:26" ht="31.5" customHeight="1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</row>
    <row r="285" spans="1:26" ht="31.5" customHeight="1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</row>
    <row r="286" spans="1:26" ht="31.5" customHeight="1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</row>
    <row r="287" spans="1:26" ht="31.5" customHeight="1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</row>
    <row r="288" spans="1:26" ht="31.5" customHeight="1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</row>
    <row r="289" spans="1:26" ht="31.5" customHeight="1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</row>
    <row r="290" spans="1:26" ht="31.5" customHeight="1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</row>
    <row r="291" spans="1:26" ht="31.5" customHeight="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</row>
    <row r="292" spans="1:26" ht="31.5" customHeight="1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</row>
    <row r="293" spans="1:26" ht="31.5" customHeight="1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</row>
    <row r="294" spans="1:26" ht="31.5" customHeight="1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</row>
    <row r="295" spans="1:26" ht="31.5" customHeight="1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</row>
    <row r="296" spans="1:26" ht="31.5" customHeight="1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</row>
    <row r="297" spans="1:26" ht="31.5" customHeight="1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</row>
    <row r="298" spans="1:26" ht="31.5" customHeight="1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</row>
    <row r="299" spans="1:26" ht="31.5" customHeight="1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</row>
    <row r="300" spans="1:26" ht="31.5" customHeight="1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</row>
    <row r="301" spans="1:26" ht="31.5" customHeight="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</row>
    <row r="302" spans="1:26" ht="31.5" customHeight="1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</row>
    <row r="303" spans="1:26" ht="31.5" customHeight="1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</row>
    <row r="304" spans="1:26" ht="31.5" customHeight="1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</row>
    <row r="305" spans="1:26" ht="31.5" customHeight="1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</row>
    <row r="306" spans="1:26" ht="31.5" customHeight="1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</row>
    <row r="307" spans="1:26" ht="31.5" customHeight="1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</row>
    <row r="308" spans="1:26" ht="31.5" customHeight="1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</row>
    <row r="309" spans="1:26" ht="31.5" customHeight="1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</row>
    <row r="310" spans="1:26" ht="31.5" customHeight="1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</row>
    <row r="311" spans="1:26" ht="31.5" customHeight="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</row>
    <row r="312" spans="1:26" ht="31.5" customHeight="1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</row>
    <row r="313" spans="1:26" ht="31.5" customHeight="1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</row>
    <row r="314" spans="1:26" ht="31.5" customHeight="1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</row>
    <row r="315" spans="1:26" ht="31.5" customHeight="1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</row>
    <row r="316" spans="1:26" ht="31.5" customHeight="1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</row>
    <row r="317" spans="1:26" ht="31.5" customHeight="1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</row>
    <row r="318" spans="1:26" ht="31.5" customHeight="1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</row>
    <row r="319" spans="1:26" ht="31.5" customHeight="1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</row>
    <row r="320" spans="1:26" ht="31.5" customHeight="1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</row>
    <row r="321" spans="1:26" ht="31.5" customHeight="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</row>
    <row r="322" spans="1:26" ht="31.5" customHeight="1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</row>
    <row r="323" spans="1:26" ht="31.5" customHeight="1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</row>
    <row r="324" spans="1:26" ht="31.5" customHeight="1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</row>
    <row r="325" spans="1:26" ht="31.5" customHeight="1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</row>
    <row r="326" spans="1:26" ht="31.5" customHeight="1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</row>
    <row r="327" spans="1:26" ht="31.5" customHeight="1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</row>
    <row r="328" spans="1:26" ht="31.5" customHeight="1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</row>
    <row r="329" spans="1:26" ht="31.5" customHeight="1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</row>
    <row r="330" spans="1:26" ht="31.5" customHeight="1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</row>
    <row r="331" spans="1:26" ht="31.5" customHeight="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</row>
    <row r="332" spans="1:26" ht="31.5" customHeight="1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</row>
    <row r="333" spans="1:26" ht="31.5" customHeight="1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</row>
    <row r="334" spans="1:26" ht="31.5" customHeight="1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</row>
    <row r="335" spans="1:26" ht="31.5" customHeight="1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</row>
    <row r="336" spans="1:26" ht="31.5" customHeight="1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</row>
    <row r="337" spans="1:26" ht="31.5" customHeight="1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</row>
    <row r="338" spans="1:26" ht="31.5" customHeight="1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</row>
    <row r="339" spans="1:26" ht="31.5" customHeight="1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</row>
    <row r="340" spans="1:26" ht="31.5" customHeight="1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</row>
    <row r="341" spans="1:26" ht="31.5" customHeight="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</row>
    <row r="342" spans="1:26" ht="31.5" customHeight="1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</row>
    <row r="343" spans="1:26" ht="31.5" customHeight="1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</row>
    <row r="344" spans="1:26" ht="31.5" customHeight="1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</row>
    <row r="345" spans="1:26" ht="31.5" customHeight="1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</row>
    <row r="346" spans="1:26" ht="31.5" customHeight="1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</row>
    <row r="347" spans="1:26" ht="31.5" customHeight="1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</row>
    <row r="348" spans="1:26" ht="31.5" customHeight="1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</row>
    <row r="349" spans="1:26" ht="31.5" customHeight="1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</row>
    <row r="350" spans="1:26" ht="31.5" customHeight="1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</row>
    <row r="351" spans="1:26" ht="31.5" customHeight="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</row>
    <row r="352" spans="1:26" ht="31.5" customHeight="1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</row>
    <row r="353" spans="1:26" ht="31.5" customHeight="1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</row>
    <row r="354" spans="1:26" ht="31.5" customHeight="1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</row>
    <row r="355" spans="1:26" ht="31.5" customHeight="1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</row>
    <row r="356" spans="1:26" ht="31.5" customHeight="1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</row>
    <row r="357" spans="1:26" ht="31.5" customHeight="1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</row>
    <row r="358" spans="1:26" ht="31.5" customHeight="1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</row>
    <row r="359" spans="1:26" ht="31.5" customHeight="1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</row>
    <row r="360" spans="1:26" ht="31.5" customHeight="1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</row>
    <row r="361" spans="1:26" ht="31.5" customHeight="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</row>
    <row r="362" spans="1:26" ht="31.5" customHeight="1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</row>
    <row r="363" spans="1:26" ht="31.5" customHeight="1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</row>
    <row r="364" spans="1:26" ht="31.5" customHeight="1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</row>
    <row r="365" spans="1:26" ht="31.5" customHeight="1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</row>
    <row r="366" spans="1:26" ht="31.5" customHeight="1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</row>
    <row r="367" spans="1:26" ht="31.5" customHeight="1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</row>
    <row r="368" spans="1:26" ht="31.5" customHeight="1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</row>
    <row r="369" spans="1:26" ht="31.5" customHeight="1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</row>
    <row r="370" spans="1:26" ht="31.5" customHeight="1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</row>
    <row r="371" spans="1:26" ht="31.5" customHeight="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</row>
    <row r="372" spans="1:26" ht="31.5" customHeight="1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</row>
    <row r="373" spans="1:26" ht="31.5" customHeight="1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</row>
    <row r="374" spans="1:26" ht="31.5" customHeight="1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</row>
    <row r="375" spans="1:26" ht="31.5" customHeight="1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</row>
    <row r="376" spans="1:26" ht="31.5" customHeight="1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</row>
    <row r="377" spans="1:26" ht="31.5" customHeight="1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</row>
    <row r="378" spans="1:26" ht="31.5" customHeight="1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</row>
    <row r="379" spans="1:26" ht="31.5" customHeight="1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</row>
    <row r="380" spans="1:26" ht="31.5" customHeight="1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</row>
    <row r="381" spans="1:26" ht="31.5" customHeight="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</row>
    <row r="382" spans="1:26" ht="31.5" customHeight="1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</row>
    <row r="383" spans="1:26" ht="31.5" customHeight="1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</row>
    <row r="384" spans="1:26" ht="31.5" customHeight="1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</row>
    <row r="385" spans="1:26" ht="31.5" customHeight="1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</row>
    <row r="386" spans="1:26" ht="31.5" customHeight="1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</row>
    <row r="387" spans="1:26" ht="31.5" customHeight="1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</row>
    <row r="388" spans="1:26" ht="31.5" customHeight="1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</row>
    <row r="389" spans="1:26" ht="31.5" customHeight="1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</row>
    <row r="390" spans="1:26" ht="31.5" customHeight="1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</row>
    <row r="391" spans="1:26" ht="31.5" customHeight="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</row>
    <row r="392" spans="1:26" ht="31.5" customHeight="1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</row>
    <row r="393" spans="1:26" ht="31.5" customHeight="1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</row>
    <row r="394" spans="1:26" ht="31.5" customHeight="1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</row>
    <row r="395" spans="1:26" ht="31.5" customHeight="1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</row>
    <row r="396" spans="1:26" ht="31.5" customHeight="1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</row>
    <row r="397" spans="1:26" ht="31.5" customHeight="1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</row>
    <row r="398" spans="1:26" ht="31.5" customHeight="1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</row>
    <row r="399" spans="1:26" ht="31.5" customHeight="1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</row>
    <row r="400" spans="1:26" ht="31.5" customHeight="1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</row>
    <row r="401" spans="1:26" ht="31.5" customHeight="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</row>
    <row r="402" spans="1:26" ht="31.5" customHeight="1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</row>
    <row r="403" spans="1:26" ht="31.5" customHeight="1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</row>
    <row r="404" spans="1:26" ht="31.5" customHeight="1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</row>
    <row r="405" spans="1:26" ht="31.5" customHeight="1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</row>
    <row r="406" spans="1:26" ht="31.5" customHeight="1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</row>
    <row r="407" spans="1:26" ht="31.5" customHeight="1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</row>
    <row r="408" spans="1:26" ht="31.5" customHeight="1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</row>
    <row r="409" spans="1:26" ht="31.5" customHeight="1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</row>
    <row r="410" spans="1:26" ht="31.5" customHeight="1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</row>
    <row r="411" spans="1:26" ht="31.5" customHeight="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</row>
    <row r="412" spans="1:26" ht="31.5" customHeight="1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</row>
    <row r="413" spans="1:26" ht="31.5" customHeight="1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</row>
    <row r="414" spans="1:26" ht="31.5" customHeight="1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</row>
    <row r="415" spans="1:26" ht="31.5" customHeight="1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</row>
    <row r="416" spans="1:26" ht="31.5" customHeight="1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</row>
    <row r="417" spans="1:26" ht="31.5" customHeight="1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</row>
    <row r="418" spans="1:26" ht="31.5" customHeight="1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</row>
    <row r="419" spans="1:26" ht="31.5" customHeight="1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</row>
    <row r="420" spans="1:26" ht="31.5" customHeight="1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</row>
    <row r="421" spans="1:26" ht="31.5" customHeight="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</row>
    <row r="422" spans="1:26" ht="31.5" customHeight="1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</row>
    <row r="423" spans="1:26" ht="31.5" customHeight="1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</row>
    <row r="424" spans="1:26" ht="31.5" customHeight="1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</row>
    <row r="425" spans="1:26" ht="31.5" customHeight="1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</row>
    <row r="426" spans="1:26" ht="31.5" customHeight="1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</row>
    <row r="427" spans="1:26" ht="31.5" customHeight="1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</row>
    <row r="428" spans="1:26" ht="31.5" customHeight="1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</row>
    <row r="429" spans="1:26" ht="31.5" customHeight="1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</row>
    <row r="430" spans="1:26" ht="31.5" customHeight="1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</row>
    <row r="431" spans="1:26" ht="31.5" customHeight="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</row>
    <row r="432" spans="1:26" ht="31.5" customHeight="1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</row>
    <row r="433" spans="1:26" ht="31.5" customHeight="1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</row>
    <row r="434" spans="1:26" ht="31.5" customHeight="1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</row>
    <row r="435" spans="1:26" ht="31.5" customHeight="1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</row>
    <row r="436" spans="1:26" ht="31.5" customHeight="1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</row>
    <row r="437" spans="1:26" ht="31.5" customHeight="1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</row>
    <row r="438" spans="1:26" ht="31.5" customHeight="1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</row>
    <row r="439" spans="1:26" ht="31.5" customHeight="1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</row>
    <row r="440" spans="1:26" ht="31.5" customHeight="1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</row>
    <row r="441" spans="1:26" ht="31.5" customHeight="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</row>
    <row r="442" spans="1:26" ht="31.5" customHeight="1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</row>
    <row r="443" spans="1:26" ht="31.5" customHeight="1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</row>
    <row r="444" spans="1:26" ht="31.5" customHeight="1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</row>
    <row r="445" spans="1:26" ht="31.5" customHeight="1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</row>
    <row r="446" spans="1:26" ht="31.5" customHeight="1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</row>
    <row r="447" spans="1:26" ht="31.5" customHeight="1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</row>
    <row r="448" spans="1:26" ht="31.5" customHeight="1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</row>
    <row r="449" spans="1:26" ht="31.5" customHeight="1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</row>
    <row r="450" spans="1:26" ht="31.5" customHeight="1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</row>
    <row r="451" spans="1:26" ht="31.5" customHeight="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</row>
    <row r="452" spans="1:26" ht="31.5" customHeight="1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</row>
    <row r="453" spans="1:26" ht="31.5" customHeight="1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</row>
    <row r="454" spans="1:26" ht="31.5" customHeight="1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</row>
    <row r="455" spans="1:26" ht="31.5" customHeight="1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</row>
    <row r="456" spans="1:26" ht="31.5" customHeight="1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</row>
    <row r="457" spans="1:26" ht="31.5" customHeight="1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</row>
    <row r="458" spans="1:26" ht="31.5" customHeight="1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</row>
    <row r="459" spans="1:26" ht="31.5" customHeight="1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</row>
    <row r="460" spans="1:26" ht="31.5" customHeight="1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</row>
    <row r="461" spans="1:26" ht="31.5" customHeight="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</row>
    <row r="462" spans="1:26" ht="31.5" customHeight="1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</row>
    <row r="463" spans="1:26" ht="31.5" customHeight="1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</row>
    <row r="464" spans="1:26" ht="31.5" customHeight="1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</row>
    <row r="465" spans="1:26" ht="31.5" customHeight="1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</row>
    <row r="466" spans="1:26" ht="31.5" customHeight="1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</row>
    <row r="467" spans="1:26" ht="31.5" customHeight="1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</row>
    <row r="468" spans="1:26" ht="31.5" customHeight="1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</row>
    <row r="469" spans="1:26" ht="31.5" customHeight="1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</row>
    <row r="470" spans="1:26" ht="31.5" customHeight="1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</row>
    <row r="471" spans="1:26" ht="31.5" customHeight="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</row>
    <row r="472" spans="1:26" ht="31.5" customHeight="1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</row>
    <row r="473" spans="1:26" ht="31.5" customHeight="1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</row>
    <row r="474" spans="1:26" ht="31.5" customHeight="1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</row>
    <row r="475" spans="1:26" ht="31.5" customHeight="1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</row>
    <row r="476" spans="1:26" ht="31.5" customHeight="1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</row>
    <row r="477" spans="1:26" ht="31.5" customHeight="1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</row>
    <row r="478" spans="1:26" ht="31.5" customHeight="1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</row>
    <row r="479" spans="1:26" ht="31.5" customHeight="1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</row>
    <row r="480" spans="1:26" ht="31.5" customHeight="1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</row>
    <row r="481" spans="1:26" ht="31.5" customHeight="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</row>
    <row r="482" spans="1:26" ht="31.5" customHeight="1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</row>
    <row r="483" spans="1:26" ht="31.5" customHeight="1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</row>
    <row r="484" spans="1:26" ht="31.5" customHeight="1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</row>
    <row r="485" spans="1:26" ht="31.5" customHeight="1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</row>
    <row r="486" spans="1:26" ht="31.5" customHeight="1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</row>
    <row r="487" spans="1:26" ht="31.5" customHeight="1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</row>
    <row r="488" spans="1:26" ht="31.5" customHeight="1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</row>
    <row r="489" spans="1:26" ht="31.5" customHeight="1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</row>
    <row r="490" spans="1:26" ht="31.5" customHeight="1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</row>
    <row r="491" spans="1:26" ht="31.5" customHeight="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</row>
    <row r="492" spans="1:26" ht="31.5" customHeight="1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</row>
    <row r="493" spans="1:26" ht="31.5" customHeight="1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</row>
    <row r="494" spans="1:26" ht="31.5" customHeight="1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</row>
    <row r="495" spans="1:26" ht="31.5" customHeight="1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</row>
    <row r="496" spans="1:26" ht="31.5" customHeight="1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</row>
    <row r="497" spans="1:26" ht="31.5" customHeight="1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</row>
    <row r="498" spans="1:26" ht="31.5" customHeight="1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</row>
    <row r="499" spans="1:26" ht="31.5" customHeight="1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</row>
    <row r="500" spans="1:26" ht="31.5" customHeight="1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</row>
    <row r="501" spans="1:26" ht="31.5" customHeight="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</row>
    <row r="502" spans="1:26" ht="31.5" customHeight="1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</row>
    <row r="503" spans="1:26" ht="31.5" customHeight="1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</row>
    <row r="504" spans="1:26" ht="31.5" customHeight="1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</row>
    <row r="505" spans="1:26" ht="31.5" customHeight="1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</row>
    <row r="506" spans="1:26" ht="31.5" customHeight="1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</row>
    <row r="507" spans="1:26" ht="31.5" customHeight="1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</row>
    <row r="508" spans="1:26" ht="31.5" customHeight="1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</row>
    <row r="509" spans="1:26" ht="31.5" customHeight="1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</row>
    <row r="510" spans="1:26" ht="31.5" customHeight="1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</row>
    <row r="511" spans="1:26" ht="31.5" customHeight="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</row>
    <row r="512" spans="1:26" ht="31.5" customHeight="1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</row>
    <row r="513" spans="1:26" ht="31.5" customHeight="1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</row>
    <row r="514" spans="1:26" ht="31.5" customHeight="1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</row>
    <row r="515" spans="1:26" ht="31.5" customHeight="1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</row>
    <row r="516" spans="1:26" ht="31.5" customHeight="1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</row>
    <row r="517" spans="1:26" ht="31.5" customHeight="1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</row>
    <row r="518" spans="1:26" ht="31.5" customHeight="1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</row>
    <row r="519" spans="1:26" ht="31.5" customHeight="1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</row>
    <row r="520" spans="1:26" ht="31.5" customHeight="1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</row>
    <row r="521" spans="1:26" ht="31.5" customHeight="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</row>
    <row r="522" spans="1:26" ht="31.5" customHeight="1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</row>
    <row r="523" spans="1:26" ht="31.5" customHeight="1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</row>
    <row r="524" spans="1:26" ht="31.5" customHeight="1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</row>
    <row r="525" spans="1:26" ht="31.5" customHeight="1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</row>
    <row r="526" spans="1:26" ht="31.5" customHeight="1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</row>
    <row r="527" spans="1:26" ht="31.5" customHeight="1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</row>
    <row r="528" spans="1:26" ht="31.5" customHeight="1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</row>
    <row r="529" spans="1:26" ht="31.5" customHeight="1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</row>
    <row r="530" spans="1:26" ht="31.5" customHeight="1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</row>
    <row r="531" spans="1:26" ht="31.5" customHeight="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</row>
    <row r="532" spans="1:26" ht="31.5" customHeight="1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</row>
    <row r="533" spans="1:26" ht="31.5" customHeight="1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</row>
    <row r="534" spans="1:26" ht="31.5" customHeight="1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</row>
    <row r="535" spans="1:26" ht="31.5" customHeight="1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</row>
    <row r="536" spans="1:26" ht="31.5" customHeight="1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</row>
    <row r="537" spans="1:26" ht="31.5" customHeight="1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</row>
    <row r="538" spans="1:26" ht="31.5" customHeight="1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</row>
    <row r="539" spans="1:26" ht="31.5" customHeight="1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</row>
    <row r="540" spans="1:26" ht="31.5" customHeight="1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</row>
    <row r="541" spans="1:26" ht="31.5" customHeight="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</row>
    <row r="542" spans="1:26" ht="31.5" customHeight="1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</row>
    <row r="543" spans="1:26" ht="31.5" customHeight="1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</row>
    <row r="544" spans="1:26" ht="31.5" customHeight="1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</row>
    <row r="545" spans="1:26" ht="31.5" customHeight="1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</row>
    <row r="546" spans="1:26" ht="31.5" customHeight="1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</row>
    <row r="547" spans="1:26" ht="31.5" customHeight="1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</row>
    <row r="548" spans="1:26" ht="31.5" customHeight="1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</row>
    <row r="549" spans="1:26" ht="31.5" customHeight="1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</row>
    <row r="550" spans="1:26" ht="31.5" customHeight="1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</row>
    <row r="551" spans="1:26" ht="31.5" customHeight="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</row>
    <row r="552" spans="1:26" ht="31.5" customHeight="1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</row>
    <row r="553" spans="1:26" ht="31.5" customHeight="1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</row>
    <row r="554" spans="1:26" ht="31.5" customHeight="1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</row>
    <row r="555" spans="1:26" ht="31.5" customHeight="1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</row>
    <row r="556" spans="1:26" ht="31.5" customHeight="1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</row>
    <row r="557" spans="1:26" ht="31.5" customHeight="1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</row>
    <row r="558" spans="1:26" ht="31.5" customHeight="1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</row>
    <row r="559" spans="1:26" ht="31.5" customHeight="1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</row>
    <row r="560" spans="1:26" ht="31.5" customHeight="1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</row>
    <row r="561" spans="1:26" ht="31.5" customHeight="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</row>
    <row r="562" spans="1:26" ht="31.5" customHeight="1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</row>
    <row r="563" spans="1:26" ht="31.5" customHeight="1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</row>
    <row r="564" spans="1:26" ht="31.5" customHeight="1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</row>
    <row r="565" spans="1:26" ht="31.5" customHeight="1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</row>
    <row r="566" spans="1:26" ht="31.5" customHeight="1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</row>
    <row r="567" spans="1:26" ht="31.5" customHeight="1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</row>
    <row r="568" spans="1:26" ht="31.5" customHeight="1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</row>
    <row r="569" spans="1:26" ht="31.5" customHeight="1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</row>
    <row r="570" spans="1:26" ht="31.5" customHeight="1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</row>
    <row r="571" spans="1:26" ht="31.5" customHeight="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</row>
    <row r="572" spans="1:26" ht="31.5" customHeight="1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</row>
    <row r="573" spans="1:26" ht="31.5" customHeight="1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</row>
    <row r="574" spans="1:26" ht="31.5" customHeight="1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</row>
    <row r="575" spans="1:26" ht="31.5" customHeight="1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</row>
    <row r="576" spans="1:26" ht="31.5" customHeight="1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</row>
    <row r="577" spans="1:26" ht="31.5" customHeight="1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</row>
    <row r="578" spans="1:26" ht="31.5" customHeight="1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</row>
    <row r="579" spans="1:26" ht="31.5" customHeight="1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</row>
    <row r="580" spans="1:26" ht="31.5" customHeight="1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</row>
    <row r="581" spans="1:26" ht="31.5" customHeight="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</row>
    <row r="582" spans="1:26" ht="31.5" customHeight="1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</row>
    <row r="583" spans="1:26" ht="31.5" customHeight="1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</row>
    <row r="584" spans="1:26" ht="31.5" customHeight="1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</row>
    <row r="585" spans="1:26" ht="31.5" customHeight="1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</row>
    <row r="586" spans="1:26" ht="31.5" customHeight="1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</row>
    <row r="587" spans="1:26" ht="31.5" customHeight="1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</row>
    <row r="588" spans="1:26" ht="31.5" customHeight="1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</row>
    <row r="589" spans="1:26" ht="31.5" customHeight="1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</row>
    <row r="590" spans="1:26" ht="31.5" customHeight="1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</row>
    <row r="591" spans="1:26" ht="31.5" customHeight="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</row>
    <row r="592" spans="1:26" ht="31.5" customHeight="1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</row>
    <row r="593" spans="1:26" ht="31.5" customHeight="1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</row>
    <row r="594" spans="1:26" ht="31.5" customHeight="1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</row>
    <row r="595" spans="1:26" ht="31.5" customHeight="1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</row>
    <row r="596" spans="1:26" ht="31.5" customHeight="1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</row>
    <row r="597" spans="1:26" ht="31.5" customHeight="1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</row>
    <row r="598" spans="1:26" ht="31.5" customHeight="1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</row>
    <row r="599" spans="1:26" ht="31.5" customHeight="1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</row>
    <row r="600" spans="1:26" ht="31.5" customHeight="1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</row>
    <row r="601" spans="1:26" ht="31.5" customHeight="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</row>
    <row r="602" spans="1:26" ht="31.5" customHeight="1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</row>
    <row r="603" spans="1:26" ht="31.5" customHeight="1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</row>
    <row r="604" spans="1:26" ht="31.5" customHeight="1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</row>
    <row r="605" spans="1:26" ht="31.5" customHeight="1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</row>
    <row r="606" spans="1:26" ht="31.5" customHeight="1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</row>
    <row r="607" spans="1:26" ht="31.5" customHeight="1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</row>
    <row r="608" spans="1:26" ht="31.5" customHeight="1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</row>
    <row r="609" spans="1:26" ht="31.5" customHeight="1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</row>
    <row r="610" spans="1:26" ht="31.5" customHeight="1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</row>
    <row r="611" spans="1:26" ht="31.5" customHeight="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</row>
    <row r="612" spans="1:26" ht="31.5" customHeight="1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</row>
    <row r="613" spans="1:26" ht="31.5" customHeight="1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</row>
    <row r="614" spans="1:26" ht="31.5" customHeight="1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</row>
    <row r="615" spans="1:26" ht="31.5" customHeight="1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</row>
    <row r="616" spans="1:26" ht="31.5" customHeight="1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</row>
    <row r="617" spans="1:26" ht="31.5" customHeight="1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</row>
    <row r="618" spans="1:26" ht="31.5" customHeight="1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</row>
    <row r="619" spans="1:26" ht="31.5" customHeight="1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</row>
    <row r="620" spans="1:26" ht="31.5" customHeight="1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</row>
    <row r="621" spans="1:26" ht="31.5" customHeight="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</row>
    <row r="622" spans="1:26" ht="31.5" customHeight="1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</row>
    <row r="623" spans="1:26" ht="31.5" customHeight="1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</row>
    <row r="624" spans="1:26" ht="31.5" customHeight="1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</row>
    <row r="625" spans="1:26" ht="31.5" customHeight="1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</row>
    <row r="626" spans="1:26" ht="31.5" customHeight="1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</row>
    <row r="627" spans="1:26" ht="31.5" customHeight="1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</row>
    <row r="628" spans="1:26" ht="31.5" customHeight="1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</row>
    <row r="629" spans="1:26" ht="31.5" customHeight="1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</row>
    <row r="630" spans="1:26" ht="31.5" customHeight="1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</row>
    <row r="631" spans="1:26" ht="31.5" customHeight="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</row>
    <row r="632" spans="1:26" ht="31.5" customHeight="1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</row>
    <row r="633" spans="1:26" ht="31.5" customHeight="1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</row>
    <row r="634" spans="1:26" ht="31.5" customHeight="1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</row>
    <row r="635" spans="1:26" ht="31.5" customHeight="1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</row>
    <row r="636" spans="1:26" ht="31.5" customHeight="1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</row>
    <row r="637" spans="1:26" ht="31.5" customHeight="1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</row>
    <row r="638" spans="1:26" ht="31.5" customHeight="1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</row>
    <row r="639" spans="1:26" ht="31.5" customHeight="1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</row>
    <row r="640" spans="1:26" ht="31.5" customHeight="1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</row>
    <row r="641" spans="1:26" ht="31.5" customHeight="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</row>
    <row r="642" spans="1:26" ht="31.5" customHeight="1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</row>
    <row r="643" spans="1:26" ht="31.5" customHeight="1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</row>
    <row r="644" spans="1:26" ht="31.5" customHeight="1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</row>
    <row r="645" spans="1:26" ht="31.5" customHeight="1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</row>
    <row r="646" spans="1:26" ht="31.5" customHeight="1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</row>
    <row r="647" spans="1:26" ht="31.5" customHeight="1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</row>
    <row r="648" spans="1:26" ht="31.5" customHeight="1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</row>
    <row r="649" spans="1:26" ht="31.5" customHeight="1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</row>
    <row r="650" spans="1:26" ht="31.5" customHeight="1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</row>
    <row r="651" spans="1:26" ht="31.5" customHeight="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</row>
    <row r="652" spans="1:26" ht="31.5" customHeight="1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</row>
    <row r="653" spans="1:26" ht="31.5" customHeight="1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</row>
    <row r="654" spans="1:26" ht="31.5" customHeight="1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</row>
    <row r="655" spans="1:26" ht="31.5" customHeight="1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</row>
    <row r="656" spans="1:26" ht="31.5" customHeight="1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</row>
    <row r="657" spans="1:26" ht="31.5" customHeight="1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</row>
    <row r="658" spans="1:26" ht="31.5" customHeight="1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</row>
    <row r="659" spans="1:26" ht="31.5" customHeight="1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</row>
    <row r="660" spans="1:26" ht="31.5" customHeight="1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</row>
    <row r="661" spans="1:26" ht="31.5" customHeight="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</row>
    <row r="662" spans="1:26" ht="31.5" customHeight="1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</row>
    <row r="663" spans="1:26" ht="31.5" customHeight="1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</row>
    <row r="664" spans="1:26" ht="31.5" customHeight="1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</row>
    <row r="665" spans="1:26" ht="31.5" customHeight="1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</row>
    <row r="666" spans="1:26" ht="31.5" customHeight="1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</row>
    <row r="667" spans="1:26" ht="31.5" customHeight="1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</row>
    <row r="668" spans="1:26" ht="31.5" customHeight="1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</row>
    <row r="669" spans="1:26" ht="31.5" customHeight="1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</row>
    <row r="670" spans="1:26" ht="31.5" customHeight="1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</row>
    <row r="671" spans="1:26" ht="31.5" customHeight="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</row>
    <row r="672" spans="1:26" ht="31.5" customHeight="1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</row>
    <row r="673" spans="1:26" ht="31.5" customHeight="1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</row>
    <row r="674" spans="1:26" ht="31.5" customHeight="1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</row>
    <row r="675" spans="1:26" ht="31.5" customHeight="1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</row>
    <row r="676" spans="1:26" ht="31.5" customHeight="1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</row>
    <row r="677" spans="1:26" ht="31.5" customHeight="1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</row>
    <row r="678" spans="1:26" ht="31.5" customHeight="1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</row>
    <row r="679" spans="1:26" ht="31.5" customHeight="1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</row>
    <row r="680" spans="1:26" ht="31.5" customHeight="1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</row>
    <row r="681" spans="1:26" ht="31.5" customHeight="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</row>
    <row r="682" spans="1:26" ht="31.5" customHeight="1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</row>
    <row r="683" spans="1:26" ht="31.5" customHeight="1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</row>
    <row r="684" spans="1:26" ht="31.5" customHeight="1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</row>
    <row r="685" spans="1:26" ht="31.5" customHeight="1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</row>
    <row r="686" spans="1:26" ht="31.5" customHeight="1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</row>
    <row r="687" spans="1:26" ht="31.5" customHeight="1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</row>
    <row r="688" spans="1:26" ht="31.5" customHeight="1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</row>
    <row r="689" spans="1:26" ht="31.5" customHeight="1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</row>
    <row r="690" spans="1:26" ht="31.5" customHeight="1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</row>
    <row r="691" spans="1:26" ht="31.5" customHeight="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</row>
    <row r="692" spans="1:26" ht="31.5" customHeight="1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</row>
    <row r="693" spans="1:26" ht="31.5" customHeight="1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</row>
    <row r="694" spans="1:26" ht="31.5" customHeight="1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</row>
    <row r="695" spans="1:26" ht="31.5" customHeight="1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</row>
    <row r="696" spans="1:26" ht="31.5" customHeight="1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</row>
    <row r="697" spans="1:26" ht="31.5" customHeight="1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</row>
    <row r="698" spans="1:26" ht="31.5" customHeight="1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</row>
    <row r="699" spans="1:26" ht="31.5" customHeight="1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</row>
    <row r="700" spans="1:26" ht="31.5" customHeight="1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</row>
    <row r="701" spans="1:26" ht="31.5" customHeight="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</row>
    <row r="702" spans="1:26" ht="31.5" customHeight="1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</row>
    <row r="703" spans="1:26" ht="31.5" customHeight="1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</row>
    <row r="704" spans="1:26" ht="31.5" customHeight="1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</row>
    <row r="705" spans="1:26" ht="31.5" customHeight="1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</row>
    <row r="706" spans="1:26" ht="31.5" customHeight="1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</row>
    <row r="707" spans="1:26" ht="31.5" customHeight="1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</row>
    <row r="708" spans="1:26" ht="31.5" customHeight="1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</row>
    <row r="709" spans="1:26" ht="31.5" customHeight="1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</row>
    <row r="710" spans="1:26" ht="31.5" customHeight="1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</row>
    <row r="711" spans="1:26" ht="31.5" customHeight="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</row>
    <row r="712" spans="1:26" ht="31.5" customHeight="1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</row>
    <row r="713" spans="1:26" ht="31.5" customHeight="1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</row>
    <row r="714" spans="1:26" ht="31.5" customHeight="1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</row>
    <row r="715" spans="1:26" ht="31.5" customHeight="1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</row>
    <row r="716" spans="1:26" ht="31.5" customHeight="1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</row>
    <row r="717" spans="1:26" ht="31.5" customHeight="1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</row>
    <row r="718" spans="1:26" ht="31.5" customHeight="1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</row>
    <row r="719" spans="1:26" ht="31.5" customHeight="1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</row>
    <row r="720" spans="1:26" ht="31.5" customHeight="1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</row>
    <row r="721" spans="1:26" ht="31.5" customHeight="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</row>
    <row r="722" spans="1:26" ht="31.5" customHeight="1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</row>
    <row r="723" spans="1:26" ht="31.5" customHeight="1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</row>
    <row r="724" spans="1:26" ht="31.5" customHeight="1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</row>
    <row r="725" spans="1:26" ht="31.5" customHeight="1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</row>
    <row r="726" spans="1:26" ht="31.5" customHeight="1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</row>
    <row r="727" spans="1:26" ht="31.5" customHeight="1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</row>
    <row r="728" spans="1:26" ht="31.5" customHeight="1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</row>
    <row r="729" spans="1:26" ht="31.5" customHeight="1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</row>
    <row r="730" spans="1:26" ht="31.5" customHeight="1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</row>
    <row r="731" spans="1:26" ht="31.5" customHeight="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</row>
    <row r="732" spans="1:26" ht="31.5" customHeight="1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</row>
    <row r="733" spans="1:26" ht="31.5" customHeight="1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</row>
    <row r="734" spans="1:26" ht="31.5" customHeight="1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</row>
    <row r="735" spans="1:26" ht="31.5" customHeight="1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</row>
    <row r="736" spans="1:26" ht="31.5" customHeight="1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</row>
    <row r="737" spans="1:26" ht="31.5" customHeight="1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</row>
    <row r="738" spans="1:26" ht="31.5" customHeight="1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</row>
    <row r="739" spans="1:26" ht="31.5" customHeight="1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</row>
    <row r="740" spans="1:26" ht="31.5" customHeight="1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</row>
    <row r="741" spans="1:26" ht="31.5" customHeight="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</row>
    <row r="742" spans="1:26" ht="31.5" customHeight="1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</row>
    <row r="743" spans="1:26" ht="31.5" customHeight="1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</row>
    <row r="744" spans="1:26" ht="31.5" customHeight="1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</row>
    <row r="745" spans="1:26" ht="31.5" customHeight="1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</row>
    <row r="746" spans="1:26" ht="31.5" customHeight="1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</row>
    <row r="747" spans="1:26" ht="31.5" customHeight="1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</row>
    <row r="748" spans="1:26" ht="31.5" customHeight="1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</row>
    <row r="749" spans="1:26" ht="31.5" customHeight="1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</row>
    <row r="750" spans="1:26" ht="31.5" customHeight="1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</row>
    <row r="751" spans="1:26" ht="31.5" customHeight="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</row>
    <row r="752" spans="1:26" ht="31.5" customHeight="1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</row>
    <row r="753" spans="1:26" ht="31.5" customHeight="1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</row>
    <row r="754" spans="1:26" ht="31.5" customHeight="1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</row>
    <row r="755" spans="1:26" ht="31.5" customHeight="1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</row>
    <row r="756" spans="1:26" ht="31.5" customHeight="1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</row>
    <row r="757" spans="1:26" ht="31.5" customHeight="1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</row>
    <row r="758" spans="1:26" ht="31.5" customHeight="1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</row>
    <row r="759" spans="1:26" ht="31.5" customHeight="1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</row>
    <row r="760" spans="1:26" ht="31.5" customHeight="1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</row>
    <row r="761" spans="1:26" ht="31.5" customHeight="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</row>
    <row r="762" spans="1:26" ht="31.5" customHeight="1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</row>
    <row r="763" spans="1:26" ht="31.5" customHeight="1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</row>
    <row r="764" spans="1:26" ht="31.5" customHeight="1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</row>
    <row r="765" spans="1:26" ht="31.5" customHeight="1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</row>
    <row r="766" spans="1:26" ht="31.5" customHeight="1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</row>
    <row r="767" spans="1:26" ht="31.5" customHeight="1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</row>
    <row r="768" spans="1:26" ht="31.5" customHeight="1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</row>
    <row r="769" spans="1:26" ht="31.5" customHeight="1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</row>
    <row r="770" spans="1:26" ht="31.5" customHeight="1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</row>
    <row r="771" spans="1:26" ht="31.5" customHeight="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</row>
    <row r="772" spans="1:26" ht="31.5" customHeight="1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</row>
    <row r="773" spans="1:26" ht="31.5" customHeight="1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</row>
    <row r="774" spans="1:26" ht="31.5" customHeight="1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</row>
    <row r="775" spans="1:26" ht="31.5" customHeight="1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</row>
    <row r="776" spans="1:26" ht="31.5" customHeight="1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</row>
    <row r="777" spans="1:26" ht="31.5" customHeight="1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</row>
    <row r="778" spans="1:26" ht="31.5" customHeight="1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</row>
    <row r="779" spans="1:26" ht="31.5" customHeight="1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</row>
    <row r="780" spans="1:26" ht="31.5" customHeight="1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</row>
    <row r="781" spans="1:26" ht="31.5" customHeight="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</row>
    <row r="782" spans="1:26" ht="31.5" customHeight="1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</row>
    <row r="783" spans="1:26" ht="31.5" customHeight="1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</row>
    <row r="784" spans="1:26" ht="31.5" customHeight="1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</row>
    <row r="785" spans="1:26" ht="31.5" customHeight="1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</row>
    <row r="786" spans="1:26" ht="31.5" customHeight="1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</row>
    <row r="787" spans="1:26" ht="31.5" customHeight="1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</row>
    <row r="788" spans="1:26" ht="31.5" customHeight="1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</row>
    <row r="789" spans="1:26" ht="31.5" customHeight="1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</row>
    <row r="790" spans="1:26" ht="31.5" customHeight="1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</row>
    <row r="791" spans="1:26" ht="31.5" customHeight="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</row>
    <row r="792" spans="1:26" ht="31.5" customHeight="1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</row>
    <row r="793" spans="1:26" ht="31.5" customHeight="1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</row>
    <row r="794" spans="1:26" ht="31.5" customHeight="1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</row>
    <row r="795" spans="1:26" ht="31.5" customHeight="1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</row>
    <row r="796" spans="1:26" ht="31.5" customHeight="1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</row>
    <row r="797" spans="1:26" ht="31.5" customHeight="1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</row>
    <row r="798" spans="1:26" ht="31.5" customHeight="1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</row>
    <row r="799" spans="1:26" ht="31.5" customHeight="1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</row>
    <row r="800" spans="1:26" ht="31.5" customHeight="1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</row>
    <row r="801" spans="1:26" ht="31.5" customHeight="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</row>
    <row r="802" spans="1:26" ht="31.5" customHeight="1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</row>
    <row r="803" spans="1:26" ht="31.5" customHeight="1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</row>
    <row r="804" spans="1:26" ht="31.5" customHeight="1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</row>
    <row r="805" spans="1:26" ht="31.5" customHeight="1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</row>
    <row r="806" spans="1:26" ht="31.5" customHeight="1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</row>
    <row r="807" spans="1:26" ht="31.5" customHeight="1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</row>
    <row r="808" spans="1:26" ht="31.5" customHeight="1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</row>
    <row r="809" spans="1:26" ht="31.5" customHeight="1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</row>
    <row r="810" spans="1:26" ht="31.5" customHeight="1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</row>
    <row r="811" spans="1:26" ht="31.5" customHeight="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</row>
    <row r="812" spans="1:26" ht="31.5" customHeight="1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</row>
    <row r="813" spans="1:26" ht="31.5" customHeight="1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</row>
    <row r="814" spans="1:26" ht="31.5" customHeight="1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</row>
    <row r="815" spans="1:26" ht="31.5" customHeight="1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</row>
    <row r="816" spans="1:26" ht="31.5" customHeight="1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</row>
    <row r="817" spans="1:26" ht="31.5" customHeight="1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</row>
    <row r="818" spans="1:26" ht="31.5" customHeight="1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</row>
    <row r="819" spans="1:26" ht="31.5" customHeight="1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</row>
    <row r="820" spans="1:26" ht="31.5" customHeight="1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</row>
    <row r="821" spans="1:26" ht="31.5" customHeight="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</row>
    <row r="822" spans="1:26" ht="31.5" customHeight="1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</row>
    <row r="823" spans="1:26" ht="31.5" customHeight="1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</row>
    <row r="824" spans="1:26" ht="31.5" customHeight="1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</row>
    <row r="825" spans="1:26" ht="31.5" customHeight="1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</row>
    <row r="826" spans="1:26" ht="31.5" customHeight="1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</row>
    <row r="827" spans="1:26" ht="31.5" customHeight="1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</row>
    <row r="828" spans="1:26" ht="31.5" customHeight="1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</row>
    <row r="829" spans="1:26" ht="31.5" customHeight="1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</row>
    <row r="830" spans="1:26" ht="31.5" customHeight="1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</row>
    <row r="831" spans="1:26" ht="31.5" customHeight="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</row>
    <row r="832" spans="1:26" ht="31.5" customHeight="1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</row>
    <row r="833" spans="1:26" ht="31.5" customHeight="1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</row>
    <row r="834" spans="1:26" ht="31.5" customHeight="1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</row>
    <row r="835" spans="1:26" ht="31.5" customHeight="1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</row>
    <row r="836" spans="1:26" ht="31.5" customHeight="1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</row>
    <row r="837" spans="1:26" ht="31.5" customHeight="1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</row>
    <row r="838" spans="1:26" ht="31.5" customHeight="1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</row>
    <row r="839" spans="1:26" ht="31.5" customHeight="1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</row>
    <row r="840" spans="1:26" ht="31.5" customHeight="1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</row>
    <row r="841" spans="1:26" ht="31.5" customHeight="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</row>
    <row r="842" spans="1:26" ht="31.5" customHeight="1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</row>
    <row r="843" spans="1:26" ht="31.5" customHeight="1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</row>
    <row r="844" spans="1:26" ht="31.5" customHeight="1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</row>
    <row r="845" spans="1:26" ht="31.5" customHeight="1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</row>
    <row r="846" spans="1:26" ht="31.5" customHeight="1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</row>
    <row r="847" spans="1:26" ht="31.5" customHeight="1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</row>
    <row r="848" spans="1:26" ht="31.5" customHeight="1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</row>
    <row r="849" spans="1:26" ht="31.5" customHeight="1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</row>
    <row r="850" spans="1:26" ht="31.5" customHeight="1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</row>
    <row r="851" spans="1:26" ht="31.5" customHeight="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</row>
    <row r="852" spans="1:26" ht="31.5" customHeight="1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</row>
    <row r="853" spans="1:26" ht="31.5" customHeight="1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</row>
    <row r="854" spans="1:26" ht="31.5" customHeight="1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</row>
    <row r="855" spans="1:26" ht="31.5" customHeight="1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</row>
    <row r="856" spans="1:26" ht="31.5" customHeight="1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</row>
    <row r="857" spans="1:26" ht="31.5" customHeight="1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</row>
    <row r="858" spans="1:26" ht="31.5" customHeight="1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</row>
    <row r="859" spans="1:26" ht="31.5" customHeight="1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</row>
    <row r="860" spans="1:26" ht="31.5" customHeight="1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</row>
    <row r="861" spans="1:26" ht="31.5" customHeight="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</row>
    <row r="862" spans="1:26" ht="31.5" customHeight="1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</row>
    <row r="863" spans="1:26" ht="31.5" customHeight="1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</row>
    <row r="864" spans="1:26" ht="31.5" customHeight="1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</row>
    <row r="865" spans="1:26" ht="31.5" customHeight="1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</row>
    <row r="866" spans="1:26" ht="31.5" customHeight="1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</row>
    <row r="867" spans="1:26" ht="31.5" customHeight="1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</row>
    <row r="868" spans="1:26" ht="31.5" customHeight="1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</row>
    <row r="869" spans="1:26" ht="31.5" customHeight="1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</row>
    <row r="870" spans="1:26" ht="31.5" customHeight="1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</row>
    <row r="871" spans="1:26" ht="31.5" customHeight="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</row>
    <row r="872" spans="1:26" ht="31.5" customHeight="1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</row>
    <row r="873" spans="1:26" ht="31.5" customHeight="1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</row>
    <row r="874" spans="1:26" ht="31.5" customHeight="1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</row>
    <row r="875" spans="1:26" ht="31.5" customHeight="1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</row>
    <row r="876" spans="1:26" ht="31.5" customHeight="1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</row>
    <row r="877" spans="1:26" ht="31.5" customHeight="1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</row>
    <row r="878" spans="1:26" ht="31.5" customHeight="1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</row>
    <row r="879" spans="1:26" ht="31.5" customHeight="1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</row>
    <row r="880" spans="1:26" ht="31.5" customHeight="1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</row>
    <row r="881" spans="1:26" ht="31.5" customHeight="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</row>
    <row r="882" spans="1:26" ht="31.5" customHeight="1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</row>
    <row r="883" spans="1:26" ht="31.5" customHeight="1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</row>
    <row r="884" spans="1:26" ht="31.5" customHeight="1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</row>
    <row r="885" spans="1:26" ht="31.5" customHeight="1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</row>
    <row r="886" spans="1:26" ht="31.5" customHeight="1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</row>
    <row r="887" spans="1:26" ht="31.5" customHeight="1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</row>
    <row r="888" spans="1:26" ht="31.5" customHeight="1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</row>
    <row r="889" spans="1:26" ht="31.5" customHeight="1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</row>
    <row r="890" spans="1:26" ht="31.5" customHeight="1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</row>
    <row r="891" spans="1:26" ht="31.5" customHeight="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</row>
    <row r="892" spans="1:26" ht="31.5" customHeight="1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</row>
    <row r="893" spans="1:26" ht="31.5" customHeight="1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</row>
    <row r="894" spans="1:26" ht="31.5" customHeight="1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</row>
    <row r="895" spans="1:26" ht="31.5" customHeight="1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</row>
    <row r="896" spans="1:26" ht="31.5" customHeight="1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</row>
    <row r="897" spans="1:26" ht="31.5" customHeight="1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</row>
    <row r="898" spans="1:26" ht="31.5" customHeight="1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</row>
    <row r="899" spans="1:26" ht="31.5" customHeight="1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</row>
    <row r="900" spans="1:26" ht="31.5" customHeight="1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</row>
    <row r="901" spans="1:26" ht="31.5" customHeight="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</row>
    <row r="902" spans="1:26" ht="31.5" customHeight="1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</row>
    <row r="903" spans="1:26" ht="31.5" customHeight="1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</row>
    <row r="904" spans="1:26" ht="31.5" customHeight="1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</row>
    <row r="905" spans="1:26" ht="31.5" customHeight="1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</row>
    <row r="906" spans="1:26" ht="31.5" customHeight="1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</row>
    <row r="907" spans="1:26" ht="31.5" customHeight="1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</row>
    <row r="908" spans="1:26" ht="31.5" customHeight="1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</row>
    <row r="909" spans="1:26" ht="31.5" customHeight="1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</row>
    <row r="910" spans="1:26" ht="31.5" customHeight="1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</row>
    <row r="911" spans="1:26" ht="31.5" customHeight="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</row>
    <row r="912" spans="1:26" ht="31.5" customHeight="1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</row>
    <row r="913" spans="1:26" ht="31.5" customHeight="1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</row>
    <row r="914" spans="1:26" ht="31.5" customHeight="1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</row>
    <row r="915" spans="1:26" ht="31.5" customHeight="1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</row>
    <row r="916" spans="1:26" ht="31.5" customHeight="1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</row>
    <row r="917" spans="1:26" ht="31.5" customHeight="1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</row>
    <row r="918" spans="1:26" ht="31.5" customHeight="1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</row>
    <row r="919" spans="1:26" ht="31.5" customHeight="1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</row>
    <row r="920" spans="1:26" ht="31.5" customHeight="1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</row>
    <row r="921" spans="1:26" ht="31.5" customHeight="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</row>
    <row r="922" spans="1:26" ht="31.5" customHeight="1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</row>
    <row r="923" spans="1:26" ht="31.5" customHeight="1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</row>
    <row r="924" spans="1:26" ht="31.5" customHeight="1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</row>
    <row r="925" spans="1:26" ht="31.5" customHeight="1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</row>
    <row r="926" spans="1:26" ht="31.5" customHeight="1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</row>
    <row r="927" spans="1:26" ht="31.5" customHeight="1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</row>
    <row r="928" spans="1:26" ht="31.5" customHeight="1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</row>
    <row r="929" spans="1:26" ht="31.5" customHeight="1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</row>
    <row r="930" spans="1:26" ht="31.5" customHeight="1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</row>
    <row r="931" spans="1:26" ht="31.5" customHeight="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</row>
    <row r="932" spans="1:26" ht="31.5" customHeight="1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</row>
    <row r="933" spans="1:26" ht="31.5" customHeight="1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</row>
    <row r="934" spans="1:26" ht="31.5" customHeight="1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</row>
    <row r="935" spans="1:26" ht="31.5" customHeight="1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</row>
    <row r="936" spans="1:26" ht="31.5" customHeight="1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</row>
    <row r="937" spans="1:26" ht="31.5" customHeight="1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</row>
    <row r="938" spans="1:26" ht="31.5" customHeight="1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</row>
    <row r="939" spans="1:26" ht="31.5" customHeight="1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</row>
    <row r="940" spans="1:26" ht="31.5" customHeight="1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</row>
    <row r="941" spans="1:26" ht="31.5" customHeight="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</row>
    <row r="942" spans="1:26" ht="31.5" customHeight="1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</row>
    <row r="943" spans="1:26" ht="31.5" customHeight="1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</row>
    <row r="944" spans="1:26" ht="31.5" customHeight="1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</row>
    <row r="945" spans="1:26" ht="31.5" customHeight="1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</row>
    <row r="946" spans="1:26" ht="31.5" customHeight="1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</row>
    <row r="947" spans="1:26" ht="31.5" customHeight="1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</row>
    <row r="948" spans="1:26" ht="31.5" customHeight="1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</row>
    <row r="949" spans="1:26" ht="31.5" customHeight="1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</row>
    <row r="950" spans="1:26" ht="31.5" customHeight="1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</row>
    <row r="951" spans="1:26" ht="31.5" customHeight="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</row>
    <row r="952" spans="1:26" ht="31.5" customHeight="1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</row>
    <row r="953" spans="1:26" ht="31.5" customHeight="1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</row>
    <row r="954" spans="1:26" ht="31.5" customHeight="1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</row>
    <row r="955" spans="1:26" ht="31.5" customHeight="1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</row>
    <row r="956" spans="1:26" ht="31.5" customHeight="1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</row>
    <row r="957" spans="1:26" ht="31.5" customHeight="1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</row>
    <row r="958" spans="1:26" ht="31.5" customHeight="1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</row>
    <row r="959" spans="1:26" ht="31.5" customHeight="1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</row>
    <row r="960" spans="1:26" ht="31.5" customHeight="1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</row>
    <row r="961" spans="1:26" ht="31.5" customHeight="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</row>
    <row r="962" spans="1:26" ht="31.5" customHeight="1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</row>
    <row r="963" spans="1:26" ht="31.5" customHeight="1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</row>
    <row r="964" spans="1:26" ht="31.5" customHeight="1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</row>
    <row r="965" spans="1:26" ht="31.5" customHeight="1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</row>
    <row r="966" spans="1:26" ht="31.5" customHeight="1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</row>
    <row r="967" spans="1:26" ht="31.5" customHeight="1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</row>
    <row r="968" spans="1:26" ht="31.5" customHeight="1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</row>
    <row r="969" spans="1:26" ht="31.5" customHeight="1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</row>
    <row r="970" spans="1:26" ht="31.5" customHeight="1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</row>
    <row r="971" spans="1:26" ht="31.5" customHeight="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</row>
    <row r="972" spans="1:26" ht="31.5" customHeight="1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</row>
    <row r="973" spans="1:26" ht="31.5" customHeight="1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</row>
    <row r="974" spans="1:26" ht="31.5" customHeight="1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</row>
    <row r="975" spans="1:26" ht="31.5" customHeight="1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</row>
    <row r="976" spans="1:26" ht="31.5" customHeight="1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</row>
    <row r="977" spans="1:26" ht="31.5" customHeight="1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</row>
    <row r="978" spans="1:26" ht="31.5" customHeight="1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</row>
    <row r="979" spans="1:26" ht="31.5" customHeight="1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</row>
    <row r="980" spans="1:26" ht="31.5" customHeight="1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</row>
    <row r="981" spans="1:26" ht="31.5" customHeight="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</row>
    <row r="982" spans="1:26" ht="31.5" customHeight="1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</row>
    <row r="983" spans="1:26" ht="31.5" customHeight="1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</row>
    <row r="984" spans="1:26" ht="31.5" customHeight="1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</row>
    <row r="985" spans="1:26" ht="31.5" customHeight="1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</row>
    <row r="986" spans="1:26" ht="31.5" customHeight="1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</row>
    <row r="987" spans="1:26" ht="31.5" customHeight="1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</row>
    <row r="988" spans="1:26" ht="31.5" customHeight="1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</row>
    <row r="989" spans="1:26" ht="31.5" customHeight="1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</row>
    <row r="990" spans="1:26" ht="31.5" customHeight="1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</row>
    <row r="991" spans="1:26" ht="31.5" customHeight="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</row>
    <row r="992" spans="1:26" ht="31.5" customHeight="1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</row>
    <row r="993" spans="1:26" ht="31.5" customHeight="1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</row>
    <row r="994" spans="1:26" ht="31.5" customHeight="1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</row>
    <row r="995" spans="1:26" ht="31.5" customHeight="1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</row>
    <row r="996" spans="1:26" ht="31.5" customHeight="1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</row>
    <row r="997" spans="1:26" ht="31.5" customHeight="1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</row>
    <row r="998" spans="1:26" ht="31.5" customHeight="1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</row>
    <row r="999" spans="1:26" ht="31.5" customHeight="1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</row>
    <row r="1000" spans="1:26" ht="31.5" customHeight="1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</row>
  </sheetData>
  <mergeCells count="1">
    <mergeCell ref="A1:H1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2.5703125" defaultRowHeight="15" customHeight="1"/>
  <cols>
    <col min="1" max="26" width="8.5703125" customWidth="1"/>
  </cols>
  <sheetData>
    <row r="1" spans="1:3">
      <c r="A1" s="123" t="s">
        <v>741</v>
      </c>
      <c r="B1" s="123" t="s">
        <v>69</v>
      </c>
      <c r="C1" s="123" t="s">
        <v>76</v>
      </c>
    </row>
    <row r="2" spans="1:3">
      <c r="A2" s="123" t="s">
        <v>64</v>
      </c>
      <c r="B2" s="123">
        <f>COUNTIF(ATIVOS!Y3:Y908,"FAVORÁVEL")</f>
        <v>4</v>
      </c>
      <c r="C2" s="123">
        <f>COUNTIF(ATIVOS!Y3:Y908,"DESFAVORÁVEL")</f>
        <v>18</v>
      </c>
    </row>
    <row r="3" spans="1:3">
      <c r="A3" s="123" t="s">
        <v>65</v>
      </c>
      <c r="B3" s="123">
        <f>COUNTIF(ATIVOS!AC3:AC908,"FAVORÁVEL")</f>
        <v>7</v>
      </c>
      <c r="C3" s="123">
        <f>COUNTIF(ATIVOS!AC3:AC908,"DESFAVORÁVEL")</f>
        <v>11</v>
      </c>
    </row>
    <row r="4" spans="1:3">
      <c r="A4" s="123" t="s">
        <v>85</v>
      </c>
      <c r="B4" s="123">
        <f>COUNTIF(ATIVOS!AH3:AH908,"FAVORÁVEL")</f>
        <v>3</v>
      </c>
      <c r="C4" s="123">
        <f>COUNTIF(ATIVOS!AH3:AH908,"DESFAVORÁVEL")</f>
        <v>1</v>
      </c>
    </row>
    <row r="7" spans="1:3">
      <c r="A7" s="123" t="s">
        <v>729</v>
      </c>
      <c r="B7" s="123" t="s">
        <v>742</v>
      </c>
    </row>
    <row r="8" spans="1:3">
      <c r="A8" s="123" t="s">
        <v>68</v>
      </c>
      <c r="B8" s="123">
        <f>COUNTIF(ENCERRADOS!E3:E896,"IMPROCEDÊNCIA")</f>
        <v>6</v>
      </c>
    </row>
    <row r="9" spans="1:3">
      <c r="A9" s="123" t="s">
        <v>743</v>
      </c>
      <c r="B9" s="123">
        <f>COUNTIF(ENCERRADOS!E3:E896,"AUSÊNCIA DO RECLAMANTE EM AUDIÊNCIA")+COUNTIF(ENCERRADOS!E3:E896,"DESISTÊNCIA DA AÇÃO")+COUNTIF(ENCERRADOS!E3:E896,"INICIAL INDEFERIDA")+COUNTIF(ENCERRADOS!E3:E896,"RECLAMANTE DESCONHECE ESCRITÓRIO")+COUNTIF(ENCERRADOS!E3:E896,"TROCA DE PATROCÍNIO")</f>
        <v>1</v>
      </c>
    </row>
    <row r="10" spans="1:3">
      <c r="A10" s="123" t="s">
        <v>71</v>
      </c>
      <c r="B10" s="123">
        <f>COUNTIF(ENCERRADOS!E3:E896,"ACORDO ENTRE AS PARTES")</f>
        <v>17</v>
      </c>
    </row>
    <row r="11" spans="1:3">
      <c r="A11" s="123" t="s">
        <v>72</v>
      </c>
      <c r="B11" s="123">
        <f>COUNTA(ATIVOS!C3:C908)</f>
        <v>34</v>
      </c>
    </row>
    <row r="12" spans="1:3">
      <c r="A12" s="123" t="s">
        <v>75</v>
      </c>
      <c r="B12" s="123">
        <f>COUNTIF(ENCERRADOS!E3:E896,"EXECUÇÃO FINALIZADA")</f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ATIVOS</vt:lpstr>
      <vt:lpstr>ENCERRADOS</vt:lpstr>
      <vt:lpstr>PROCEDIMENTO ADMINISTRATIVO</vt:lpstr>
      <vt:lpstr>_ChartData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Samany Cutrim</dc:creator>
  <cp:lastModifiedBy>Samany Cutrim</cp:lastModifiedBy>
  <dcterms:created xsi:type="dcterms:W3CDTF">2026-03-18T17:37:32Z</dcterms:created>
  <dcterms:modified xsi:type="dcterms:W3CDTF">2026-04-27T01:21:54Z</dcterms:modified>
</cp:coreProperties>
</file>