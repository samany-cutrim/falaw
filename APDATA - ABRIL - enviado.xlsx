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RABALHISTA" sheetId="2" r:id="rId5"/>
    <sheet state="visible" name="PROCEDIMENTOS ADM" sheetId="3" r:id="rId6"/>
    <sheet state="visible" name="ARQUIVADOS " sheetId="4" r:id="rId7"/>
  </sheets>
  <definedNames/>
  <calcPr/>
  <extLst>
    <ext uri="GoogleSheetsCustomDataVersion2">
      <go:sheetsCustomData xmlns:go="http://customooxmlschemas.google.com/" r:id="rId8" roundtripDataChecksum="cqkRjoRTyY2cykct0WPyx8dTMVkC6Ew3nN103oPCCmQ="/>
    </ext>
  </extLst>
</workbook>
</file>

<file path=xl/sharedStrings.xml><?xml version="1.0" encoding="utf-8"?>
<sst xmlns="http://schemas.openxmlformats.org/spreadsheetml/2006/main" count="350" uniqueCount="246">
  <si>
    <t>RELATÓRIO MENSAL  |  ABRIL/2026</t>
  </si>
  <si>
    <t>PROCESSOS ATIVOS</t>
  </si>
  <si>
    <t>EXPOSIÇÃO TOTAL</t>
  </si>
  <si>
    <t>PROCESSOS ENCERRADOS</t>
  </si>
  <si>
    <t>TAXA DE ÊXITO</t>
  </si>
  <si>
    <t>em andamento</t>
  </si>
  <si>
    <t>valor da causa</t>
  </si>
  <si>
    <t>no período</t>
  </si>
  <si>
    <t>casos favoráveis</t>
  </si>
  <si>
    <t>▎ ANÁLISE DE RISCO DOS PROCESSOS ATIVOS</t>
  </si>
  <si>
    <t>▎ DISTRIBUIÇÃO POR RISCO</t>
  </si>
  <si>
    <t>PROCESSO</t>
  </si>
  <si>
    <t>RECLAMANTE</t>
  </si>
  <si>
    <t>VALOR (R$)</t>
  </si>
  <si>
    <t>RISCO</t>
  </si>
  <si>
    <t>FASE ATUAL</t>
  </si>
  <si>
    <t>CLASSIFICAÇÃO</t>
  </si>
  <si>
    <t>QTD</t>
  </si>
  <si>
    <t>% DO TOTAL</t>
  </si>
  <si>
    <t>1001078-03.2024.5.02.0030</t>
  </si>
  <si>
    <t>GLEICE S. O. SOUZA</t>
  </si>
  <si>
    <t>PROVÁVEL</t>
  </si>
  <si>
    <t>Recurso de Revista / TST</t>
  </si>
  <si>
    <t>● PROVÁVEL</t>
  </si>
  <si>
    <t>1001957-28.2024.5.02.0606</t>
  </si>
  <si>
    <t>TELMA S. O. DOS SANTOS</t>
  </si>
  <si>
    <t>POSSÍVEL</t>
  </si>
  <si>
    <t>Aguardando 2º Grau</t>
  </si>
  <si>
    <t>● POSSÍVEL</t>
  </si>
  <si>
    <t>1001141-91.2025.5.02.0612</t>
  </si>
  <si>
    <t>CAROLLINY B. VIEIRA</t>
  </si>
  <si>
    <t>● REMOTO</t>
  </si>
  <si>
    <t>1000957-91.2025.5.02.0077</t>
  </si>
  <si>
    <t>ANTONIO D. M. DA SILVA</t>
  </si>
  <si>
    <t>REMOTO</t>
  </si>
  <si>
    <t>Aguardando Arquivamento</t>
  </si>
  <si>
    <t>TOTAL</t>
  </si>
  <si>
    <t>1000436-74.2026.5.02.0607</t>
  </si>
  <si>
    <t>ROSIMEIRE S. MARTINS</t>
  </si>
  <si>
    <t>Audiência Una 23/04/2026</t>
  </si>
  <si>
    <t>0010391-37.2026.5.15.0106</t>
  </si>
  <si>
    <t>CATIA CILENE AIELLO</t>
  </si>
  <si>
    <t>Audiência Inicial 29/07/2026</t>
  </si>
  <si>
    <t>▎ PROCEDIMENTOS ADMINISTRATIVOS</t>
  </si>
  <si>
    <t>DESCRIÇÃO</t>
  </si>
  <si>
    <t>ÓRGÃO</t>
  </si>
  <si>
    <t>CIDADE</t>
  </si>
  <si>
    <t>STATUS</t>
  </si>
  <si>
    <t>RESULTADO</t>
  </si>
  <si>
    <t>14152.083144/2025-21</t>
  </si>
  <si>
    <t>Auto de infração - Menor Aprendiz</t>
  </si>
  <si>
    <t>MTE</t>
  </si>
  <si>
    <t>São Paulo</t>
  </si>
  <si>
    <t>Defesa Apresentada</t>
  </si>
  <si>
    <t>Aguardando Decisão</t>
  </si>
  <si>
    <t>▎ PROCESSOS ARQUIVADOS / ENCERRADOS</t>
  </si>
  <si>
    <t>▎ INDICADORES-CHAVE</t>
  </si>
  <si>
    <t>ENCERRAMENTO</t>
  </si>
  <si>
    <t>DESFECHO</t>
  </si>
  <si>
    <t>VALORES (R$)</t>
  </si>
  <si>
    <t>1000562-20.2023.5.02.0611</t>
  </si>
  <si>
    <t>SANDRA C. DA SILVA</t>
  </si>
  <si>
    <t>dez/23</t>
  </si>
  <si>
    <t>Acordo</t>
  </si>
  <si>
    <t>TOTAL DE PROCESSOS GERIDOS</t>
  </si>
  <si>
    <t>1000920-22.2022.5.02.0610</t>
  </si>
  <si>
    <t>LILIANE V. DOS REIS</t>
  </si>
  <si>
    <t>out/22</t>
  </si>
  <si>
    <t>ativos + encerrados</t>
  </si>
  <si>
    <t>1001872-61.2023.5.02.0611</t>
  </si>
  <si>
    <t>GENEZINA C. DA SILVA</t>
  </si>
  <si>
    <t>abr/24</t>
  </si>
  <si>
    <t>Arquivado</t>
  </si>
  <si>
    <t>1001707-41.2023.5.02.0602</t>
  </si>
  <si>
    <t>MAICON F. DE OLIVEIRA</t>
  </si>
  <si>
    <t>mai/24</t>
  </si>
  <si>
    <t>VALOR TOTAL EM ACORDOS</t>
  </si>
  <si>
    <t>1002282-94.2024.5.02.0608</t>
  </si>
  <si>
    <t>TAMIRIS O. RAMOS</t>
  </si>
  <si>
    <t>Acordo Extrajudicial</t>
  </si>
  <si>
    <t>pagos em acordos judiciais</t>
  </si>
  <si>
    <t>0001196-10.2024.5.09.0124</t>
  </si>
  <si>
    <t>ERALDO N. G. JUNIOR</t>
  </si>
  <si>
    <t>Acordo (Exclusão Apdata)</t>
  </si>
  <si>
    <t>1002139-63.2024.5.02.0040</t>
  </si>
  <si>
    <t>TEMPO MÉDIO DE RESOLUÇÃO</t>
  </si>
  <si>
    <t>~18 meses</t>
  </si>
  <si>
    <t>1000410-32.2025.5.02.0051</t>
  </si>
  <si>
    <t>mai/25</t>
  </si>
  <si>
    <t>Extinção s/ Mérito</t>
  </si>
  <si>
    <t>estimativa média dos processos encerrados</t>
  </si>
  <si>
    <t>1001516-86.2025.5.02.0614</t>
  </si>
  <si>
    <t>MIKAELLA A. M. DA SILVA</t>
  </si>
  <si>
    <t>set/25</t>
  </si>
  <si>
    <t>Condenação (Multa 477)</t>
  </si>
  <si>
    <t>TOTAL PAGAMENTOS</t>
  </si>
  <si>
    <t>RISCO PREDOMINANTE</t>
  </si>
  <si>
    <t>3 de 6 processos ativos</t>
  </si>
  <si>
    <t>CONDENAÇÕES EFETIVAS</t>
  </si>
  <si>
    <t>multa art. 477 CLT — R$ 4.599,38</t>
  </si>
  <si>
    <t>▎ PRINCIPAIS PEDIDOS RECORRENTES</t>
  </si>
  <si>
    <t>▎ STATUS / PRÓXIMOS PASSOS</t>
  </si>
  <si>
    <t>PEDIDO</t>
  </si>
  <si>
    <t>OCORRÊNCIAS</t>
  </si>
  <si>
    <t>FREQUÊNCIA</t>
  </si>
  <si>
    <t>STATUS / PRÓXIMA AÇÃO</t>
  </si>
  <si>
    <t>Horas Extras e Reflexos</t>
  </si>
  <si>
    <t>⏳</t>
  </si>
  <si>
    <t>1001078-03...0030</t>
  </si>
  <si>
    <t>Sobrestado — Aguardando IRR nº 33 no TST</t>
  </si>
  <si>
    <t>Responsabilidade Subsidiária/Solidária</t>
  </si>
  <si>
    <t>1001957-28...0606</t>
  </si>
  <si>
    <t>Recurso Ordinário — Aguardando 2º Grau</t>
  </si>
  <si>
    <t>Verbas Rescisórias</t>
  </si>
  <si>
    <t>1001141-91...0612</t>
  </si>
  <si>
    <t>Recurso Ordinário — 11ª Turma TRT-2</t>
  </si>
  <si>
    <t>Adicional de Insalubridade/Periculosidade</t>
  </si>
  <si>
    <t>1000957-91...0077</t>
  </si>
  <si>
    <t>Arquivamento — Ausência do Reclamante</t>
  </si>
  <si>
    <t>Danos Morais</t>
  </si>
  <si>
    <t>1000436-74...0607</t>
  </si>
  <si>
    <t>Audiência Una em 23/04/2026</t>
  </si>
  <si>
    <t>Rescisão Indireta</t>
  </si>
  <si>
    <t>0010391-37...0106</t>
  </si>
  <si>
    <t>Audiência Inicial em 29/07/2026</t>
  </si>
  <si>
    <t>Nulidade Banco de Horas</t>
  </si>
  <si>
    <t>▎ DECISÕES JUDICIAIS POR INSTÂNCIA</t>
  </si>
  <si>
    <t>▎ EVOLUÇÃO PROCESSUAL</t>
  </si>
  <si>
    <t>INSTÂNCIA</t>
  </si>
  <si>
    <t>FAVORÁVEL</t>
  </si>
  <si>
    <t>DESFAVORÁVEL</t>
  </si>
  <si>
    <t>PENDENTE</t>
  </si>
  <si>
    <t>VALOR PAGO (R$)</t>
  </si>
  <si>
    <t>1º Grau</t>
  </si>
  <si>
    <t>Improcedência</t>
  </si>
  <si>
    <t>2º Grau</t>
  </si>
  <si>
    <t>Em Andamento</t>
  </si>
  <si>
    <t>Condenação</t>
  </si>
  <si>
    <t>N/A</t>
  </si>
  <si>
    <t>Favorável</t>
  </si>
  <si>
    <t>Desfavorável</t>
  </si>
  <si>
    <t>Status</t>
  </si>
  <si>
    <t>APDATA DO BRASIL  •  Relatório Contencioso Jurídico  •  Base: Março/2026  •  Confidencial</t>
  </si>
  <si>
    <t>PROCESSOS JUDICIAIS TRABALHISTAS</t>
  </si>
  <si>
    <t>PROCESSO Nº</t>
  </si>
  <si>
    <t>JUÍZO</t>
  </si>
  <si>
    <t>DATA DE INSTAURAÇÃO</t>
  </si>
  <si>
    <t>PARTES ENVOLVIDAS</t>
  </si>
  <si>
    <t xml:space="preserve">VALOR </t>
  </si>
  <si>
    <t>PRINCIPAIS FATOS</t>
  </si>
  <si>
    <t>RISCO DE PERDA</t>
  </si>
  <si>
    <t>STATUS MENSAL</t>
  </si>
  <si>
    <t>OBS</t>
  </si>
  <si>
    <t>RECLAMADA</t>
  </si>
  <si>
    <t>7ª VARA DO TRABALHO DE SÃO PAULO - ZONA LESTE</t>
  </si>
  <si>
    <t xml:space="preserve">TRT 2ª REGIÃO </t>
  </si>
  <si>
    <r>
      <rPr>
        <rFont val="Avenir"/>
        <color theme="1"/>
        <sz val="8.0"/>
      </rPr>
      <t xml:space="preserve">CENTRO SANEAMENTO E SERVICOS AVANCADOS LTDA (1ª RECLAMADA); ASSOCIACAO DOS LOJISTAS DO SHOPPING JARDIM ANALIA FRANCO (2ª RECLAMADA); HOSPITAL AVICCENA S/A (3ª RECLAMADA); SAO PAULO FUTEBOL CLUBE (4ª RECLAMADA); SHOPPING CENTER LESTE COMERCIAL LIMITADA (5ª RECLAMADA) E </t>
    </r>
    <r>
      <rPr>
        <rFont val="Avenir Next LT Pro"/>
        <b/>
        <color theme="1"/>
        <sz val="8.0"/>
      </rPr>
      <t>APDATA DO BRASIL SOFTWARE LTDA (6ª RECLAMADA)</t>
    </r>
    <r>
      <rPr>
        <rFont val="Avenir Next LT Pro"/>
        <color theme="1"/>
        <sz val="8.0"/>
      </rPr>
      <t>.</t>
    </r>
  </si>
  <si>
    <t>GLEICE STEFANE OLIVEIRA SOUZA</t>
  </si>
  <si>
    <t>Trata-se de reclamação trabalhista ajuizada pela reclamante em face da empresa Centro Saneamentos, com responsabilidade subsidiária atribuída às tomadoras de serviços (Shopping Anália Franco, Hospital Central do Tatuapé – Aviccena, Estádio Morumbi, Shopping Aricanduva e Apdata). Na ação, a reclamante formula pedidos de: Pagamento de horas extras e reflexos; Remuneração pelo intervalo intrajornada suprimido; Diferenças de FGTS + 40%; Indenização de PLR não paga; Aplicação de multas normativas por descumprimento de convenções coletivas; Devolução de descontos indevidos de contribuição assistencial; Pagamento de adicional de insalubridade e periculosidade; Devolução de descontos indevidos em razão de faltas justificadas; Indenização por danos morais decorrentes de perseguições e humilhações sofridas; Reconhecimento da rescisão indireta do contrato de trabalho; Anotação/retificação da CTPS e entrega do PPP; Condenação das reclamadas em honorários advocatícios; e responsabilização subsidiária das tomadoras de serviços. Em síntese, a ação busca a rescisão indireta com o pagamento das verbas rescisórias, indenizações e demais direitos trabalhistas não adimplidos.</t>
  </si>
  <si>
    <r>
      <rPr>
        <rFont val="Avenir"/>
        <color theme="1"/>
        <sz val="8.0"/>
      </rPr>
      <t xml:space="preserve">Na audiência inaugural foi determinada a realização de perícia para apuração de insalubridade, tendo as partes apresentado seus quesitos. O laudo pericial concluiu pela existência de insalubridade em grau máximo (40%). Foram apresentadas impugnações ao laudo. Na audiência de instrução, procedeu-se à oitiva das partes, não havendo produção de prova testemunhal. Em seguida, ambas as partes apresentaram razões finais. Em 08/07/2025, foi prolatada sentença pela juíza Priscila Basilio Minikoski Aldinucci, que julgou parcialmente procedentes os pedidos formulados pelo reclamante, declarando: a responsabilidade subsidiária da 5ª e da 6ª reclamadas; o reconhecimento da rescisão indireta; o pagamento das verbas rescisórias (saldo de salário, aviso prévio, férias, 13º salário e indenização de 40% sobre o FGTS); adicional de insalubridade; PLR referente aos anos de 2022 e 2023; multa normativa. O valor da condenação foi fixado em R$ 20.000,00. A 1ª reclamada interpôs recurso ordinário, tendo o reclamante apresentado contrarrazões. O processo encontra-se aguardando distribuição no 2º grau para julgamento do recurso ordinário. O processo foi distribuído à 8ª Turma, sob relatoria da desembargadora Cynthia Gomes Rosa. Em 02/12/2025, foi proferido acórdão que manteve integralmente a sentença de 1º grau. A 1ª reclamada interpôs recurso de revista. </t>
    </r>
    <r>
      <rPr>
        <rFont val="Avenir Next LT Pro"/>
        <b/>
        <color theme="1"/>
        <sz val="8.0"/>
      </rPr>
      <t xml:space="preserve">Em 09/02/2026, foi publicada decisão determinando o sobrestamento do processo, considerando que o recurso de revista interposto pela 1ª reclamada versa sobre o tema objeto do IRR nº 33.
</t>
    </r>
    <r>
      <rPr>
        <rFont val="Avenir Next LT Pro"/>
        <color theme="1"/>
        <sz val="8.0"/>
      </rPr>
      <t xml:space="preserve">
</t>
    </r>
  </si>
  <si>
    <t xml:space="preserve">Conforme informado por e-mail em 19/09/2024, o caso foi classificado com risco provável, em razão do pedido de responsabilidade subsidiária.
Os cálculos liquidados perfazem o montante de R$ 18.937,66, na data-base de 30/09/2024. Para fins de estimativa de eventual condenação subsidiária, foram considerados os pedidos de verbas rescisórias e indenização por danos morais.
</t>
  </si>
  <si>
    <t>6ª VARA DO TRABALHO DE SÃO PAULO - ZONA LESTE</t>
  </si>
  <si>
    <r>
      <rPr>
        <rFont val="Avenir"/>
        <color theme="1"/>
        <sz val="8.0"/>
      </rPr>
      <t>CENTRO SANEAMENTO E SERVICOS AVANCADOS LTDA (1ª RECLAMADA); CONDOMINIO COMERCIAL SHOPPING PATIO HIGIENOPOLIS (2ª RECLAMADA); WEBEDIA INTERNET BRASIL S.A.                                                                                                                           (3ª RECLAMADA) E</t>
    </r>
    <r>
      <rPr>
        <rFont val="Avenir Next LT Pro"/>
        <b/>
        <color theme="1"/>
        <sz val="8.0"/>
      </rPr>
      <t xml:space="preserve"> APDATA DO BRASIL SOFTWARE LTDA (4ª RECLAMADA)</t>
    </r>
    <r>
      <rPr>
        <rFont val="Avenir Next LT Pro"/>
        <color theme="1"/>
        <sz val="8.0"/>
      </rPr>
      <t>.</t>
    </r>
  </si>
  <si>
    <t>TELMA DE SOUZA OLIVEIRA DOS SANTOS</t>
  </si>
  <si>
    <r>
      <rPr>
        <rFont val="Avenir Next LT Pro"/>
        <color rgb="FF000000"/>
        <sz val="8.0"/>
      </rPr>
      <t>R$ 250.205,78</t>
    </r>
  </si>
  <si>
    <t xml:space="preserve">Trata-se de reclamação trabalhista ajuizada pela reclamante em face da empresa Centro Saneamento, com responsabilidade subsidiária atribuída às tomadoras de serviços Shopping Pátio Higienópolis, Webdia e Apdata. Na ação, a reclamante formula pedidos de: reconhecimento da rescisão indireta do contrato de trabalho; pagamento das verbas rescisórias (saldo de salário, aviso prévio, férias proporcionais + 1/3, 13º salário proporcional, FGTS + 40% e seguro-desemprego); diferenças salariais pelo não recebimento de salário substituição durante cobertura de férias de encarregada; adicional por acúmulo de funções, estimado em 30% da remuneração, com reflexos em demais verbas; pagamento de adicional de insalubridade em grau máximo, com reflexos e entrega de PPP/LTCAT; pagamento de adicional de periculosidade e suas integrações; reconhecimento da responsabilidade subsidiária das tomadoras de serviços; anotação/baixa na CTPS e obrigação de fazer quanto às guias de FGTS e seguro-desemprego; concessão da gratuidade da justiça. Em síntese, a ação busca a rescisão indireta do contrato, o pagamento integral das verbas rescisórias, indenizações e adicionais decorrentes de irregularidades contratuais e condições de trabalho insalubres, além da responsabilização subsidiária das empresas tomadoras dos serviços.
</t>
  </si>
  <si>
    <r>
      <rPr>
        <rFont val="Avenir"/>
        <color theme="1"/>
        <sz val="8.0"/>
      </rPr>
      <t>Na audiência inaugural foi determinada a realização de perícia para apuração de insalubridade e periculosidade, tendo as partes apresentado seus quesitos. O laudo pericial concluiu pela inexistência de insalubridade e periculosidade, sendo posteriormente apresentadas impugnações. Na audiência de instrução, procedeu-se à oitiva das partes. A reclamante apresentou como testemunha Maria Nunes do Nascimento, única testemunha ouvida, não havendo outras. Nenhuma das reclamadas apresentou testemunhas. Em seguida, ambas as partes apresentaram razões finais. Em 19/03/2025, foi prolatada sentença pelo juiz Ivo Roberto Santarém Teles, que julgou improcedentes os pedidos formulados pela reclamante. A reclamante interpôs recurso ordinário, tendo as reclamadas apresentado contrarrazões. O processo encontra-se atualmente aguardando distribuição no 2º grau para julgamento do recurso ordinário. O processo foi distribuído para a 14ª Turma, sob a relatoria do Desembargador Ricardo Nino Ballarini. Em 09/06/2025, foi publicado acórdão que deu parcial provimento ao recurso da reclamante, reformando a sentença de origem e julgando parcialmente procedentes os pedidos. A reclamada opôs embargos de declaração, posteriormente rejeitados em acórdão publicado em 12/08/2025.
Na sequência, a 1ª reclamada interpôs recurso de revista, cujo seguimento foi denegado em decisão publicada em 13/10/2025. Contra essa decisão, a 1ª reclamada apresentou agravo de instrumento.</t>
    </r>
    <r>
      <rPr>
        <rFont val="Avenir"/>
        <b/>
        <color theme="1"/>
        <sz val="8.0"/>
      </rPr>
      <t xml:space="preserve"> Distribuído no TST para a 7ª Turma, sob a relatoria do Ministro José Pedro de Camargo Rodrigues de Souza, encontrando-se o processo atualmente aguardando julgamento do referido agravo.</t>
    </r>
  </si>
  <si>
    <t>12ª VARA DO TRABALHO DE SÃO PAULO - ZONA LESTE</t>
  </si>
  <si>
    <r>
      <rPr>
        <rFont val="Avenir"/>
        <color theme="1"/>
        <sz val="8.0"/>
      </rPr>
      <t xml:space="preserve">HR INOVE MAO DE OBRA TEMPORARIA LTDA  - ME (1ª RECLAMADA); LIFE RECURSOS HUMANOS LTDA (2ª RECLAMADA) E </t>
    </r>
    <r>
      <rPr>
        <rFont val="Avenir Next LT Pro"/>
        <b/>
        <color theme="1"/>
        <sz val="8.0"/>
      </rPr>
      <t>APDATA DO BRASIL SOFTWARE LTDA (3ª RECLAMADA)</t>
    </r>
  </si>
  <si>
    <t>CAROLLINY BARCELONI VIEIRA</t>
  </si>
  <si>
    <t>Trata-se de reclamação trabalhista ajuizada pela reclamante em face das empresas HR I/nove, Life Recursos e Apdata. Na ação, a reclamante formula pedidos de: reconhecimento da unicidade contratual e do vínculo direto com a Apdata, desde 16/12/2021 até 01/08/2023, com responsabilidade solidária das demais reclamadas; pagamento de horas extras habituais, com reflexos em férias, 13º salário, FGTS + 40% e demais verbas, além da nulidade de eventual banco de horas; indenização por atraso no pagamento do salário-maternidade prorrogado; indenização por danos morais e assédio moral, em razão de condutas abusivas e humilhantes sofridas no ambiente de trabalho; pagamento das verbas rescisórias decorrentes da dispensa sem justa causa (saldo de salário, aviso prévio, férias proporcionais + 1/3, 13º proporcional, FGTS + 40% e seguro-desemprego); concessão da justiça gratuita; condenação ao pagamento de honorários de sucumbência; aplicação de correção monetária pelo IPCA-E e juros de mora; regularização dos recolhimentos previdenciários e fiscais. Em síntese, a ação busca o reconhecimento do vínculo direto com a tomadora de serviços, a reparação por irregularidades contratuais e abusos sofridos, além do pagamento integral das verbas trabalhistas e indenizatórias.</t>
  </si>
  <si>
    <r>
      <rPr>
        <rFont val="Avenir"/>
        <color theme="1"/>
        <sz val="8.0"/>
      </rPr>
      <t xml:space="preserve">Na audiência instrutória, procedeu-se à oitiva das partes. A reclamante apresentou como testemunha Cleber Teles Camargo, enquanto a Apdata apresentou como testemunha Katia Alves da Silva. Em seguida, ambas as partes apresentaram razões finais. Em 25/10/2025, foi prolatada sentença pela juíza Bartira Barros Salmom de Souza, que julgou parcialmente procedentes os pedidos formulados pela reclamante, declarando: o vínculo empregatício com a 1ª reclamada no período de 16/12/2021 a 01/08/2023; a responsabilidade solidária da 2ª e 3ª reclamadas no pagamento de indenização por danos morais; a condenação da Apdata à anotação da CTPS da reclamante. O valor da condenação foi fixado em R$ 7.746,79. A Apdata interpôs recurso ordinário, tendo a reclamante apresentado contrarrazões. </t>
    </r>
    <r>
      <rPr>
        <rFont val="Avenir Next LT Pro"/>
        <b/>
        <color theme="1"/>
        <sz val="8.0"/>
      </rPr>
      <t>O processo foi distribuído ao 2º grau, para a 11ª Turma, sob relatoria do desembargador Waldir dos Santos Ferro, encontrando-se atualmente aguardando julgamento do recurso ordinário.</t>
    </r>
  </si>
  <si>
    <t>Conforme informado por e-mail em 19/09/2025, o caso foi classificado com risco provável, em razão do pedido de responsabilidade subsidiária.
A reclamante alega que era compelida a laborar além da jornada, especialmente em períodos de fechamento de folha de pagamento, chegando a trabalhar até 21h30 e, em média, duas vezes por semana até 23h00. Sustenta que não houve o devido pagamento das horas extras, bem como a ocorrência de fraude no controle de ponto. Alega ainda a prática de assédio moral por sua coordenadora e atraso no pagamento do salário-maternidade. Postula a nulidade do banco de horas, aplicação de multa pelo atraso no pagamento do salário-maternidade e afirma que recebia ordens e atuava como preposta da 3ª reclamada.</t>
  </si>
  <si>
    <t xml:space="preserve">77ª VARA DO TRABALHO DE SÃO PAULO </t>
  </si>
  <si>
    <t>APDATA DO BRASIL SOFTWARE LTDA</t>
  </si>
  <si>
    <t>ANTONIO DONIZETE MARIANO DA SILVA</t>
  </si>
  <si>
    <t>R$ 81.130,20</t>
  </si>
  <si>
    <t xml:space="preserve">Trata-se de reclamação trabalhista ajuizada pelo reclamante em face da reclamada. Na ação, o reclamante formula pedidos de: reconhecimento do desvio de função, pois contratado como porteiro passou a exercer também atividades de vigilante sem a devida contraprestação; pagamento das diferenças salariais decorrentes do desvio de função, com reflexos em férias + 1/3, 13º salário, FGTS + 40% e verbas rescisórias; pagamento do adicional de periculosidade pelo exercício da função de vigilante, com reflexos em férias, 13º salário e FGTS + 40%; retificação da CTPS para constar corretamente a função exercida; condenação da reclamada ao pagamento de honorários advocatícios; responsabilização da reclamada pelos recolhimentos previdenciários e fiscais; aplicação da correção monetária desde o mês da prestação dos serviços; tramitação pelo Juízo 100% digital e intimação pessoal do autor para audiência.  Em síntese, a ação busca o reconhecimento do desvio de função e o pagamento das diferenças salariais e adicionais devidos, além das verbas rescisórias, reflexos legais e indenizações correspondentes.
</t>
  </si>
  <si>
    <t>Em audiência realizada em 15/09/2025, foi determinado o arquivamento dos autos, em razão da ausência injustificada da parte reclamante. O processo encontra-se atualmente aguardando o arquivamento definitivo.</t>
  </si>
  <si>
    <t>ROSIMEIRE SOUZA MARTINS</t>
  </si>
  <si>
    <t xml:space="preserve">Trata-se de reclamação trabalhista ajuizada pela reclamante em face da reclamada. Na ação, a reclamante formula pedidos de: concessão dos benefícios da justiça gratuita, com alegação de inconstitucionalidade dos arts. 790-B, 791-A §§3º e 4º e 844 da CLT; reconhecimento do vínculo contratual como Analista de Suporte Técnico de 20/02/2021 a 01/03/2024, com salário de R$ 3.305,02; pagamento de horas extras habituais (em média 40 minutos a 1h adicional, três vezes por semana), com adicionais previstos em norma coletiva (75% e 100%), e reflexos em férias + 1/3, 13º salário, FGTS + 40%, aviso prévio e DSR; declaração de nulidade do banco de horas, por ausência de transparência e descumprimento da convenção coletiva, com conversão em horas extras remuneradas; pagamento de adicional de periculosidade de 30% sobre a remuneração, em razão da exposição contínua a tanques de óleo diesel (cerca de 2.000 litros) em gerador instalado no prédio, com reflexos em todas as verbas salariais e rescisórias; emissão da guia PPP (Perfil Profissiográfico Previdenciário); condenação da reclamada ao pagamento de custas, honorários advocatícios e encargos legais. Em síntese, a ação busca o reconhecimento de irregularidades na jornada e no banco de horas, o pagamento de horas extras e adicional de periculosidade, além da concessão da justiça gratuita e indenizações decorrentes.
</t>
  </si>
  <si>
    <t>Foi designada audiência una para o dia 23/04/2026, às 08h00.</t>
  </si>
  <si>
    <t xml:space="preserve">CON1 - ARARAQUARA
</t>
  </si>
  <si>
    <t xml:space="preserve">TRT 15ª REGIÃO </t>
  </si>
  <si>
    <r>
      <rPr>
        <rFont val="Avenir Next LT Pro"/>
        <b/>
        <color theme="1"/>
        <sz val="8.0"/>
      </rPr>
      <t xml:space="preserve">APDATA DO BRASIL SOFTWARE LTDA (1ª RECLAMADA) </t>
    </r>
    <r>
      <rPr>
        <rFont val="Avenir Next LT Pro"/>
        <color theme="1"/>
        <sz val="8.0"/>
      </rPr>
      <t>E SERASA S/A (2ª RECLAMADA)</t>
    </r>
  </si>
  <si>
    <t xml:space="preserve">Trata-se de reclamação trabalhista ajuizada pela reclamante em face da empresa Apdata, com responsabilidade subsidiária atribuída à Serasa. Na ação, a reclamante formula pedidos de: reconhecimento da jornada extraordinária habitual, com pagamento de horas extras, adicionais noturnos e diferenças de intervalos intrajornada e interjornada, com reflexos em férias + 1/3, 13º salários, aviso prévio, DSR, FGTS + 40%; declaração de nulidade do banco de horas, por manipulação dos registros de ponto e ausência de compensação efetiva; indenização por dispensa discriminatória, ocorrida logo após afastamento médico por crises de ansiedade e pânico, configurando violação da Súmula 443 do TST e da Lei nº 9.029/95; indenização por danos morais, em razão de jornadas exaustivas, supressão do direito à desconexão, exposição indevida em grupo de colegas e agravamento de quadro de saúde; responsabilização das reclamadas pelo pagamento das verbas trabalhistas e indenizatórias; concessão da justiça gratuita e inversão do ônus da prova quanto aos controles de jornada. Em síntese, a ação busca reparação por excesso de jornada, manipulação de ponto, nulidade do banco de horas, reconhecimento da dispensa discriminatória e indenização por danos morais, além do pagamento integral das verbas trabalhistas devidas.
</t>
  </si>
  <si>
    <t xml:space="preserve">Foi designada audiência inicial por videoconferência para o dia 29/07/2026, às 09h10.
</t>
  </si>
  <si>
    <t>PROCESSO ADMINISTRATIVO</t>
  </si>
  <si>
    <t xml:space="preserve">NÚMERO DO PROCESSO </t>
  </si>
  <si>
    <t>Assunto</t>
  </si>
  <si>
    <t xml:space="preserve">AÇÃO </t>
  </si>
  <si>
    <t xml:space="preserve">CONTRÁRIO PRINCIPAL </t>
  </si>
  <si>
    <t xml:space="preserve">CIDADE </t>
  </si>
  <si>
    <t>VARA/TURMA</t>
  </si>
  <si>
    <t>DEFESA APRESENTADA</t>
  </si>
  <si>
    <t xml:space="preserve">STATUS ATUAL </t>
  </si>
  <si>
    <t>Menor Aprendiz</t>
  </si>
  <si>
    <t>Auto de infração</t>
  </si>
  <si>
    <t>Ministério do Trabalho e Emprego</t>
  </si>
  <si>
    <t>Sim</t>
  </si>
  <si>
    <t>Apresentamos defesa.</t>
  </si>
  <si>
    <t xml:space="preserve">STATUS </t>
  </si>
  <si>
    <t>11ª VARA DO TRABALHO DE SÃO PAULO - ZONA LESTE</t>
  </si>
  <si>
    <t>CENTRO SANEAMENTO E SERVICOS AVANCADOS S.A e APDATA DO BRASIL SOFTWARE LTDA</t>
  </si>
  <si>
    <t>SANDRA CIPRIANO DA SILVA</t>
  </si>
  <si>
    <t>Trata-se de reclamação trabalhista visando a rescisão indireta do contrato de trabalho, verbas rescisórias decorrentes e responsabilidade subsidiária da APDATA.</t>
  </si>
  <si>
    <t>Arquivado em 13/12/2023 - quitadas as parcelas do acordo.</t>
  </si>
  <si>
    <t>10ª VARA DO TRABALHO DE SÃO PAULO - ZONA LESTE</t>
  </si>
  <si>
    <t>LILIANE VIEIRA DOS REIS VILELA</t>
  </si>
  <si>
    <t>R$ 6.000,00</t>
  </si>
  <si>
    <t xml:space="preserve">Trata-se de reclamação trabalhista visando ao reconhecimento de estabilidade e reintegração da reclamante.  </t>
  </si>
  <si>
    <t>Arquivado em 03/10/2022 - quitadas as parcelas do acordo.</t>
  </si>
  <si>
    <t>GENEZINA CALIXTO DA SILVA</t>
  </si>
  <si>
    <t>R$ 80.873,40</t>
  </si>
  <si>
    <t>Trata-se de reclamação trabalhista visando Indenização correspondente ao pagamento dos salários do período denominado limbo previdenciário, qual seja, 02\12\2022 até 08\05\2023;Horas extras e reflexos;Diferenças das verbas rescisórias; Férias vencidas; 13º salário 2022 e 2023; Descontos indevidos no TRCT;Diferenças FGTS e multa; Indenização por dano moral e Honorários sucumbenciais;</t>
  </si>
  <si>
    <t>Arquivado em 18/04/2024</t>
  </si>
  <si>
    <t>02ª VARA DO TRABALHO DE SÃO PAULO - ZONA LESTE</t>
  </si>
  <si>
    <t xml:space="preserve">MAICON FERNANDO DE OLIVEIRA </t>
  </si>
  <si>
    <t>R$ 81.990,23</t>
  </si>
  <si>
    <t>Trata-se de reclamação trabalhista visando limbo previdenciário e verbas consectárias, horas extras e reflexos e FGTS.</t>
  </si>
  <si>
    <t>Arquivado em 03/05/2024</t>
  </si>
  <si>
    <t>26ª Vara do Trabalho de São Paulo</t>
  </si>
  <si>
    <t>TAMIRIS ORLANDO RAMOS</t>
  </si>
  <si>
    <t>R$ 3.295,34</t>
  </si>
  <si>
    <t xml:space="preserve">Trata-se de ação de homologação de acordo extrajudicial. </t>
  </si>
  <si>
    <t>Arquivado em 06/01/2025</t>
  </si>
  <si>
    <t>4ª Vara do Trabalho de Ponta Grossa</t>
  </si>
  <si>
    <t xml:space="preserve">TRT 9ª REGIÃO </t>
  </si>
  <si>
    <t>PASQUALI SOLUTION SOLUCOES EM INFORMATICA S/A e APDATA DO BRASIL SOFTWARE LTDA</t>
  </si>
  <si>
    <t>ERALDO NERAS GONCALVES JUNIOR</t>
  </si>
  <si>
    <t xml:space="preserve">Trata-se de reclamação trabalhista visando ao reconhecimento de vínculo empregatício, pagamento de danos morais, responsabilidade subsidiária/solidária, depósitos de FGTS, verbas rescisórias e multa do art. 477 CLT. </t>
  </si>
  <si>
    <t xml:space="preserve">Audiência inicial realizada em 30/01/2025, celebrado acordo entre reclamante e 1ª reclamada (Pasquali), no valor de R$100.000,00 em 9  parcelas. Exclusão do polo para APDATA. Trânsito em julgado em 30/01/2025. </t>
  </si>
  <si>
    <t>40ª Vara do Trabalho de São Paulo</t>
  </si>
  <si>
    <t>Trata-se de reclamação trabalhista visando ao pagamento das férias, multa do art. 477 CLT, horas extras, adicional noturno, adicional de transferência, acúmulo de função, salário período de estabilidade e danos morais.</t>
  </si>
  <si>
    <t>Audiência inicial realizada em 27/02/2025, celebrado acordo entre as partes no valor de R$ 33.295,34, em duas parcelas, sendo a última em 10/03/2025. Acordo cumprido - arquivado em 12/03/2025.</t>
  </si>
  <si>
    <t>51ª Vara do Trabalho de São Paulo</t>
  </si>
  <si>
    <t xml:space="preserve">HR INOVE MAO DE OBRA TEMPORARIA LTDA  - ME, LIFE RECURSOS HUMANOS LTDA. e APDATA DO BRASIL SOFTWARE LTDA. </t>
  </si>
  <si>
    <t xml:space="preserve">Trata-se de reclamação trabalhista visando ao reconhecimento de vínculo empregatício com 3ª reclamada (APDATA), responsabilidade solidária / subsidiária, pagamento de horas extras e indenização por dano moral - assédio moral. </t>
  </si>
  <si>
    <t>Audiência realizada em 21/05/2025,onde a reclamante desistiu da ação. Extinto o processo, sem resolução do mérito, nos termos do art.
485, VIII, do CPC.</t>
  </si>
  <si>
    <t xml:space="preserve">68ª VARA DO TRABALHO DE SÃO PAULO </t>
  </si>
  <si>
    <t>MIKAELLA APARECIDA MENDONÇA DA SILVA</t>
  </si>
  <si>
    <t>R$ 4.023,59</t>
  </si>
  <si>
    <t xml:space="preserve">Trata-se de reclamação trabalhista ajuizada pela reclamante em face da reclamada. Na ação, a reclamante formula pedidos de: concessão dos benefícios da justiça gratuita; reconhecimento do atraso no pagamento das verbas rescisórias, com aplicação da multa prevista no art. 477, §8º da CLT, equivalente a um salário (R$ 4.023,59); condenação da reclamada ao pagamento de honorários advocatícios de sucumbência no percentual de 15% sobre o valor da condenação; apresentação de documentos (contrato de trabalho, folhas de pagamento e comprovantes da rescisão); produção de provas documentais e testemunhais; condenação da reclamada ao pagamento das custas e despesas processuais. Em síntese, a ação busca a aplicação da multa do art. 477 da CLT em razão da mora no pagamento das verbas rescisórias, além de honorários advocatícios e demais encargos legais.
</t>
  </si>
  <si>
    <r>
      <rPr>
        <rFont val="Avenir"/>
        <color theme="1"/>
        <sz val="8.0"/>
      </rPr>
      <t xml:space="preserve">Na audiência instrutória, não houve a oitiva das partes, sendo o processo encaminhado diretamente para julgamento. Em 16/09/2025, foi prolatada sentença que julgou parcialmente procedentes os pedidos formulados pela reclamante, condenando a reclamada ao pagamento da multa prevista no art. 477, § 8º, da CLT, enquanto os demais pedidos foram julgados improcedentes. Como nenhuma das partes interpôs recurso, ocorreu o trânsito em julgado da ação, iniciando-se a fase de execução. As partes apresentaram seus cálculos de liquidação e, em decisão, o juiz homologou os cálculos da reclamante. A reclamada efetuou o pagamento no valor de R$ 4.599,38. </t>
    </r>
    <r>
      <rPr>
        <rFont val="Avenir Next LT Pro"/>
        <b/>
        <color theme="1"/>
        <sz val="8.0"/>
      </rPr>
      <t>Considerando que a execução foi integralmente satisfeita e o valor liberado, foi determinado o arquivamento definitivo do feito.</t>
    </r>
  </si>
  <si>
    <t>1000357-44.2022.5.02.0055</t>
  </si>
  <si>
    <t>1001852-22.2022.5.02.0606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</si>
</sst>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-416]\ #,##0.00"/>
    <numFmt numFmtId="165" formatCode="&quot;R$&quot;\ #,##0.00;[Red]\-&quot;R$&quot;\ #,##0.00"/>
    <numFmt numFmtId="166" formatCode="[$R$ -416]#,##0.00"/>
    <numFmt numFmtId="167" formatCode="[$-1010416]General"/>
  </numFmts>
  <fonts count="44">
    <font>
      <sz val="11.0"/>
      <color theme="1"/>
      <name val="Calibri"/>
      <scheme val="minor"/>
    </font>
    <font>
      <sz val="9.0"/>
      <color theme="1"/>
      <name val="Avenir"/>
    </font>
    <font>
      <sz val="11.0"/>
      <color theme="1"/>
      <name val="Calibri"/>
    </font>
    <font>
      <b/>
      <sz val="18.0"/>
      <color rgb="FFFFFFFF"/>
      <name val="Avenir"/>
    </font>
    <font/>
    <font>
      <sz val="9.0"/>
      <color rgb="FF8A9DC0"/>
      <name val="Avenir"/>
    </font>
    <font>
      <sz val="9.0"/>
      <color rgb="FFD4A0B0"/>
      <name val="Avenir"/>
    </font>
    <font>
      <b/>
      <sz val="28.0"/>
      <color rgb="FFFFFFFF"/>
      <name val="Avenir"/>
    </font>
    <font>
      <b/>
      <sz val="22.0"/>
      <color rgb="FFFFFFFF"/>
      <name val="Avenir"/>
    </font>
    <font>
      <sz val="8.0"/>
      <color rgb="FF8A9DC0"/>
      <name val="Avenir"/>
    </font>
    <font>
      <sz val="8.0"/>
      <color rgb="FFD4A0B0"/>
      <name val="Avenir"/>
    </font>
    <font>
      <b/>
      <sz val="12.0"/>
      <color rgb="FF1C2140"/>
      <name val="Avenir"/>
    </font>
    <font>
      <b/>
      <sz val="9.0"/>
      <color rgb="FFFFFFFF"/>
      <name val="Avenir"/>
    </font>
    <font>
      <sz val="7.0"/>
      <color theme="1"/>
      <name val="Avenir"/>
    </font>
    <font>
      <sz val="8.0"/>
      <color theme="1"/>
      <name val="Avenir"/>
    </font>
    <font>
      <b/>
      <sz val="8.0"/>
      <color rgb="FFC0392B"/>
      <name val="Avenir"/>
    </font>
    <font>
      <b/>
      <sz val="9.0"/>
      <color rgb="FFC0392B"/>
      <name val="Avenir"/>
    </font>
    <font>
      <b/>
      <sz val="8.0"/>
      <color rgb="FFE67E22"/>
      <name val="Avenir"/>
    </font>
    <font>
      <b/>
      <sz val="9.0"/>
      <color rgb="FFE67E22"/>
      <name val="Avenir"/>
    </font>
    <font>
      <b/>
      <sz val="9.0"/>
      <color rgb="FF27AE60"/>
      <name val="Avenir"/>
    </font>
    <font>
      <b/>
      <sz val="8.0"/>
      <color rgb="FF27AE60"/>
      <name val="Avenir"/>
    </font>
    <font>
      <sz val="8.0"/>
      <color rgb="FF999999"/>
      <name val="Avenir"/>
    </font>
    <font>
      <b/>
      <sz val="14.0"/>
      <color rgb="FF1C2140"/>
      <name val="Avenir"/>
    </font>
    <font>
      <sz val="8.0"/>
      <color rgb="FF777777"/>
      <name val="Avenir"/>
    </font>
    <font>
      <b/>
      <sz val="8.0"/>
      <color rgb="FF2980B9"/>
      <name val="Avenir"/>
    </font>
    <font>
      <b/>
      <sz val="14.0"/>
      <color rgb="FFE67E22"/>
      <name val="Avenir"/>
    </font>
    <font>
      <b/>
      <sz val="14.0"/>
      <color rgb="FFC0392B"/>
      <name val="Avenir"/>
    </font>
    <font>
      <b/>
      <sz val="9.0"/>
      <color rgb="FF6B1D3A"/>
      <name val="Avenir"/>
    </font>
    <font>
      <b/>
      <sz val="9.0"/>
      <color rgb="FF1C2140"/>
      <name val="Avenir"/>
    </font>
    <font>
      <b/>
      <sz val="9.0"/>
      <color rgb="FF2980B9"/>
      <name val="Avenir"/>
    </font>
    <font>
      <b/>
      <sz val="9.0"/>
      <color theme="1"/>
      <name val="Avenir"/>
    </font>
    <font>
      <sz val="9.0"/>
      <color rgb="FF27AE60"/>
      <name val="Avenir"/>
    </font>
    <font>
      <sz val="9.0"/>
      <color rgb="FF2980B9"/>
      <name val="Avenir"/>
    </font>
    <font>
      <sz val="9.0"/>
      <color rgb="FFC0392B"/>
      <name val="Avenir"/>
    </font>
    <font>
      <b/>
      <sz val="9.0"/>
      <color rgb="FF999999"/>
      <name val="Avenir"/>
    </font>
    <font>
      <sz val="6.0"/>
      <color rgb="FFFFFFFF"/>
      <name val="Avenir"/>
    </font>
    <font>
      <b/>
      <sz val="12.0"/>
      <color theme="0"/>
      <name val="Avenir"/>
    </font>
    <font>
      <sz val="12.0"/>
      <color theme="1"/>
      <name val="Avenir"/>
    </font>
    <font>
      <b/>
      <sz val="8.0"/>
      <color theme="0"/>
      <name val="Avenir"/>
    </font>
    <font>
      <sz val="8.0"/>
      <color rgb="FF000000"/>
      <name val="Avenir"/>
    </font>
    <font>
      <b/>
      <sz val="8.0"/>
      <color theme="1"/>
      <name val="Avenir"/>
    </font>
    <font>
      <b/>
      <sz val="12.0"/>
      <color rgb="FFFFFFFF"/>
      <name val="Avenir"/>
    </font>
    <font>
      <b/>
      <sz val="12.0"/>
      <color theme="1"/>
      <name val="Avenir"/>
    </font>
    <font>
      <b/>
      <sz val="8.0"/>
      <color rgb="FFFFFFFF"/>
      <name val="Aveni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2140"/>
        <bgColor rgb="FF1C2140"/>
      </patternFill>
    </fill>
    <fill>
      <patternFill patternType="solid">
        <fgColor rgb="FF6B1D3A"/>
        <bgColor rgb="FF6B1D3A"/>
      </patternFill>
    </fill>
    <fill>
      <patternFill patternType="solid">
        <fgColor rgb="FFF7F7FA"/>
        <bgColor rgb="FFF7F7FA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left/>
      <top/>
      <bottom style="medium">
        <color rgb="FF6B1D3A"/>
      </bottom>
    </border>
    <border>
      <top/>
      <bottom style="medium">
        <color rgb="FF6B1D3A"/>
      </bottom>
    </border>
    <border>
      <left/>
      <right/>
      <top/>
      <bottom style="medium">
        <color rgb="FF6B1D3A"/>
      </bottom>
    </border>
    <border>
      <left/>
      <right/>
      <top/>
      <bottom style="thin">
        <color rgb="FF1C2140"/>
      </bottom>
    </border>
    <border>
      <left/>
      <right/>
      <top/>
      <bottom style="dotted">
        <color rgb="FFE0E0E0"/>
      </bottom>
    </border>
    <border>
      <left/>
      <top/>
      <bottom style="thin">
        <color rgb="FF1C2140"/>
      </bottom>
    </border>
    <border>
      <top/>
      <bottom style="thin">
        <color rgb="FF1C214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4" fontId="1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2" fillId="4" fontId="8" numFmtId="164" xfId="0" applyAlignment="1" applyBorder="1" applyFont="1" applyNumberFormat="1">
      <alignment horizontal="center" vertical="center"/>
    </xf>
    <xf borderId="2" fillId="4" fontId="7" numFmtId="9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horizontal="center" vertical="center"/>
    </xf>
    <xf borderId="2" fillId="4" fontId="10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5" fontId="13" numFmtId="0" xfId="0" applyAlignment="1" applyBorder="1" applyFill="1" applyFont="1">
      <alignment horizontal="center" vertical="center"/>
    </xf>
    <xf borderId="1" fillId="5" fontId="14" numFmtId="0" xfId="0" applyAlignment="1" applyBorder="1" applyFont="1">
      <alignment horizontal="center" vertical="center"/>
    </xf>
    <xf borderId="1" fillId="5" fontId="14" numFmtId="164" xfId="0" applyAlignment="1" applyBorder="1" applyFont="1" applyNumberFormat="1">
      <alignment horizontal="center" vertical="center"/>
    </xf>
    <xf borderId="1" fillId="5" fontId="15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9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1" fillId="2" fontId="14" numFmtId="164" xfId="0" applyAlignment="1" applyBorder="1" applyFont="1" applyNumberFormat="1">
      <alignment horizontal="center" vertical="center"/>
    </xf>
    <xf borderId="1" fillId="2" fontId="17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1" fillId="5" fontId="19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vertical="center"/>
    </xf>
    <xf borderId="1" fillId="3" fontId="12" numFmtId="164" xfId="0" applyAlignment="1" applyBorder="1" applyFont="1" applyNumberFormat="1">
      <alignment horizontal="center" vertical="center"/>
    </xf>
    <xf borderId="1" fillId="3" fontId="12" numFmtId="9" xfId="0" applyAlignment="1" applyBorder="1" applyFont="1" applyNumberFormat="1">
      <alignment horizontal="center" vertical="center"/>
    </xf>
    <xf borderId="1" fillId="5" fontId="17" numFmtId="0" xfId="0" applyAlignment="1" applyBorder="1" applyFont="1">
      <alignment horizontal="center" vertical="center"/>
    </xf>
    <xf borderId="7" fillId="2" fontId="13" numFmtId="0" xfId="0" applyAlignment="1" applyBorder="1" applyFont="1">
      <alignment horizontal="center" vertical="center"/>
    </xf>
    <xf borderId="7" fillId="2" fontId="14" numFmtId="0" xfId="0" applyAlignment="1" applyBorder="1" applyFont="1">
      <alignment horizontal="center" vertical="center"/>
    </xf>
    <xf borderId="7" fillId="2" fontId="14" numFmtId="164" xfId="0" applyAlignment="1" applyBorder="1" applyFont="1" applyNumberFormat="1">
      <alignment horizontal="center" vertical="center"/>
    </xf>
    <xf borderId="7" fillId="2" fontId="17" numFmtId="0" xfId="0" applyAlignment="1" applyBorder="1" applyFont="1">
      <alignment horizontal="center" vertical="center"/>
    </xf>
    <xf borderId="7" fillId="5" fontId="13" numFmtId="0" xfId="0" applyAlignment="1" applyBorder="1" applyFont="1">
      <alignment horizontal="center" vertical="center"/>
    </xf>
    <xf borderId="7" fillId="5" fontId="14" numFmtId="0" xfId="0" applyAlignment="1" applyBorder="1" applyFont="1">
      <alignment horizontal="center" vertical="center"/>
    </xf>
    <xf borderId="1" fillId="5" fontId="20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" fillId="5" fontId="24" numFmtId="0" xfId="0" applyAlignment="1" applyBorder="1" applyFont="1">
      <alignment horizontal="center" vertical="center"/>
    </xf>
    <xf borderId="1" fillId="2" fontId="24" numFmtId="0" xfId="0" applyAlignment="1" applyBorder="1" applyFont="1">
      <alignment horizontal="center" vertical="center"/>
    </xf>
    <xf borderId="1" fillId="2" fontId="22" numFmtId="164" xfId="0" applyAlignment="1" applyBorder="1" applyFont="1" applyNumberFormat="1">
      <alignment horizontal="center" vertical="center"/>
    </xf>
    <xf borderId="1" fillId="5" fontId="14" numFmtId="16" xfId="0" applyAlignment="1" applyBorder="1" applyFont="1" applyNumberFormat="1">
      <alignment horizontal="center" vertical="center"/>
    </xf>
    <xf borderId="1" fillId="2" fontId="14" numFmtId="16" xfId="0" applyAlignment="1" applyBorder="1" applyFont="1" applyNumberFormat="1">
      <alignment horizontal="center" vertical="center"/>
    </xf>
    <xf borderId="1" fillId="2" fontId="25" numFmtId="0" xfId="0" applyAlignment="1" applyBorder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vertical="center"/>
    </xf>
    <xf borderId="1" fillId="5" fontId="28" numFmtId="9" xfId="0" applyAlignment="1" applyBorder="1" applyFont="1" applyNumberFormat="1">
      <alignment horizontal="center" vertical="center"/>
    </xf>
    <xf borderId="2" fillId="5" fontId="14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" fillId="2" fontId="28" numFmtId="9" xfId="0" applyAlignment="1" applyBorder="1" applyFont="1" applyNumberFormat="1">
      <alignment horizontal="center" vertical="center"/>
    </xf>
    <xf borderId="2" fillId="2" fontId="14" numFmtId="0" xfId="0" applyAlignment="1" applyBorder="1" applyFont="1">
      <alignment horizontal="center" vertical="center"/>
    </xf>
    <xf borderId="9" fillId="2" fontId="14" numFmtId="0" xfId="0" applyAlignment="1" applyBorder="1" applyFont="1">
      <alignment horizontal="center" vertical="center"/>
    </xf>
    <xf borderId="10" fillId="0" fontId="4" numFmtId="0" xfId="0" applyBorder="1" applyFont="1"/>
    <xf borderId="9" fillId="5" fontId="1" numFmtId="0" xfId="0" applyAlignment="1" applyBorder="1" applyFont="1">
      <alignment horizontal="center" vertical="center"/>
    </xf>
    <xf borderId="7" fillId="5" fontId="27" numFmtId="0" xfId="0" applyAlignment="1" applyBorder="1" applyFont="1">
      <alignment horizontal="center" vertical="center"/>
    </xf>
    <xf borderId="7" fillId="5" fontId="28" numFmtId="9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vertical="center"/>
    </xf>
    <xf borderId="1" fillId="5" fontId="30" numFmtId="0" xfId="0" applyAlignment="1" applyBorder="1" applyFont="1">
      <alignment horizontal="center" vertical="center"/>
    </xf>
    <xf borderId="1" fillId="5" fontId="31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" fillId="2" fontId="31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vertical="center"/>
    </xf>
    <xf borderId="1" fillId="2" fontId="32" numFmtId="0" xfId="0" applyAlignment="1" applyBorder="1" applyFont="1">
      <alignment horizontal="center" vertical="center"/>
    </xf>
    <xf borderId="1" fillId="5" fontId="33" numFmtId="0" xfId="0" applyAlignment="1" applyBorder="1" applyFont="1">
      <alignment horizontal="center" vertical="center"/>
    </xf>
    <xf borderId="1" fillId="2" fontId="34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11" fillId="6" fontId="36" numFmtId="0" xfId="0" applyAlignment="1" applyBorder="1" applyFill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37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6" fontId="38" numFmtId="0" xfId="0" applyAlignment="1" applyBorder="1" applyFont="1">
      <alignment horizontal="center" shrinkToFit="0" vertical="center" wrapText="1"/>
    </xf>
    <xf borderId="18" fillId="6" fontId="38" numFmtId="14" xfId="0" applyAlignment="1" applyBorder="1" applyFont="1" applyNumberFormat="1">
      <alignment horizontal="center" shrinkToFit="0" vertical="center" wrapText="1"/>
    </xf>
    <xf borderId="19" fillId="6" fontId="38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14" fillId="0" fontId="14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14" fillId="6" fontId="38" numFmtId="0" xfId="0" applyAlignment="1" applyBorder="1" applyFont="1">
      <alignment horizontal="center" shrinkToFit="0" vertical="center" wrapText="1"/>
    </xf>
    <xf borderId="14" fillId="2" fontId="14" numFmtId="0" xfId="0" applyAlignment="1" applyBorder="1" applyFont="1">
      <alignment horizontal="center" shrinkToFit="0" vertical="center" wrapText="1"/>
    </xf>
    <xf borderId="14" fillId="2" fontId="39" numFmtId="0" xfId="0" applyAlignment="1" applyBorder="1" applyFont="1">
      <alignment horizontal="center" shrinkToFit="0" vertical="center" wrapText="1"/>
    </xf>
    <xf borderId="14" fillId="2" fontId="14" numFmtId="14" xfId="0" applyAlignment="1" applyBorder="1" applyFont="1" applyNumberFormat="1">
      <alignment horizontal="center" shrinkToFit="0" vertical="center" wrapText="1"/>
    </xf>
    <xf borderId="14" fillId="2" fontId="14" numFmtId="165" xfId="0" applyAlignment="1" applyBorder="1" applyFont="1" applyNumberFormat="1">
      <alignment horizontal="center" shrinkToFit="0" vertical="center" wrapText="1"/>
    </xf>
    <xf borderId="14" fillId="2" fontId="40" numFmtId="0" xfId="0" applyAlignment="1" applyBorder="1" applyFont="1">
      <alignment horizontal="center" shrinkToFit="0" vertical="center" wrapText="1"/>
    </xf>
    <xf borderId="14" fillId="2" fontId="14" numFmtId="166" xfId="0" applyAlignment="1" applyBorder="1" applyFont="1" applyNumberFormat="1">
      <alignment horizontal="center" shrinkToFit="0" vertical="center" wrapText="1"/>
    </xf>
    <xf borderId="14" fillId="0" fontId="39" numFmtId="0" xfId="0" applyAlignment="1" applyBorder="1" applyFont="1">
      <alignment horizontal="center" readingOrder="0"/>
    </xf>
    <xf borderId="14" fillId="0" fontId="14" numFmtId="14" xfId="0" applyAlignment="1" applyBorder="1" applyFont="1" applyNumberFormat="1">
      <alignment horizontal="center" shrinkToFit="0" vertical="center" wrapText="1"/>
    </xf>
    <xf borderId="14" fillId="0" fontId="14" numFmtId="0" xfId="0" applyAlignment="1" applyBorder="1" applyFont="1">
      <alignment horizontal="center" readingOrder="0" shrinkToFit="0" vertical="center" wrapText="1"/>
    </xf>
    <xf borderId="11" fillId="6" fontId="41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22" fillId="6" fontId="38" numFmtId="167" xfId="0" applyAlignment="1" applyBorder="1" applyFont="1" applyNumberFormat="1">
      <alignment horizontal="center" shrinkToFit="0" vertical="center" wrapText="1"/>
    </xf>
    <xf borderId="23" fillId="6" fontId="38" numFmtId="167" xfId="0" applyAlignment="1" applyBorder="1" applyFont="1" applyNumberFormat="1">
      <alignment horizontal="center" shrinkToFit="0" vertical="center" wrapText="1"/>
    </xf>
    <xf borderId="24" fillId="6" fontId="43" numFmtId="167" xfId="0" applyAlignment="1" applyBorder="1" applyFont="1" applyNumberForma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25" fillId="6" fontId="38" numFmtId="0" xfId="0" applyAlignment="1" applyBorder="1" applyFont="1">
      <alignment horizontal="center" shrinkToFit="0" vertical="center" wrapText="1"/>
    </xf>
    <xf borderId="26" fillId="6" fontId="38" numFmtId="0" xfId="0" applyAlignment="1" applyBorder="1" applyFont="1">
      <alignment horizontal="center" shrinkToFit="0" vertical="center" wrapText="1"/>
    </xf>
    <xf borderId="27" fillId="0" fontId="4" numFmtId="0" xfId="0" applyBorder="1" applyFont="1"/>
    <xf borderId="25" fillId="6" fontId="43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14" fillId="0" fontId="39" numFmtId="0" xfId="0" applyAlignment="1" applyBorder="1" applyFont="1">
      <alignment horizontal="center" shrinkToFit="0" vertical="center" wrapText="1"/>
    </xf>
    <xf borderId="14" fillId="0" fontId="39" numFmtId="14" xfId="0" applyAlignment="1" applyBorder="1" applyFont="1" applyNumberFormat="1">
      <alignment horizontal="center" shrinkToFit="0" vertical="center" wrapText="1"/>
    </xf>
    <xf borderId="14" fillId="0" fontId="39" numFmtId="165" xfId="0" applyAlignment="1" applyBorder="1" applyFont="1" applyNumberFormat="1">
      <alignment horizontal="center" shrinkToFit="0" vertical="center" wrapText="1"/>
    </xf>
    <xf borderId="14" fillId="2" fontId="39" numFmtId="14" xfId="0" applyAlignment="1" applyBorder="1" applyFont="1" applyNumberFormat="1">
      <alignment horizontal="center" shrinkToFit="0" vertical="center" wrapText="1"/>
    </xf>
    <xf borderId="14" fillId="2" fontId="39" numFmtId="165" xfId="0" applyAlignment="1" applyBorder="1" applyFont="1" applyNumberFormat="1">
      <alignment horizontal="center" shrinkToFit="0" vertical="center" wrapText="1"/>
    </xf>
    <xf borderId="14" fillId="7" fontId="14" numFmtId="0" xfId="0" applyAlignment="1" applyBorder="1" applyFill="1" applyFont="1">
      <alignment horizontal="center" shrinkToFit="0" vertical="center" wrapText="1"/>
    </xf>
    <xf borderId="14" fillId="7" fontId="39" numFmtId="0" xfId="0" applyAlignment="1" applyBorder="1" applyFont="1">
      <alignment horizontal="center" shrinkToFit="0" vertical="center" wrapText="1"/>
    </xf>
    <xf borderId="14" fillId="7" fontId="14" numFmtId="14" xfId="0" applyAlignment="1" applyBorder="1" applyFont="1" applyNumberFormat="1">
      <alignment horizontal="center" shrinkToFit="0" vertical="center" wrapText="1"/>
    </xf>
    <xf borderId="14" fillId="7" fontId="39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C2140"/>
                </a:solidFill>
                <a:latin typeface="+mn-lt"/>
              </a:defRPr>
            </a:pPr>
            <a:r>
              <a:rPr b="1" i="0" sz="1100">
                <a:solidFill>
                  <a:srgbClr val="1C2140"/>
                </a:solidFill>
                <a:latin typeface="+mn-lt"/>
              </a:rPr>
              <a:t>Decisões Favoráveis vs Desfavoráveis por Instância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Favorável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DASHBOARD!$B$61:$B$62</c:f>
            </c:strRef>
          </c:cat>
          <c:val>
            <c:numRef>
              <c:f>DASHBOARD!$C$61:$C$62</c:f>
              <c:numCache/>
            </c:numRef>
          </c:val>
        </c:ser>
        <c:ser>
          <c:idx val="1"/>
          <c:order val="1"/>
          <c:tx>
            <c:v>Desfavorável</c:v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cat>
            <c:strRef>
              <c:f>DASHBOARD!$B$61:$B$62</c:f>
            </c:strRef>
          </c:cat>
          <c:val>
            <c:numRef>
              <c:f>DASHBOARD!$D$61:$D$62</c:f>
              <c:numCache/>
            </c:numRef>
          </c:val>
        </c:ser>
        <c:axId val="45206358"/>
        <c:axId val="1716771730"/>
      </c:barChart>
      <c:catAx>
        <c:axId val="452063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6771730"/>
      </c:catAx>
      <c:valAx>
        <c:axId val="17167717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206358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C2140"/>
                </a:solidFill>
                <a:latin typeface="+mn-lt"/>
              </a:defRPr>
            </a:pPr>
            <a:r>
              <a:rPr b="1" i="0" sz="1100">
                <a:solidFill>
                  <a:srgbClr val="1C2140"/>
                </a:solidFill>
                <a:latin typeface="+mn-lt"/>
              </a:rPr>
              <a:t>Evolução Processual — Distribuição por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DASHBOARD!$K$60</c:f>
            </c:strRef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27AE60"/>
              </a:solidFill>
            </c:spPr>
          </c:dPt>
          <c:dPt>
            <c:idx val="2"/>
            <c:spPr>
              <a:solidFill>
                <a:srgbClr val="E67E22"/>
              </a:solidFill>
            </c:spPr>
          </c:dPt>
          <c:dPt>
            <c:idx val="3"/>
            <c:spPr>
              <a:solidFill>
                <a:srgbClr val="2980B9"/>
              </a:solidFill>
            </c:spPr>
          </c:dPt>
          <c:dPt>
            <c:idx val="4"/>
            <c:spPr>
              <a:solidFill>
                <a:srgbClr val="C0392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DASHBOARD!$J$61:$J$65</c:f>
            </c:strRef>
          </c:cat>
          <c:val>
            <c:numRef>
              <c:f>DASHBOARD!$K$61:$K$65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61</xdr:row>
      <xdr:rowOff>180975</xdr:rowOff>
    </xdr:from>
    <xdr:ext cx="10725150" cy="3600450"/>
    <xdr:graphicFrame>
      <xdr:nvGraphicFramePr>
        <xdr:cNvPr id="17930330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61</xdr:row>
      <xdr:rowOff>180975</xdr:rowOff>
    </xdr:from>
    <xdr:ext cx="9124950" cy="3600450"/>
    <xdr:graphicFrame>
      <xdr:nvGraphicFramePr>
        <xdr:cNvPr id="203061521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180975</xdr:colOff>
      <xdr:row>0</xdr:row>
      <xdr:rowOff>123825</xdr:rowOff>
    </xdr:from>
    <xdr:ext cx="1381125" cy="80962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52.71"/>
    <col customWidth="1" min="3" max="3" width="26.71"/>
    <col customWidth="1" min="4" max="4" width="18.71"/>
    <col customWidth="1" min="5" max="5" width="24.29"/>
    <col customWidth="1" min="6" max="6" width="21.86"/>
    <col customWidth="1" min="7" max="7" width="16.57"/>
    <col customWidth="1" min="8" max="9" width="3.43"/>
    <col customWidth="1" min="10" max="10" width="36.43"/>
    <col customWidth="1" min="11" max="11" width="19.57"/>
    <col customWidth="1" min="12" max="12" width="27.43"/>
    <col customWidth="1" min="13" max="13" width="14.86"/>
    <col customWidth="1" min="14" max="14" width="19.57"/>
    <col customWidth="1" min="15" max="15" width="19.0"/>
    <col customWidth="1" min="16" max="16" width="3.43"/>
    <col customWidth="1" min="1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ht="57.0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7" t="s">
        <v>1</v>
      </c>
      <c r="C5" s="5"/>
      <c r="D5" s="1"/>
      <c r="E5" s="8" t="s">
        <v>2</v>
      </c>
      <c r="F5" s="5"/>
      <c r="G5" s="5"/>
      <c r="H5" s="1"/>
      <c r="I5" s="1"/>
      <c r="J5" s="7" t="s">
        <v>3</v>
      </c>
      <c r="K5" s="5"/>
      <c r="L5" s="1"/>
      <c r="M5" s="8" t="s">
        <v>4</v>
      </c>
      <c r="N5" s="5"/>
      <c r="O5" s="5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9">
        <f>COUNTA(TRABALHISTA!A5:A99)</f>
        <v>6</v>
      </c>
      <c r="C6" s="5"/>
      <c r="D6" s="1"/>
      <c r="E6" s="10">
        <v>973877.75</v>
      </c>
      <c r="F6" s="5"/>
      <c r="G6" s="5"/>
      <c r="H6" s="1"/>
      <c r="I6" s="1"/>
      <c r="J6" s="9">
        <f>COUNTA('ARQUIVADOS '!A5:A100)</f>
        <v>11</v>
      </c>
      <c r="K6" s="5"/>
      <c r="L6" s="1"/>
      <c r="M6" s="11">
        <f>IFERROR((COUNTIF('ARQUIVADOS '!I5:I100,"*acordo*")+COUNTIF('ARQUIVADOS '!I5:I100,"*improcedent*")+COUNTIF('ARQUIVADOS '!I5:I100,"*Extint*")+COUNTIF('ARQUIVADOS '!I5:I100,"*Exclusão*")+COUNTIF('ARQUIVADOS '!I5:I100,"*desistiu*"))/COUNTA('ARQUIVADOS '!A5:A100),0)</f>
        <v>0.6363636364</v>
      </c>
      <c r="N6" s="5"/>
      <c r="O6" s="5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2" t="s">
        <v>5</v>
      </c>
      <c r="C7" s="5"/>
      <c r="D7" s="1"/>
      <c r="E7" s="13" t="s">
        <v>6</v>
      </c>
      <c r="F7" s="5"/>
      <c r="G7" s="5"/>
      <c r="H7" s="1"/>
      <c r="I7" s="1"/>
      <c r="J7" s="12" t="s">
        <v>7</v>
      </c>
      <c r="K7" s="5"/>
      <c r="L7" s="1"/>
      <c r="M7" s="13" t="s">
        <v>8</v>
      </c>
      <c r="N7" s="5"/>
      <c r="O7" s="5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/>
      <c r="B9" s="15" t="s">
        <v>9</v>
      </c>
      <c r="C9" s="16"/>
      <c r="D9" s="16"/>
      <c r="E9" s="16"/>
      <c r="F9" s="16"/>
      <c r="G9" s="16"/>
      <c r="H9" s="14"/>
      <c r="I9" s="14"/>
      <c r="J9" s="17" t="s">
        <v>10</v>
      </c>
      <c r="K9" s="18"/>
      <c r="L9" s="18"/>
      <c r="M9" s="18"/>
      <c r="N9" s="18"/>
      <c r="O9" s="14"/>
      <c r="P9" s="14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/>
      <c r="B10" s="19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  <c r="G10" s="19"/>
      <c r="H10" s="14"/>
      <c r="I10" s="14"/>
      <c r="J10" s="19" t="s">
        <v>16</v>
      </c>
      <c r="K10" s="19" t="s">
        <v>17</v>
      </c>
      <c r="L10" s="19" t="s">
        <v>13</v>
      </c>
      <c r="M10" s="19" t="s">
        <v>18</v>
      </c>
      <c r="N10" s="19"/>
      <c r="O10" s="14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/>
      <c r="B11" s="20" t="s">
        <v>19</v>
      </c>
      <c r="C11" s="21" t="s">
        <v>20</v>
      </c>
      <c r="D11" s="22">
        <v>120570.6</v>
      </c>
      <c r="E11" s="23" t="s">
        <v>21</v>
      </c>
      <c r="F11" s="21" t="s">
        <v>22</v>
      </c>
      <c r="G11" s="21"/>
      <c r="H11" s="14"/>
      <c r="I11" s="14"/>
      <c r="J11" s="24" t="s">
        <v>23</v>
      </c>
      <c r="K11" s="25">
        <f>COUNTIF(TRABALHISTA!I5:I99,"PROVÁVEL")</f>
        <v>2</v>
      </c>
      <c r="L11" s="26">
        <v>199404.47</v>
      </c>
      <c r="M11" s="27">
        <f>IFERROR(K11/K14,0)</f>
        <v>0.3333333333</v>
      </c>
      <c r="N11" s="25"/>
      <c r="O11" s="14"/>
      <c r="P11" s="1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/>
      <c r="B12" s="28" t="s">
        <v>24</v>
      </c>
      <c r="C12" s="29" t="s">
        <v>25</v>
      </c>
      <c r="D12" s="30">
        <v>250205.78</v>
      </c>
      <c r="E12" s="31" t="s">
        <v>26</v>
      </c>
      <c r="F12" s="29" t="s">
        <v>27</v>
      </c>
      <c r="G12" s="29"/>
      <c r="H12" s="14"/>
      <c r="I12" s="14"/>
      <c r="J12" s="32" t="s">
        <v>28</v>
      </c>
      <c r="K12" s="1">
        <f>COUNTIF(TRABALHISTA!I5:I99,"POSSÍVEL")</f>
        <v>3</v>
      </c>
      <c r="L12" s="33">
        <v>693343.0800000001</v>
      </c>
      <c r="M12" s="34">
        <f>IFERROR(K12/K14,0)</f>
        <v>0.5</v>
      </c>
      <c r="N12" s="1"/>
      <c r="O12" s="14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/>
      <c r="B13" s="20" t="s">
        <v>29</v>
      </c>
      <c r="C13" s="21" t="s">
        <v>30</v>
      </c>
      <c r="D13" s="22">
        <v>78833.87</v>
      </c>
      <c r="E13" s="23" t="s">
        <v>21</v>
      </c>
      <c r="F13" s="21" t="s">
        <v>27</v>
      </c>
      <c r="G13" s="21"/>
      <c r="H13" s="14"/>
      <c r="I13" s="14"/>
      <c r="J13" s="35" t="s">
        <v>31</v>
      </c>
      <c r="K13" s="25">
        <f>COUNTIF(TRABALHISTA!I5:I99,"REMOTO")</f>
        <v>1</v>
      </c>
      <c r="L13" s="26">
        <v>81130.2</v>
      </c>
      <c r="M13" s="27">
        <f>IFERROR(K13/K14,0)</f>
        <v>0.1666666667</v>
      </c>
      <c r="N13" s="25"/>
      <c r="O13" s="1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/>
      <c r="B14" s="28" t="s">
        <v>32</v>
      </c>
      <c r="C14" s="29" t="s">
        <v>33</v>
      </c>
      <c r="D14" s="30">
        <v>81130.2</v>
      </c>
      <c r="E14" s="36" t="s">
        <v>34</v>
      </c>
      <c r="F14" s="29" t="s">
        <v>35</v>
      </c>
      <c r="G14" s="29"/>
      <c r="H14" s="14"/>
      <c r="I14" s="14"/>
      <c r="J14" s="19" t="s">
        <v>36</v>
      </c>
      <c r="K14" s="19">
        <f t="shared" ref="K14:L14" si="1">SUM(K11:K13)</f>
        <v>6</v>
      </c>
      <c r="L14" s="37">
        <f t="shared" si="1"/>
        <v>973877.75</v>
      </c>
      <c r="M14" s="38">
        <v>1.0</v>
      </c>
      <c r="N14" s="19"/>
      <c r="O14" s="1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/>
      <c r="B15" s="20" t="s">
        <v>37</v>
      </c>
      <c r="C15" s="21" t="s">
        <v>38</v>
      </c>
      <c r="D15" s="22">
        <v>150337.52</v>
      </c>
      <c r="E15" s="39" t="s">
        <v>26</v>
      </c>
      <c r="F15" s="21" t="s">
        <v>39</v>
      </c>
      <c r="G15" s="21"/>
      <c r="H15" s="14"/>
      <c r="I15" s="14"/>
      <c r="J15" s="14"/>
      <c r="K15" s="14"/>
      <c r="L15" s="14"/>
      <c r="M15" s="14"/>
      <c r="N15" s="14"/>
      <c r="O15" s="1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/>
      <c r="B16" s="40" t="s">
        <v>40</v>
      </c>
      <c r="C16" s="41" t="s">
        <v>41</v>
      </c>
      <c r="D16" s="42">
        <v>292799.78</v>
      </c>
      <c r="E16" s="43" t="s">
        <v>26</v>
      </c>
      <c r="F16" s="41" t="s">
        <v>42</v>
      </c>
      <c r="G16" s="41"/>
      <c r="H16" s="14"/>
      <c r="I16" s="14"/>
      <c r="J16" s="14"/>
      <c r="K16" s="14"/>
      <c r="L16" s="14"/>
      <c r="M16" s="14"/>
      <c r="N16" s="14"/>
      <c r="O16" s="1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/>
      <c r="B18" s="17" t="s">
        <v>43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4"/>
      <c r="P18" s="1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/>
      <c r="B19" s="19" t="s">
        <v>11</v>
      </c>
      <c r="C19" s="19" t="s">
        <v>44</v>
      </c>
      <c r="D19" s="19" t="s">
        <v>45</v>
      </c>
      <c r="E19" s="19" t="s">
        <v>46</v>
      </c>
      <c r="F19" s="19" t="s">
        <v>47</v>
      </c>
      <c r="G19" s="19" t="s">
        <v>48</v>
      </c>
      <c r="H19" s="14"/>
      <c r="I19" s="14"/>
      <c r="J19" s="14"/>
      <c r="K19" s="14"/>
      <c r="L19" s="14"/>
      <c r="M19" s="14"/>
      <c r="N19" s="14"/>
      <c r="O19" s="14"/>
      <c r="P19" s="1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/>
      <c r="B20" s="44" t="s">
        <v>49</v>
      </c>
      <c r="C20" s="45" t="s">
        <v>50</v>
      </c>
      <c r="D20" s="45" t="s">
        <v>51</v>
      </c>
      <c r="E20" s="45" t="s">
        <v>52</v>
      </c>
      <c r="F20" s="45" t="s">
        <v>53</v>
      </c>
      <c r="G20" s="45" t="s">
        <v>54</v>
      </c>
      <c r="H20" s="14"/>
      <c r="I20" s="14"/>
      <c r="J20" s="14"/>
      <c r="K20" s="14"/>
      <c r="L20" s="14"/>
      <c r="M20" s="14"/>
      <c r="N20" s="14"/>
      <c r="O20" s="14"/>
      <c r="P20" s="1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/>
      <c r="B22" s="17" t="s">
        <v>55</v>
      </c>
      <c r="C22" s="18"/>
      <c r="D22" s="18"/>
      <c r="E22" s="18"/>
      <c r="F22" s="18"/>
      <c r="G22" s="18"/>
      <c r="H22" s="14"/>
      <c r="I22" s="14"/>
      <c r="J22" s="17" t="s">
        <v>56</v>
      </c>
      <c r="K22" s="18"/>
      <c r="L22" s="18"/>
      <c r="M22" s="18"/>
      <c r="N22" s="18"/>
      <c r="O22" s="14"/>
      <c r="P22" s="1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/>
      <c r="B23" s="19" t="s">
        <v>11</v>
      </c>
      <c r="C23" s="19" t="s">
        <v>12</v>
      </c>
      <c r="D23" s="19" t="s">
        <v>57</v>
      </c>
      <c r="E23" s="19" t="s">
        <v>58</v>
      </c>
      <c r="F23" s="19" t="s">
        <v>59</v>
      </c>
      <c r="G23" s="19"/>
      <c r="H23" s="14"/>
      <c r="I23" s="14"/>
      <c r="J23" s="14"/>
      <c r="K23" s="14"/>
      <c r="L23" s="14"/>
      <c r="M23" s="14"/>
      <c r="N23" s="14"/>
      <c r="O23" s="14"/>
      <c r="P23" s="14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"/>
      <c r="B24" s="20" t="s">
        <v>60</v>
      </c>
      <c r="C24" s="21" t="s">
        <v>61</v>
      </c>
      <c r="D24" s="21" t="s">
        <v>62</v>
      </c>
      <c r="E24" s="46" t="s">
        <v>63</v>
      </c>
      <c r="F24" s="22">
        <v>41329.6</v>
      </c>
      <c r="G24" s="21"/>
      <c r="H24" s="14"/>
      <c r="I24" s="14"/>
      <c r="J24" s="47" t="s">
        <v>64</v>
      </c>
      <c r="K24" s="48">
        <f>B6+J6</f>
        <v>17</v>
      </c>
      <c r="L24" s="1"/>
      <c r="M24" s="1"/>
      <c r="N24" s="1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"/>
      <c r="B25" s="28" t="s">
        <v>65</v>
      </c>
      <c r="C25" s="29" t="s">
        <v>66</v>
      </c>
      <c r="D25" s="29" t="s">
        <v>67</v>
      </c>
      <c r="E25" s="36" t="s">
        <v>63</v>
      </c>
      <c r="F25" s="30">
        <v>6000.0</v>
      </c>
      <c r="G25" s="29"/>
      <c r="H25" s="14"/>
      <c r="I25" s="14"/>
      <c r="J25" s="49" t="s">
        <v>68</v>
      </c>
      <c r="K25" s="50"/>
      <c r="L25" s="50"/>
      <c r="M25" s="50"/>
      <c r="N25" s="50"/>
      <c r="O25" s="14"/>
      <c r="P25" s="14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"/>
      <c r="B26" s="20" t="s">
        <v>69</v>
      </c>
      <c r="C26" s="21" t="s">
        <v>70</v>
      </c>
      <c r="D26" s="21" t="s">
        <v>71</v>
      </c>
      <c r="E26" s="51" t="s">
        <v>72</v>
      </c>
      <c r="F26" s="22">
        <v>80873.4</v>
      </c>
      <c r="G26" s="21"/>
      <c r="H26" s="14"/>
      <c r="I26" s="14"/>
      <c r="J26" s="14"/>
      <c r="K26" s="14"/>
      <c r="L26" s="14"/>
      <c r="M26" s="14"/>
      <c r="N26" s="14"/>
      <c r="O26" s="14"/>
      <c r="P26" s="14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/>
      <c r="B27" s="28" t="s">
        <v>73</v>
      </c>
      <c r="C27" s="29" t="s">
        <v>74</v>
      </c>
      <c r="D27" s="29" t="s">
        <v>75</v>
      </c>
      <c r="E27" s="52" t="s">
        <v>72</v>
      </c>
      <c r="F27" s="30">
        <v>81990.23</v>
      </c>
      <c r="G27" s="29"/>
      <c r="H27" s="14"/>
      <c r="I27" s="14"/>
      <c r="J27" s="47" t="s">
        <v>76</v>
      </c>
      <c r="K27" s="53">
        <v>83920.28</v>
      </c>
      <c r="L27" s="1"/>
      <c r="M27" s="1"/>
      <c r="N27" s="1"/>
      <c r="O27" s="14"/>
      <c r="P27" s="14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/>
      <c r="B28" s="20" t="s">
        <v>77</v>
      </c>
      <c r="C28" s="21" t="s">
        <v>78</v>
      </c>
      <c r="D28" s="54">
        <v>46047.0</v>
      </c>
      <c r="E28" s="46" t="s">
        <v>79</v>
      </c>
      <c r="F28" s="22">
        <v>3295.34</v>
      </c>
      <c r="G28" s="21"/>
      <c r="H28" s="14"/>
      <c r="I28" s="14"/>
      <c r="J28" s="49" t="s">
        <v>80</v>
      </c>
      <c r="K28" s="50"/>
      <c r="L28" s="50"/>
      <c r="M28" s="50"/>
      <c r="N28" s="50"/>
      <c r="O28" s="14"/>
      <c r="P28" s="14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/>
      <c r="B29" s="28" t="s">
        <v>81</v>
      </c>
      <c r="C29" s="29" t="s">
        <v>82</v>
      </c>
      <c r="D29" s="55">
        <v>46047.0</v>
      </c>
      <c r="E29" s="36" t="s">
        <v>83</v>
      </c>
      <c r="F29" s="30">
        <v>0.0</v>
      </c>
      <c r="G29" s="29"/>
      <c r="H29" s="14"/>
      <c r="I29" s="14"/>
      <c r="J29" s="14"/>
      <c r="K29" s="14"/>
      <c r="L29" s="14"/>
      <c r="M29" s="14"/>
      <c r="N29" s="14"/>
      <c r="O29" s="14"/>
      <c r="P29" s="14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"/>
      <c r="B30" s="20" t="s">
        <v>84</v>
      </c>
      <c r="C30" s="21" t="s">
        <v>78</v>
      </c>
      <c r="D30" s="54">
        <v>46106.0</v>
      </c>
      <c r="E30" s="46" t="s">
        <v>63</v>
      </c>
      <c r="F30" s="22">
        <v>33295.34</v>
      </c>
      <c r="G30" s="21"/>
      <c r="H30" s="14"/>
      <c r="I30" s="14"/>
      <c r="J30" s="47" t="s">
        <v>85</v>
      </c>
      <c r="K30" s="48" t="s">
        <v>86</v>
      </c>
      <c r="L30" s="1"/>
      <c r="M30" s="1"/>
      <c r="N30" s="1"/>
      <c r="O30" s="14"/>
      <c r="P30" s="1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"/>
      <c r="B31" s="28" t="s">
        <v>87</v>
      </c>
      <c r="C31" s="29" t="s">
        <v>30</v>
      </c>
      <c r="D31" s="29" t="s">
        <v>88</v>
      </c>
      <c r="E31" s="36" t="s">
        <v>89</v>
      </c>
      <c r="F31" s="30">
        <v>0.0</v>
      </c>
      <c r="G31" s="29"/>
      <c r="H31" s="14"/>
      <c r="I31" s="14"/>
      <c r="J31" s="49" t="s">
        <v>90</v>
      </c>
      <c r="K31" s="50"/>
      <c r="L31" s="50"/>
      <c r="M31" s="50"/>
      <c r="N31" s="50"/>
      <c r="O31" s="14"/>
      <c r="P31" s="14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/>
      <c r="B32" s="20" t="s">
        <v>91</v>
      </c>
      <c r="C32" s="21" t="s">
        <v>92</v>
      </c>
      <c r="D32" s="21" t="s">
        <v>93</v>
      </c>
      <c r="E32" s="23" t="s">
        <v>94</v>
      </c>
      <c r="F32" s="22">
        <v>4599.38</v>
      </c>
      <c r="G32" s="21"/>
      <c r="H32" s="14"/>
      <c r="I32" s="14"/>
      <c r="J32" s="14"/>
      <c r="K32" s="14"/>
      <c r="L32" s="14"/>
      <c r="M32" s="14"/>
      <c r="N32" s="14"/>
      <c r="O32" s="14"/>
      <c r="P32" s="14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/>
      <c r="B33" s="19" t="s">
        <v>95</v>
      </c>
      <c r="C33" s="19"/>
      <c r="D33" s="19"/>
      <c r="E33" s="19"/>
      <c r="F33" s="37">
        <f>SUM(F24:F32)</f>
        <v>251383.29</v>
      </c>
      <c r="G33" s="19"/>
      <c r="H33" s="14"/>
      <c r="I33" s="14"/>
      <c r="J33" s="47" t="s">
        <v>96</v>
      </c>
      <c r="K33" s="56" t="s">
        <v>26</v>
      </c>
      <c r="L33" s="1"/>
      <c r="M33" s="1"/>
      <c r="N33" s="1"/>
      <c r="O33" s="14"/>
      <c r="P33" s="14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49" t="s">
        <v>97</v>
      </c>
      <c r="K34" s="50"/>
      <c r="L34" s="50"/>
      <c r="M34" s="50"/>
      <c r="N34" s="50"/>
      <c r="O34" s="14"/>
      <c r="P34" s="14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47" t="s">
        <v>98</v>
      </c>
      <c r="K36" s="57">
        <v>1.0</v>
      </c>
      <c r="L36" s="1"/>
      <c r="M36" s="1"/>
      <c r="N36" s="1"/>
      <c r="O36" s="14"/>
      <c r="P36" s="14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58" t="s">
        <v>99</v>
      </c>
      <c r="K37" s="1"/>
      <c r="L37" s="1"/>
      <c r="M37" s="1"/>
      <c r="N37" s="1"/>
      <c r="O37" s="14"/>
      <c r="P37" s="14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/>
      <c r="B39" s="17" t="s">
        <v>100</v>
      </c>
      <c r="C39" s="18"/>
      <c r="D39" s="18"/>
      <c r="E39" s="18"/>
      <c r="F39" s="18"/>
      <c r="G39" s="18"/>
      <c r="H39" s="14"/>
      <c r="I39" s="14"/>
      <c r="J39" s="17" t="s">
        <v>101</v>
      </c>
      <c r="K39" s="18"/>
      <c r="L39" s="18"/>
      <c r="M39" s="18"/>
      <c r="N39" s="18"/>
      <c r="O39" s="14"/>
      <c r="P39" s="14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"/>
      <c r="B40" s="19" t="s">
        <v>102</v>
      </c>
      <c r="C40" s="19"/>
      <c r="D40" s="19" t="s">
        <v>103</v>
      </c>
      <c r="E40" s="19" t="s">
        <v>104</v>
      </c>
      <c r="F40" s="19"/>
      <c r="G40" s="19"/>
      <c r="H40" s="14"/>
      <c r="I40" s="14"/>
      <c r="J40" s="19"/>
      <c r="K40" s="19" t="s">
        <v>11</v>
      </c>
      <c r="L40" s="19" t="s">
        <v>105</v>
      </c>
      <c r="M40" s="19"/>
      <c r="N40" s="19"/>
      <c r="O40" s="14"/>
      <c r="P40" s="14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4"/>
      <c r="B41" s="59" t="s">
        <v>106</v>
      </c>
      <c r="C41" s="5"/>
      <c r="D41" s="60">
        <v>5.0</v>
      </c>
      <c r="E41" s="61">
        <v>0.83</v>
      </c>
      <c r="F41" s="25"/>
      <c r="G41" s="25"/>
      <c r="H41" s="14"/>
      <c r="I41" s="14"/>
      <c r="J41" s="21" t="s">
        <v>107</v>
      </c>
      <c r="K41" s="20" t="s">
        <v>108</v>
      </c>
      <c r="L41" s="62" t="s">
        <v>109</v>
      </c>
      <c r="M41" s="5"/>
      <c r="N41" s="5"/>
      <c r="O41" s="14"/>
      <c r="P41" s="14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4"/>
      <c r="B42" s="63" t="s">
        <v>110</v>
      </c>
      <c r="C42" s="5"/>
      <c r="D42" s="64">
        <v>4.0</v>
      </c>
      <c r="E42" s="65">
        <v>0.67</v>
      </c>
      <c r="F42" s="1"/>
      <c r="G42" s="1"/>
      <c r="H42" s="14"/>
      <c r="I42" s="14"/>
      <c r="J42" s="29" t="s">
        <v>107</v>
      </c>
      <c r="K42" s="28" t="s">
        <v>111</v>
      </c>
      <c r="L42" s="66" t="s">
        <v>112</v>
      </c>
      <c r="M42" s="5"/>
      <c r="N42" s="5"/>
      <c r="O42" s="14"/>
      <c r="P42" s="14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4"/>
      <c r="B43" s="59" t="s">
        <v>113</v>
      </c>
      <c r="C43" s="5"/>
      <c r="D43" s="60">
        <v>4.0</v>
      </c>
      <c r="E43" s="61">
        <v>0.67</v>
      </c>
      <c r="F43" s="25"/>
      <c r="G43" s="25"/>
      <c r="H43" s="14"/>
      <c r="I43" s="14"/>
      <c r="J43" s="21" t="s">
        <v>107</v>
      </c>
      <c r="K43" s="20" t="s">
        <v>114</v>
      </c>
      <c r="L43" s="62" t="s">
        <v>115</v>
      </c>
      <c r="M43" s="5"/>
      <c r="N43" s="5"/>
      <c r="O43" s="14"/>
      <c r="P43" s="14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4"/>
      <c r="B44" s="63" t="s">
        <v>116</v>
      </c>
      <c r="C44" s="5"/>
      <c r="D44" s="64">
        <v>4.0</v>
      </c>
      <c r="E44" s="65">
        <v>0.67</v>
      </c>
      <c r="F44" s="1"/>
      <c r="G44" s="1"/>
      <c r="H44" s="14"/>
      <c r="I44" s="14"/>
      <c r="J44" s="29" t="s">
        <v>107</v>
      </c>
      <c r="K44" s="28" t="s">
        <v>117</v>
      </c>
      <c r="L44" s="66" t="s">
        <v>118</v>
      </c>
      <c r="M44" s="5"/>
      <c r="N44" s="5"/>
      <c r="O44" s="14"/>
      <c r="P44" s="14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4"/>
      <c r="B45" s="59" t="s">
        <v>119</v>
      </c>
      <c r="C45" s="5"/>
      <c r="D45" s="60">
        <v>3.0</v>
      </c>
      <c r="E45" s="61">
        <v>0.5</v>
      </c>
      <c r="F45" s="25"/>
      <c r="G45" s="25"/>
      <c r="H45" s="14"/>
      <c r="I45" s="14"/>
      <c r="J45" s="21" t="s">
        <v>107</v>
      </c>
      <c r="K45" s="20" t="s">
        <v>120</v>
      </c>
      <c r="L45" s="62" t="s">
        <v>121</v>
      </c>
      <c r="M45" s="5"/>
      <c r="N45" s="5"/>
      <c r="O45" s="14"/>
      <c r="P45" s="14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4"/>
      <c r="B46" s="63" t="s">
        <v>122</v>
      </c>
      <c r="C46" s="5"/>
      <c r="D46" s="64">
        <v>2.0</v>
      </c>
      <c r="E46" s="65">
        <v>0.33</v>
      </c>
      <c r="F46" s="1"/>
      <c r="G46" s="1"/>
      <c r="H46" s="14"/>
      <c r="I46" s="14"/>
      <c r="J46" s="41" t="s">
        <v>107</v>
      </c>
      <c r="K46" s="40" t="s">
        <v>123</v>
      </c>
      <c r="L46" s="67" t="s">
        <v>124</v>
      </c>
      <c r="M46" s="68"/>
      <c r="N46" s="68"/>
      <c r="O46" s="14"/>
      <c r="P46" s="14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"/>
      <c r="B47" s="69" t="s">
        <v>125</v>
      </c>
      <c r="C47" s="68"/>
      <c r="D47" s="70">
        <v>2.0</v>
      </c>
      <c r="E47" s="71">
        <v>0.33</v>
      </c>
      <c r="F47" s="72"/>
      <c r="G47" s="72"/>
      <c r="H47" s="14"/>
      <c r="I47" s="14"/>
      <c r="J47" s="14"/>
      <c r="K47" s="14"/>
      <c r="L47" s="14"/>
      <c r="M47" s="14"/>
      <c r="N47" s="14"/>
      <c r="O47" s="14"/>
      <c r="P47" s="14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4"/>
      <c r="B49" s="17" t="s">
        <v>126</v>
      </c>
      <c r="C49" s="18"/>
      <c r="D49" s="18"/>
      <c r="E49" s="18"/>
      <c r="F49" s="18"/>
      <c r="G49" s="18"/>
      <c r="H49" s="14"/>
      <c r="I49" s="14"/>
      <c r="J49" s="17" t="s">
        <v>127</v>
      </c>
      <c r="K49" s="18"/>
      <c r="L49" s="18"/>
      <c r="M49" s="18"/>
      <c r="N49" s="18"/>
      <c r="O49" s="14"/>
      <c r="P49" s="14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4"/>
      <c r="B50" s="19" t="s">
        <v>128</v>
      </c>
      <c r="C50" s="19" t="s">
        <v>129</v>
      </c>
      <c r="D50" s="19" t="s">
        <v>130</v>
      </c>
      <c r="E50" s="19" t="s">
        <v>131</v>
      </c>
      <c r="F50" s="19" t="s">
        <v>36</v>
      </c>
      <c r="G50" s="19"/>
      <c r="H50" s="14"/>
      <c r="I50" s="14"/>
      <c r="J50" s="19" t="s">
        <v>47</v>
      </c>
      <c r="K50" s="19" t="s">
        <v>17</v>
      </c>
      <c r="L50" s="19" t="s">
        <v>18</v>
      </c>
      <c r="M50" s="19" t="s">
        <v>58</v>
      </c>
      <c r="N50" s="19" t="s">
        <v>132</v>
      </c>
      <c r="O50" s="14"/>
      <c r="P50" s="14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4"/>
      <c r="B51" s="25" t="s">
        <v>133</v>
      </c>
      <c r="C51" s="35">
        <v>3.0</v>
      </c>
      <c r="D51" s="24">
        <v>3.0</v>
      </c>
      <c r="E51" s="73">
        <v>2.0</v>
      </c>
      <c r="F51" s="74">
        <f t="shared" ref="F51:F52" si="2">SUM(C51:E51)</f>
        <v>8</v>
      </c>
      <c r="G51" s="25"/>
      <c r="H51" s="14"/>
      <c r="I51" s="14"/>
      <c r="J51" s="35" t="s">
        <v>134</v>
      </c>
      <c r="K51" s="25">
        <v>1.0</v>
      </c>
      <c r="L51" s="27">
        <f>IFERROR(K51/K57,0)</f>
        <v>0.0625</v>
      </c>
      <c r="M51" s="75" t="s">
        <v>129</v>
      </c>
      <c r="N51" s="26">
        <v>0.0</v>
      </c>
      <c r="O51" s="14"/>
      <c r="P51" s="14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4"/>
      <c r="B52" s="1" t="s">
        <v>135</v>
      </c>
      <c r="C52" s="76">
        <v>0.0</v>
      </c>
      <c r="D52" s="77">
        <v>1.0</v>
      </c>
      <c r="E52" s="78">
        <v>2.0</v>
      </c>
      <c r="F52" s="79">
        <f t="shared" si="2"/>
        <v>3</v>
      </c>
      <c r="G52" s="1"/>
      <c r="H52" s="14"/>
      <c r="I52" s="14"/>
      <c r="J52" s="76" t="s">
        <v>89</v>
      </c>
      <c r="K52" s="1">
        <v>1.0</v>
      </c>
      <c r="L52" s="34">
        <f>IFERROR(K52/K57,0)</f>
        <v>0.0625</v>
      </c>
      <c r="M52" s="80" t="s">
        <v>129</v>
      </c>
      <c r="N52" s="33">
        <v>0.0</v>
      </c>
      <c r="O52" s="14"/>
      <c r="P52" s="14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4"/>
      <c r="B53" s="19" t="s">
        <v>36</v>
      </c>
      <c r="C53" s="19">
        <f t="shared" ref="C53:F53" si="3">SUM(C51:C52)</f>
        <v>3</v>
      </c>
      <c r="D53" s="19">
        <f t="shared" si="3"/>
        <v>4</v>
      </c>
      <c r="E53" s="19">
        <f t="shared" si="3"/>
        <v>4</v>
      </c>
      <c r="F53" s="19">
        <f t="shared" si="3"/>
        <v>11</v>
      </c>
      <c r="G53" s="19"/>
      <c r="H53" s="14"/>
      <c r="I53" s="14"/>
      <c r="J53" s="81" t="s">
        <v>63</v>
      </c>
      <c r="K53" s="25">
        <v>5.0</v>
      </c>
      <c r="L53" s="27">
        <f>IFERROR(K53/K57,0)</f>
        <v>0.3125</v>
      </c>
      <c r="M53" s="75" t="s">
        <v>129</v>
      </c>
      <c r="N53" s="26">
        <v>83920.28</v>
      </c>
      <c r="O53" s="14"/>
      <c r="P53" s="14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78" t="s">
        <v>136</v>
      </c>
      <c r="K54" s="1">
        <v>6.0</v>
      </c>
      <c r="L54" s="34">
        <f>IFERROR(K54/K57,0)</f>
        <v>0.375</v>
      </c>
      <c r="M54" s="82" t="s">
        <v>131</v>
      </c>
      <c r="N54" s="33">
        <v>0.0</v>
      </c>
      <c r="O54" s="14"/>
      <c r="P54" s="14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24" t="s">
        <v>137</v>
      </c>
      <c r="K55" s="25">
        <v>1.0</v>
      </c>
      <c r="L55" s="27">
        <f>IFERROR(K55/K57,0)</f>
        <v>0.0625</v>
      </c>
      <c r="M55" s="83" t="s">
        <v>130</v>
      </c>
      <c r="N55" s="26">
        <v>4599.38</v>
      </c>
      <c r="O55" s="14"/>
      <c r="P55" s="14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84" t="s">
        <v>72</v>
      </c>
      <c r="K56" s="1">
        <v>2.0</v>
      </c>
      <c r="L56" s="34">
        <f>IFERROR(K56/K57,0)</f>
        <v>0.125</v>
      </c>
      <c r="M56" s="1" t="s">
        <v>138</v>
      </c>
      <c r="N56" s="33">
        <v>0.0</v>
      </c>
      <c r="O56" s="14"/>
      <c r="P56" s="14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9" t="s">
        <v>36</v>
      </c>
      <c r="K57" s="19">
        <f>SUM(K51:K56)</f>
        <v>16</v>
      </c>
      <c r="L57" s="38">
        <v>1.0</v>
      </c>
      <c r="M57" s="19"/>
      <c r="N57" s="37">
        <f>SUM(N51:N56)</f>
        <v>88519.66</v>
      </c>
      <c r="O57" s="14"/>
      <c r="P57" s="14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4"/>
      <c r="B60" s="85"/>
      <c r="C60" s="85" t="s">
        <v>139</v>
      </c>
      <c r="D60" s="85" t="s">
        <v>140</v>
      </c>
      <c r="E60" s="14"/>
      <c r="F60" s="14"/>
      <c r="G60" s="14"/>
      <c r="H60" s="14"/>
      <c r="I60" s="14"/>
      <c r="J60" s="85" t="s">
        <v>141</v>
      </c>
      <c r="K60" s="85" t="s">
        <v>17</v>
      </c>
      <c r="L60" s="14"/>
      <c r="M60" s="14"/>
      <c r="N60" s="14"/>
      <c r="O60" s="14"/>
      <c r="P60" s="14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4"/>
      <c r="B61" s="85" t="s">
        <v>133</v>
      </c>
      <c r="C61" s="85">
        <f t="shared" ref="C61:D61" si="4">C51</f>
        <v>3</v>
      </c>
      <c r="D61" s="85">
        <f t="shared" si="4"/>
        <v>3</v>
      </c>
      <c r="E61" s="14"/>
      <c r="F61" s="14"/>
      <c r="G61" s="14"/>
      <c r="H61" s="14"/>
      <c r="I61" s="14"/>
      <c r="J61" s="85" t="s">
        <v>134</v>
      </c>
      <c r="K61" s="85">
        <f t="shared" ref="K61:K65" si="6">K51</f>
        <v>1</v>
      </c>
      <c r="L61" s="14"/>
      <c r="M61" s="14"/>
      <c r="N61" s="14"/>
      <c r="O61" s="14"/>
      <c r="P61" s="14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4"/>
      <c r="B62" s="85" t="s">
        <v>135</v>
      </c>
      <c r="C62" s="85">
        <f t="shared" ref="C62:D62" si="5">C52</f>
        <v>0</v>
      </c>
      <c r="D62" s="85">
        <f t="shared" si="5"/>
        <v>1</v>
      </c>
      <c r="E62" s="14"/>
      <c r="F62" s="14"/>
      <c r="G62" s="14"/>
      <c r="H62" s="14"/>
      <c r="I62" s="14"/>
      <c r="J62" s="85" t="s">
        <v>89</v>
      </c>
      <c r="K62" s="85">
        <f t="shared" si="6"/>
        <v>1</v>
      </c>
      <c r="L62" s="14"/>
      <c r="M62" s="14"/>
      <c r="N62" s="14"/>
      <c r="O62" s="14"/>
      <c r="P62" s="14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85" t="s">
        <v>63</v>
      </c>
      <c r="K63" s="85">
        <f t="shared" si="6"/>
        <v>5</v>
      </c>
      <c r="L63" s="14"/>
      <c r="M63" s="14"/>
      <c r="N63" s="14"/>
      <c r="O63" s="14"/>
      <c r="P63" s="14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85" t="s">
        <v>136</v>
      </c>
      <c r="K64" s="85">
        <f t="shared" si="6"/>
        <v>6</v>
      </c>
      <c r="L64" s="14"/>
      <c r="M64" s="14"/>
      <c r="N64" s="14"/>
      <c r="O64" s="14"/>
      <c r="P64" s="14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85" t="s">
        <v>137</v>
      </c>
      <c r="K65" s="85">
        <f t="shared" si="6"/>
        <v>1</v>
      </c>
      <c r="L65" s="14"/>
      <c r="M65" s="14"/>
      <c r="N65" s="14"/>
      <c r="O65" s="14"/>
      <c r="P65" s="14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7" t="s">
        <v>142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8">
    <mergeCell ref="M5:O5"/>
    <mergeCell ref="M6:O6"/>
    <mergeCell ref="L41:N41"/>
    <mergeCell ref="L42:N42"/>
    <mergeCell ref="L43:N43"/>
    <mergeCell ref="L44:N44"/>
    <mergeCell ref="L45:N45"/>
    <mergeCell ref="L46:N46"/>
    <mergeCell ref="J7:K7"/>
    <mergeCell ref="M7:O7"/>
    <mergeCell ref="B2:O2"/>
    <mergeCell ref="B5:C5"/>
    <mergeCell ref="E5:G5"/>
    <mergeCell ref="J5:K5"/>
    <mergeCell ref="B6:C6"/>
    <mergeCell ref="J6:K6"/>
    <mergeCell ref="B7:C7"/>
    <mergeCell ref="B45:C45"/>
    <mergeCell ref="B46:C46"/>
    <mergeCell ref="B47:C47"/>
    <mergeCell ref="B83:O83"/>
    <mergeCell ref="E6:G6"/>
    <mergeCell ref="E7:G7"/>
    <mergeCell ref="B9:G9"/>
    <mergeCell ref="B41:C41"/>
    <mergeCell ref="B42:C42"/>
    <mergeCell ref="B43:C43"/>
    <mergeCell ref="B44:C44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1.71"/>
    <col customWidth="1" min="2" max="2" width="45.43"/>
    <col customWidth="1" min="3" max="3" width="13.14"/>
    <col customWidth="1" min="4" max="4" width="21.14"/>
    <col customWidth="1" min="5" max="5" width="65.14"/>
    <col customWidth="1" min="6" max="6" width="35.0"/>
    <col customWidth="1" min="7" max="7" width="11.57"/>
    <col customWidth="1" min="8" max="8" width="66.43"/>
    <col customWidth="1" min="9" max="9" width="15.14"/>
    <col customWidth="1" min="10" max="10" width="68.57"/>
    <col customWidth="1" min="11" max="11" width="53.71"/>
    <col customWidth="1" min="12" max="26" width="66.14"/>
  </cols>
  <sheetData>
    <row r="1">
      <c r="A1" s="86" t="s">
        <v>143</v>
      </c>
      <c r="B1" s="87"/>
      <c r="C1" s="87"/>
      <c r="D1" s="87"/>
      <c r="E1" s="87"/>
      <c r="F1" s="87"/>
      <c r="G1" s="87"/>
      <c r="H1" s="87"/>
      <c r="I1" s="87"/>
      <c r="J1" s="87"/>
      <c r="K1" s="88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2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3" t="s">
        <v>144</v>
      </c>
      <c r="B3" s="93" t="s">
        <v>145</v>
      </c>
      <c r="C3" s="93" t="s">
        <v>45</v>
      </c>
      <c r="D3" s="94" t="s">
        <v>146</v>
      </c>
      <c r="E3" s="95" t="s">
        <v>147</v>
      </c>
      <c r="F3" s="96"/>
      <c r="G3" s="93" t="s">
        <v>148</v>
      </c>
      <c r="H3" s="93" t="s">
        <v>149</v>
      </c>
      <c r="I3" s="93" t="s">
        <v>150</v>
      </c>
      <c r="J3" s="93" t="s">
        <v>151</v>
      </c>
      <c r="K3" s="93" t="s">
        <v>152</v>
      </c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98"/>
      <c r="B4" s="98"/>
      <c r="C4" s="98"/>
      <c r="D4" s="98"/>
      <c r="E4" s="99" t="s">
        <v>153</v>
      </c>
      <c r="F4" s="99" t="s">
        <v>12</v>
      </c>
      <c r="G4" s="98"/>
      <c r="H4" s="98"/>
      <c r="I4" s="98"/>
      <c r="J4" s="98"/>
      <c r="K4" s="98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0" t="s">
        <v>19</v>
      </c>
      <c r="B5" s="101" t="s">
        <v>154</v>
      </c>
      <c r="C5" s="100" t="s">
        <v>155</v>
      </c>
      <c r="D5" s="102">
        <v>45471.0</v>
      </c>
      <c r="E5" s="100" t="s">
        <v>156</v>
      </c>
      <c r="F5" s="100" t="s">
        <v>157</v>
      </c>
      <c r="G5" s="103">
        <v>120570.6</v>
      </c>
      <c r="H5" s="100" t="s">
        <v>158</v>
      </c>
      <c r="I5" s="100" t="s">
        <v>21</v>
      </c>
      <c r="J5" s="100" t="s">
        <v>159</v>
      </c>
      <c r="K5" s="100" t="s">
        <v>160</v>
      </c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96.5" customHeight="1">
      <c r="A6" s="100" t="s">
        <v>24</v>
      </c>
      <c r="B6" s="101" t="s">
        <v>161</v>
      </c>
      <c r="C6" s="100" t="s">
        <v>155</v>
      </c>
      <c r="D6" s="102">
        <v>45553.0</v>
      </c>
      <c r="E6" s="100" t="s">
        <v>162</v>
      </c>
      <c r="F6" s="100" t="s">
        <v>163</v>
      </c>
      <c r="G6" s="103" t="s">
        <v>164</v>
      </c>
      <c r="H6" s="100" t="s">
        <v>165</v>
      </c>
      <c r="I6" s="100" t="s">
        <v>26</v>
      </c>
      <c r="J6" s="100" t="s">
        <v>166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100" t="s">
        <v>29</v>
      </c>
      <c r="B7" s="100" t="s">
        <v>167</v>
      </c>
      <c r="C7" s="101" t="s">
        <v>155</v>
      </c>
      <c r="D7" s="102">
        <v>45805.0</v>
      </c>
      <c r="E7" s="100" t="s">
        <v>168</v>
      </c>
      <c r="F7" s="100" t="s">
        <v>169</v>
      </c>
      <c r="G7" s="103">
        <v>78833.87</v>
      </c>
      <c r="H7" s="101" t="s">
        <v>170</v>
      </c>
      <c r="I7" s="100" t="s">
        <v>21</v>
      </c>
      <c r="J7" s="100" t="s">
        <v>171</v>
      </c>
      <c r="K7" s="100" t="s">
        <v>172</v>
      </c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100" t="s">
        <v>32</v>
      </c>
      <c r="B8" s="100" t="s">
        <v>173</v>
      </c>
      <c r="C8" s="101" t="s">
        <v>155</v>
      </c>
      <c r="D8" s="102">
        <v>45824.0</v>
      </c>
      <c r="E8" s="100" t="s">
        <v>174</v>
      </c>
      <c r="F8" s="100" t="s">
        <v>175</v>
      </c>
      <c r="G8" s="100" t="s">
        <v>176</v>
      </c>
      <c r="H8" s="100" t="s">
        <v>177</v>
      </c>
      <c r="I8" s="100" t="s">
        <v>34</v>
      </c>
      <c r="J8" s="104" t="s">
        <v>178</v>
      </c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100" t="s">
        <v>37</v>
      </c>
      <c r="B9" s="101" t="s">
        <v>154</v>
      </c>
      <c r="C9" s="101" t="s">
        <v>155</v>
      </c>
      <c r="D9" s="102">
        <v>46080.0</v>
      </c>
      <c r="E9" s="100" t="s">
        <v>174</v>
      </c>
      <c r="F9" s="100" t="s">
        <v>179</v>
      </c>
      <c r="G9" s="105">
        <v>150337.52</v>
      </c>
      <c r="H9" s="100" t="s">
        <v>180</v>
      </c>
      <c r="I9" s="100" t="s">
        <v>26</v>
      </c>
      <c r="J9" s="104" t="s">
        <v>181</v>
      </c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100" t="s">
        <v>40</v>
      </c>
      <c r="B10" s="100" t="s">
        <v>182</v>
      </c>
      <c r="C10" s="101" t="s">
        <v>183</v>
      </c>
      <c r="D10" s="102">
        <v>46086.0</v>
      </c>
      <c r="E10" s="100" t="s">
        <v>184</v>
      </c>
      <c r="F10" s="100" t="s">
        <v>41</v>
      </c>
      <c r="G10" s="105">
        <v>292799.78</v>
      </c>
      <c r="H10" s="100" t="s">
        <v>185</v>
      </c>
      <c r="I10" s="100" t="s">
        <v>26</v>
      </c>
      <c r="J10" s="104" t="s">
        <v>186</v>
      </c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6"/>
      <c r="B11" s="97"/>
      <c r="C11" s="97"/>
      <c r="D11" s="10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6"/>
      <c r="B12" s="97"/>
      <c r="C12" s="97"/>
      <c r="D12" s="10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8"/>
      <c r="B13" s="97"/>
      <c r="C13" s="97"/>
      <c r="D13" s="10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8"/>
      <c r="B14" s="97"/>
      <c r="C14" s="97"/>
      <c r="D14" s="10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8"/>
      <c r="B15" s="97"/>
      <c r="C15" s="97"/>
      <c r="D15" s="10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8"/>
      <c r="B16" s="97"/>
      <c r="C16" s="97"/>
      <c r="D16" s="10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8"/>
      <c r="B17" s="97"/>
      <c r="C17" s="97"/>
      <c r="D17" s="10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8"/>
      <c r="B18" s="97"/>
      <c r="C18" s="97"/>
      <c r="D18" s="10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8"/>
      <c r="B19" s="97"/>
      <c r="C19" s="97"/>
      <c r="D19" s="10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8"/>
      <c r="B20" s="97"/>
      <c r="C20" s="97"/>
      <c r="D20" s="10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8"/>
      <c r="B21" s="97"/>
      <c r="C21" s="97"/>
      <c r="D21" s="10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8"/>
      <c r="B22" s="97"/>
      <c r="C22" s="97"/>
      <c r="D22" s="10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8"/>
      <c r="B23" s="97"/>
      <c r="C23" s="97"/>
      <c r="D23" s="10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8"/>
      <c r="B24" s="97"/>
      <c r="C24" s="97"/>
      <c r="D24" s="10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8"/>
      <c r="B25" s="97"/>
      <c r="C25" s="97"/>
      <c r="D25" s="10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8"/>
      <c r="B26" s="97"/>
      <c r="C26" s="97"/>
      <c r="D26" s="10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97"/>
      <c r="D27" s="10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97"/>
      <c r="D28" s="10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97"/>
      <c r="D29" s="10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97"/>
      <c r="D30" s="10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10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97"/>
      <c r="D32" s="10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10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10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10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10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10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10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10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10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10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10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10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10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10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10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10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10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10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10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10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10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10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10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10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10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10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10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10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10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10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10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10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10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10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10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10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10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10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10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10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10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10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10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10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10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10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10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10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10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10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10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10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10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10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10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10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10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10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10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10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10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10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10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10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10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10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10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10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10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10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10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10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10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10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10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10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10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10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10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10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10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10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10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10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10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10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10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10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10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10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10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10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10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10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10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10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10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10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10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10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10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10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10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10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10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10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10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10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10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10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10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10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10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10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10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10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10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10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10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10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10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10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10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10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10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10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10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10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10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10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10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10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10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10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10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10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10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10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10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10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10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10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10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10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10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10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10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10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10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10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10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10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10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10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10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10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10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10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10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10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10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10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10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10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10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10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10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10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10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10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10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10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10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10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10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10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10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10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10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10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10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10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10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10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10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10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10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10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10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10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10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10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10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10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10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10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10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10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10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10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10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10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10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10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10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10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10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10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10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10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10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10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10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10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10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10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10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10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10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10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10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10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10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10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10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10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10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10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10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10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10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10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10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10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10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10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10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10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10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10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10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10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10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10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10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10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10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10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10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10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10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10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10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10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10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10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10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10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10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10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10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10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10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10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10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10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10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10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10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10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10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10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10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10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10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10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10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10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10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10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10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10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10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10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10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10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10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10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10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10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10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10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10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10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10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10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10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10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10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10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10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10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10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10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10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10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10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10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10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10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10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10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10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10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10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10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10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10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10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10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10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10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10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10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10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10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10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10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10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10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10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10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10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10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10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10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10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10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10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10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10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10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10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10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10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10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10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10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10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10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10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10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10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10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10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10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10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10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10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10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10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10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10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10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10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10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10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10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10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10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10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10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10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10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10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10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10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10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10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10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10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10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10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10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10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10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10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10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10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10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10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10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10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10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10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10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10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10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10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10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10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10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10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10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10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10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10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10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10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10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10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10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10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10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10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10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10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10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10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10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10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10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10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10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10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10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10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10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10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10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10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10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10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10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10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10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10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10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10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10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10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10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10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10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10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10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10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10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10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10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10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10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10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10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10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10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10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10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10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10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10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10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10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10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10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10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10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10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10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10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10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10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10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10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10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10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10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10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10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10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10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10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10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10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10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10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10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10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10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10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10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10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10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10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10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10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10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10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10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10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10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10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10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10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10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10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10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10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10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10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10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10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10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10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10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10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10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10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10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10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10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10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10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10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10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10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10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10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10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10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10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10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10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10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10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10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10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10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10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10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10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10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10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10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10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10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10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10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10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10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10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10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10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10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10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10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10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10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10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10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10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10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10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10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10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10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10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10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10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10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10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10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10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10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10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10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10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10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10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10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10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10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10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10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10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10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10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10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10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10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10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10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10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10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10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10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10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10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10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10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10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10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10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10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10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10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10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10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10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10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10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10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10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10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10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10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10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10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10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10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10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10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10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10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10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10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10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10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10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10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10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10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10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10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10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10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10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10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10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10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10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10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10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10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10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10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10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10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10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10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10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10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10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10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10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10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10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10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10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10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10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10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10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10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10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10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10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10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10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10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10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10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10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10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10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10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10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10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10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10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10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10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10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10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10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10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10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10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10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10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10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10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10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10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10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10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10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10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10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10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10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10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10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10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10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10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10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10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10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10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10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10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10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10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10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10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10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10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10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10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10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10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10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10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10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10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10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10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10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10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10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10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10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10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10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10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10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10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10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10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10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10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10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10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10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10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10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10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10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10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10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10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10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10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10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10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10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10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10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10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10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10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10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10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10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10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10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10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10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10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10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10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10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10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10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10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10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10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10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10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10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10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10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10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10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10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10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10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10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10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10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10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10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10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10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10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10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10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10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10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10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10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10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10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10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10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10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10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10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10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10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10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10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10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10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10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10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10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10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10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10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10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10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10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10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10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10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10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10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10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10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10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10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10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10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10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10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10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10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10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10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10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10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10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10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10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10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10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10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10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10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10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10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10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10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10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10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10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10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10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10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10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10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10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10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10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10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10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10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10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10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10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10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10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10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10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10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10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10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10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10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10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10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10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10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10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10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10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10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10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10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10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10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10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10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10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10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10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10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10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10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10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10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10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10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10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10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10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10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10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10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10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10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10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10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10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10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10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10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10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10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10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10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10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10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10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10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10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10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10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10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10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10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10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10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10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10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10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10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10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10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10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10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10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10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10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10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10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10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10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10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10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10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10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10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10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10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10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10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10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10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10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10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10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10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</sheetData>
  <mergeCells count="11">
    <mergeCell ref="H3:H4"/>
    <mergeCell ref="I3:I4"/>
    <mergeCell ref="J3:J4"/>
    <mergeCell ref="K3:K4"/>
    <mergeCell ref="A1:K2"/>
    <mergeCell ref="A3:A4"/>
    <mergeCell ref="B3:B4"/>
    <mergeCell ref="C3:C4"/>
    <mergeCell ref="D3:D4"/>
    <mergeCell ref="E3:F3"/>
    <mergeCell ref="G3:G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71"/>
    <col customWidth="1" min="3" max="3" width="13.14"/>
    <col customWidth="1" min="4" max="4" width="16.14"/>
    <col customWidth="1" min="5" max="5" width="8.14"/>
    <col customWidth="1" min="6" max="6" width="11.86"/>
    <col customWidth="1" min="7" max="7" width="19.57"/>
    <col customWidth="1" min="8" max="8" width="17.29"/>
  </cols>
  <sheetData>
    <row r="1" ht="34.5" customHeight="1">
      <c r="A1" s="109" t="s">
        <v>187</v>
      </c>
      <c r="B1" s="87"/>
      <c r="C1" s="87"/>
      <c r="D1" s="87"/>
      <c r="E1" s="87"/>
      <c r="F1" s="87"/>
      <c r="G1" s="87"/>
      <c r="H1" s="88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 ht="8.25" customHeight="1">
      <c r="A2" s="90"/>
      <c r="B2" s="91"/>
      <c r="C2" s="91"/>
      <c r="D2" s="91"/>
      <c r="E2" s="91"/>
      <c r="F2" s="91"/>
      <c r="G2" s="91"/>
      <c r="H2" s="92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</row>
    <row r="3" ht="25.5" customHeight="1">
      <c r="A3" s="112" t="s">
        <v>188</v>
      </c>
      <c r="B3" s="112" t="s">
        <v>189</v>
      </c>
      <c r="C3" s="112" t="s">
        <v>190</v>
      </c>
      <c r="D3" s="112" t="s">
        <v>191</v>
      </c>
      <c r="E3" s="113" t="s">
        <v>192</v>
      </c>
      <c r="F3" s="114" t="s">
        <v>193</v>
      </c>
      <c r="G3" s="112" t="s">
        <v>194</v>
      </c>
      <c r="H3" s="112" t="s">
        <v>195</v>
      </c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</row>
    <row r="4" ht="112.5" customHeight="1">
      <c r="A4" s="100" t="s">
        <v>49</v>
      </c>
      <c r="B4" s="102" t="s">
        <v>196</v>
      </c>
      <c r="C4" s="100" t="s">
        <v>197</v>
      </c>
      <c r="D4" s="102" t="s">
        <v>198</v>
      </c>
      <c r="E4" s="100" t="s">
        <v>52</v>
      </c>
      <c r="F4" s="100" t="s">
        <v>51</v>
      </c>
      <c r="G4" s="103" t="s">
        <v>199</v>
      </c>
      <c r="H4" s="100" t="s">
        <v>200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6"/>
      <c r="Y4" s="116"/>
    </row>
    <row r="5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</row>
    <row r="6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</row>
    <row r="9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</row>
    <row r="10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</row>
    <row r="1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</row>
  </sheetData>
  <mergeCells count="1">
    <mergeCell ref="A1:H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2.14"/>
    <col customWidth="1" min="3" max="3" width="12.14"/>
    <col customWidth="1" min="4" max="4" width="12.43"/>
    <col customWidth="1" min="5" max="5" width="19.14"/>
    <col customWidth="1" min="6" max="6" width="27.43"/>
    <col customWidth="1" min="7" max="7" width="11.0"/>
    <col customWidth="1" min="8" max="8" width="45.71"/>
    <col customWidth="1" min="9" max="9" width="31.43"/>
    <col customWidth="1" min="10" max="10" width="21.57"/>
  </cols>
  <sheetData>
    <row r="1" ht="34.5" customHeight="1">
      <c r="A1" s="86" t="s">
        <v>143</v>
      </c>
      <c r="B1" s="87"/>
      <c r="C1" s="87"/>
      <c r="D1" s="87"/>
      <c r="E1" s="87"/>
      <c r="F1" s="87"/>
      <c r="G1" s="87"/>
      <c r="H1" s="87"/>
      <c r="I1" s="88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8.25" customHeight="1">
      <c r="A2" s="90"/>
      <c r="B2" s="91"/>
      <c r="C2" s="91"/>
      <c r="D2" s="91"/>
      <c r="E2" s="91"/>
      <c r="F2" s="91"/>
      <c r="G2" s="91"/>
      <c r="H2" s="91"/>
      <c r="I2" s="92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25.5" customHeight="1">
      <c r="A3" s="117" t="s">
        <v>144</v>
      </c>
      <c r="B3" s="117" t="s">
        <v>145</v>
      </c>
      <c r="C3" s="117" t="s">
        <v>45</v>
      </c>
      <c r="D3" s="117" t="s">
        <v>146</v>
      </c>
      <c r="E3" s="118" t="s">
        <v>147</v>
      </c>
      <c r="F3" s="119"/>
      <c r="G3" s="117" t="s">
        <v>148</v>
      </c>
      <c r="H3" s="117" t="s">
        <v>149</v>
      </c>
      <c r="I3" s="120" t="s">
        <v>201</v>
      </c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23.25" customHeight="1">
      <c r="A4" s="98"/>
      <c r="B4" s="98"/>
      <c r="C4" s="98"/>
      <c r="D4" s="98"/>
      <c r="E4" s="99" t="s">
        <v>153</v>
      </c>
      <c r="F4" s="99" t="s">
        <v>12</v>
      </c>
      <c r="G4" s="98"/>
      <c r="H4" s="98"/>
      <c r="I4" s="98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12.5" customHeight="1">
      <c r="A5" s="100" t="s">
        <v>60</v>
      </c>
      <c r="B5" s="100" t="s">
        <v>202</v>
      </c>
      <c r="C5" s="100" t="s">
        <v>155</v>
      </c>
      <c r="D5" s="102">
        <v>45014.0</v>
      </c>
      <c r="E5" s="100" t="s">
        <v>203</v>
      </c>
      <c r="F5" s="100" t="s">
        <v>204</v>
      </c>
      <c r="G5" s="103">
        <v>41329.6</v>
      </c>
      <c r="H5" s="100" t="s">
        <v>205</v>
      </c>
      <c r="I5" s="100" t="s">
        <v>206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6"/>
      <c r="Z5" s="116"/>
    </row>
    <row r="6" ht="112.5" customHeight="1">
      <c r="A6" s="100" t="s">
        <v>65</v>
      </c>
      <c r="B6" s="100" t="s">
        <v>207</v>
      </c>
      <c r="C6" s="100" t="s">
        <v>155</v>
      </c>
      <c r="D6" s="102">
        <v>44712.0</v>
      </c>
      <c r="E6" s="100" t="s">
        <v>174</v>
      </c>
      <c r="F6" s="100" t="s">
        <v>208</v>
      </c>
      <c r="G6" s="103" t="s">
        <v>209</v>
      </c>
      <c r="H6" s="100" t="s">
        <v>210</v>
      </c>
      <c r="I6" s="100" t="s">
        <v>211</v>
      </c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112.5" customHeight="1">
      <c r="A7" s="100" t="s">
        <v>69</v>
      </c>
      <c r="B7" s="100" t="s">
        <v>202</v>
      </c>
      <c r="C7" s="100" t="s">
        <v>155</v>
      </c>
      <c r="D7" s="102">
        <v>45202.0</v>
      </c>
      <c r="E7" s="100" t="s">
        <v>174</v>
      </c>
      <c r="F7" s="100" t="s">
        <v>212</v>
      </c>
      <c r="G7" s="103" t="s">
        <v>213</v>
      </c>
      <c r="H7" s="100" t="s">
        <v>214</v>
      </c>
      <c r="I7" s="100" t="s">
        <v>215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16"/>
      <c r="Z7" s="116"/>
    </row>
    <row r="8" ht="112.5" customHeight="1">
      <c r="A8" s="100" t="s">
        <v>73</v>
      </c>
      <c r="B8" s="100" t="s">
        <v>216</v>
      </c>
      <c r="C8" s="100" t="s">
        <v>155</v>
      </c>
      <c r="D8" s="102">
        <v>45188.0</v>
      </c>
      <c r="E8" s="100" t="s">
        <v>174</v>
      </c>
      <c r="F8" s="100" t="s">
        <v>217</v>
      </c>
      <c r="G8" s="103" t="s">
        <v>218</v>
      </c>
      <c r="H8" s="100" t="s">
        <v>219</v>
      </c>
      <c r="I8" s="100" t="s">
        <v>220</v>
      </c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112.5" customHeight="1">
      <c r="A9" s="122" t="s">
        <v>77</v>
      </c>
      <c r="B9" s="122" t="s">
        <v>221</v>
      </c>
      <c r="C9" s="122" t="s">
        <v>155</v>
      </c>
      <c r="D9" s="123">
        <v>45597.0</v>
      </c>
      <c r="E9" s="122" t="s">
        <v>174</v>
      </c>
      <c r="F9" s="100" t="s">
        <v>222</v>
      </c>
      <c r="G9" s="124" t="s">
        <v>223</v>
      </c>
      <c r="H9" s="122" t="s">
        <v>224</v>
      </c>
      <c r="I9" s="122" t="s">
        <v>225</v>
      </c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ht="112.5" customHeight="1">
      <c r="A10" s="101" t="s">
        <v>81</v>
      </c>
      <c r="B10" s="101" t="s">
        <v>226</v>
      </c>
      <c r="C10" s="101" t="s">
        <v>227</v>
      </c>
      <c r="D10" s="125">
        <v>45610.0</v>
      </c>
      <c r="E10" s="101" t="s">
        <v>228</v>
      </c>
      <c r="F10" s="100" t="s">
        <v>229</v>
      </c>
      <c r="G10" s="126">
        <v>325565.72</v>
      </c>
      <c r="H10" s="101" t="s">
        <v>230</v>
      </c>
      <c r="I10" s="101" t="s">
        <v>231</v>
      </c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12.5" customHeight="1">
      <c r="A11" s="101" t="s">
        <v>84</v>
      </c>
      <c r="B11" s="101" t="s">
        <v>232</v>
      </c>
      <c r="C11" s="101" t="s">
        <v>155</v>
      </c>
      <c r="D11" s="125">
        <v>45643.0</v>
      </c>
      <c r="E11" s="101" t="s">
        <v>174</v>
      </c>
      <c r="F11" s="100" t="s">
        <v>222</v>
      </c>
      <c r="G11" s="126">
        <v>192216.9</v>
      </c>
      <c r="H11" s="101" t="s">
        <v>233</v>
      </c>
      <c r="I11" s="101" t="s">
        <v>234</v>
      </c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87.5" customHeight="1">
      <c r="A12" s="127" t="s">
        <v>87</v>
      </c>
      <c r="B12" s="128" t="s">
        <v>235</v>
      </c>
      <c r="C12" s="127" t="s">
        <v>155</v>
      </c>
      <c r="D12" s="129">
        <v>45733.0</v>
      </c>
      <c r="E12" s="127" t="s">
        <v>236</v>
      </c>
      <c r="F12" s="127" t="s">
        <v>169</v>
      </c>
      <c r="G12" s="130">
        <v>65000.0</v>
      </c>
      <c r="H12" s="127" t="s">
        <v>237</v>
      </c>
      <c r="I12" s="127" t="s">
        <v>238</v>
      </c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ht="409.5" customHeight="1">
      <c r="A13" s="97" t="s">
        <v>91</v>
      </c>
      <c r="B13" s="97" t="s">
        <v>239</v>
      </c>
      <c r="C13" s="122" t="s">
        <v>155</v>
      </c>
      <c r="D13" s="107">
        <v>45849.0</v>
      </c>
      <c r="E13" s="97" t="s">
        <v>174</v>
      </c>
      <c r="F13" s="97" t="s">
        <v>240</v>
      </c>
      <c r="G13" s="97" t="s">
        <v>241</v>
      </c>
      <c r="H13" s="97" t="s">
        <v>242</v>
      </c>
      <c r="I13" s="97" t="s">
        <v>34</v>
      </c>
      <c r="J13" s="97" t="s">
        <v>243</v>
      </c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>
      <c r="A14" s="106" t="s">
        <v>244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06" t="s">
        <v>245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mergeCells count="9">
    <mergeCell ref="H3:H4"/>
    <mergeCell ref="I3:I4"/>
    <mergeCell ref="A1:I2"/>
    <mergeCell ref="A3:A4"/>
    <mergeCell ref="B3:B4"/>
    <mergeCell ref="C3:C4"/>
    <mergeCell ref="D3:D4"/>
    <mergeCell ref="E3:F3"/>
    <mergeCell ref="G3:G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2019-11-27T17:53:02Z</dcterms:created>
  <dc:creator>Daniela Candalaft Jatene</dc:creator>
</cp:coreProperties>
</file>