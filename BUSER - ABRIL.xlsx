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anyc\Downloads\"/>
    </mc:Choice>
  </mc:AlternateContent>
  <xr:revisionPtr revIDLastSave="0" documentId="13_ncr:1_{C904FA3B-D89D-400E-96B7-BEF5FA4AB9A5}" xr6:coauthVersionLast="47" xr6:coauthVersionMax="47" xr10:uidLastSave="{00000000-0000-0000-0000-000000000000}"/>
  <bookViews>
    <workbookView xWindow="-120" yWindow="-120" windowWidth="20730" windowHeight="11040" xr2:uid="{00000000-000D-0000-FFFF-FFFF00000000}"/>
  </bookViews>
  <sheets>
    <sheet name="DASHBOARD" sheetId="1" r:id="rId1"/>
    <sheet name="Judiciais" sheetId="2" r:id="rId2"/>
    <sheet name="PROCEDIMENTO ADMINISTRATIVO" sheetId="3" r:id="rId3"/>
    <sheet name="Arquivados" sheetId="4" r:id="rId4"/>
  </sheets>
  <definedNames>
    <definedName name="_xlnm._FilterDatabase" localSheetId="1" hidden="1">Judiciais!$A$1:$AK$66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iXrMPia3x3qt9PlCAG3IJ8a4HRzRMGpEvSbqRHksH3M="/>
    </ext>
  </extLst>
</workbook>
</file>

<file path=xl/calcChain.xml><?xml version="1.0" encoding="utf-8"?>
<calcChain xmlns="http://schemas.openxmlformats.org/spreadsheetml/2006/main">
  <c r="E27" i="1" l="1"/>
  <c r="D27" i="1"/>
  <c r="C27" i="1"/>
  <c r="B27" i="1"/>
  <c r="E26" i="1"/>
  <c r="D26" i="1"/>
  <c r="C26" i="1"/>
  <c r="B26" i="1"/>
  <c r="E25" i="1"/>
  <c r="D25" i="1"/>
  <c r="C25" i="1"/>
  <c r="B25" i="1"/>
  <c r="E24" i="1"/>
  <c r="D24" i="1"/>
  <c r="C24" i="1"/>
  <c r="B24" i="1"/>
  <c r="L6" i="1"/>
  <c r="E37" i="1"/>
  <c r="J55" i="1"/>
  <c r="J54" i="1"/>
  <c r="J53" i="1"/>
  <c r="J52" i="1"/>
  <c r="J56" i="1" s="1"/>
  <c r="I34" i="1" a="1"/>
  <c r="I34" i="1" s="1"/>
  <c r="I31" i="1"/>
  <c r="I6" i="1"/>
  <c r="D53" i="1"/>
  <c r="D52" i="1"/>
  <c r="C53" i="1"/>
  <c r="C52" i="1"/>
  <c r="K13" i="1" a="1"/>
  <c r="K13" i="1" s="1"/>
  <c r="K12" i="1" a="1"/>
  <c r="K12" i="1" s="1"/>
  <c r="K11" i="1" a="1"/>
  <c r="K11" i="1" s="1"/>
  <c r="J13" i="1"/>
  <c r="J12" i="1"/>
  <c r="J11" i="1"/>
  <c r="D48" i="1"/>
  <c r="D47" i="1"/>
  <c r="C48" i="1"/>
  <c r="C47" i="1"/>
  <c r="C46" i="1"/>
  <c r="D46" i="1" s="1"/>
  <c r="C45" i="1"/>
  <c r="D45" i="1" s="1"/>
  <c r="C44" i="1"/>
  <c r="D44" i="1" s="1"/>
  <c r="C43" i="1"/>
  <c r="D43" i="1" s="1"/>
  <c r="C42" i="1"/>
  <c r="D42" i="1" s="1"/>
  <c r="C41" i="1"/>
  <c r="D41" i="1" s="1"/>
  <c r="E6" i="1"/>
  <c r="B6" i="1"/>
  <c r="J48" i="1"/>
  <c r="J47" i="1"/>
  <c r="J46" i="1"/>
  <c r="K45" i="1"/>
  <c r="J45" i="1"/>
  <c r="K44" i="1"/>
  <c r="J44" i="1"/>
  <c r="K43" i="1"/>
  <c r="J43" i="1"/>
  <c r="K42" i="1"/>
  <c r="J42" i="1"/>
  <c r="K41" i="1"/>
  <c r="J41" i="1"/>
  <c r="E36" i="1"/>
  <c r="D36" i="1"/>
  <c r="C36" i="1"/>
  <c r="B36" i="1"/>
  <c r="E35" i="1"/>
  <c r="D35" i="1"/>
  <c r="C35" i="1"/>
  <c r="B35" i="1"/>
  <c r="E34" i="1"/>
  <c r="D34" i="1"/>
  <c r="C34" i="1"/>
  <c r="B34" i="1"/>
  <c r="E33" i="1"/>
  <c r="D33" i="1"/>
  <c r="C33" i="1"/>
  <c r="B33" i="1"/>
  <c r="E32" i="1"/>
  <c r="D32" i="1"/>
  <c r="C32" i="1"/>
  <c r="B32" i="1"/>
  <c r="E31" i="1"/>
  <c r="D31" i="1"/>
  <c r="C31" i="1"/>
  <c r="B31" i="1"/>
  <c r="E23" i="1"/>
  <c r="D23" i="1"/>
  <c r="C23" i="1"/>
  <c r="B23" i="1"/>
  <c r="E22" i="1"/>
  <c r="D22" i="1"/>
  <c r="C22" i="1"/>
  <c r="B22" i="1"/>
  <c r="E21" i="1"/>
  <c r="D21" i="1"/>
  <c r="C21" i="1"/>
  <c r="B21" i="1"/>
  <c r="E20" i="1"/>
  <c r="D20" i="1"/>
  <c r="C20" i="1"/>
  <c r="B20" i="1"/>
  <c r="F16" i="1"/>
  <c r="E16" i="1"/>
  <c r="D16" i="1"/>
  <c r="C16" i="1"/>
  <c r="B16" i="1"/>
  <c r="F15" i="1"/>
  <c r="E15" i="1"/>
  <c r="D15" i="1"/>
  <c r="C15" i="1"/>
  <c r="B15" i="1"/>
  <c r="F14" i="1"/>
  <c r="E14" i="1"/>
  <c r="D14" i="1"/>
  <c r="C14" i="1"/>
  <c r="B14" i="1"/>
  <c r="F13" i="1"/>
  <c r="E13" i="1"/>
  <c r="D13" i="1"/>
  <c r="C13" i="1"/>
  <c r="B13" i="1"/>
  <c r="F12" i="1"/>
  <c r="E12" i="1"/>
  <c r="D12" i="1"/>
  <c r="C12" i="1"/>
  <c r="B12" i="1"/>
  <c r="F11" i="1"/>
  <c r="E11" i="1"/>
  <c r="D11" i="1"/>
  <c r="C11" i="1"/>
  <c r="B11" i="1"/>
  <c r="D54" i="1" l="1"/>
  <c r="J14" i="1"/>
  <c r="K14" i="1"/>
  <c r="E53" i="1"/>
  <c r="J57" i="1"/>
  <c r="C54" i="1"/>
  <c r="E52" i="1"/>
  <c r="L13" i="1" l="1"/>
  <c r="L12" i="1"/>
  <c r="L14" i="1" s="1"/>
  <c r="L11" i="1"/>
  <c r="E54" i="1"/>
  <c r="K53" i="1"/>
  <c r="K54" i="1"/>
  <c r="K55" i="1"/>
  <c r="K52" i="1"/>
  <c r="K56" i="1"/>
  <c r="K5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100-000008000000}">
      <text>
        <r>
          <rPr>
            <sz val="10"/>
            <color rgb="FF000000"/>
            <rFont val="Arial"/>
            <scheme val="minor"/>
          </rPr>
          <t>======
ID#AAAB40kbugc
    (2023-07-03 18:34:49)
Como referimos ao caso. Por ex.: MS Circuito Fechado; ACP ABRATI; etc.
	-Patrícia Secher Redenschi</t>
        </r>
      </text>
    </comment>
    <comment ref="K1" authorId="0" shapeId="0" xr:uid="{00000000-0006-0000-0100-000002000000}">
      <text>
        <r>
          <rPr>
            <sz val="10"/>
            <color rgb="FF000000"/>
            <rFont val="Arial"/>
            <scheme val="minor"/>
          </rPr>
          <t>======
ID#AAAB40kbugg
    (2023-07-03 18:34:49)
Interessante aqui indicar os pedidos do autor, assim como a alegação principal da tese (causa raiz)
	-Patrícia Secher Redenschi</t>
        </r>
      </text>
    </comment>
    <comment ref="N1" authorId="0" shapeId="0" xr:uid="{00000000-0006-0000-0100-000003000000}">
      <text>
        <r>
          <rPr>
            <sz val="10"/>
            <color rgb="FF000000"/>
            <rFont val="Arial"/>
            <scheme val="minor"/>
          </rPr>
          <t>======
ID#AAAB40wmUug
    (2023-07-03 18:34:49)
Relevante indicar eventuais liminares, aplicações de multa, sentenças, audiências, julgamentos etc.
	-Patrícia Secher Redesci</t>
        </r>
      </text>
    </comment>
    <comment ref="Q1" authorId="0" shapeId="0" xr:uid="{00000000-0006-0000-0100-000001000000}">
      <text>
        <r>
          <rPr>
            <sz val="10"/>
            <color rgb="FF000000"/>
            <rFont val="Arial"/>
            <scheme val="minor"/>
          </rPr>
          <t>======
ID#AAAB40wmUus
    (2023-07-03 18:34:49)
Nome do juiz atualmente designado. Se tiver alteração ao longo do processo, indicar o nome do juiz que proferiu a liminar e o que proferiu a sentença
	-Patrícia Secher Redesci</t>
        </r>
      </text>
    </comment>
    <comment ref="S1" authorId="0" shapeId="0" xr:uid="{00000000-0006-0000-0100-000006000000}">
      <text>
        <r>
          <rPr>
            <sz val="10"/>
            <color rgb="FF000000"/>
            <rFont val="Arial"/>
            <scheme val="minor"/>
          </rPr>
          <t>======
ID#AAAB40wmUuk
    (2023-07-03 18:34:49)
Indicar se favorável ou não, seguida de breve resumo. Ex.: Favorável - "Concedo a segurança para ...."
	-Patrícia Secher Redesci</t>
        </r>
      </text>
    </comment>
    <comment ref="U1" authorId="0" shapeId="0" xr:uid="{00000000-0006-0000-0100-000004000000}">
      <text>
        <r>
          <rPr>
            <sz val="10"/>
            <color rgb="FF000000"/>
            <rFont val="Arial"/>
            <scheme val="minor"/>
          </rPr>
          <t>======
ID#AAAB40wmUuw
    (2023-07-03 18:34:49)
Nome do desembargador prevento, que julgará os recursos. Se tiver alteração ao longo do processo, indicar o nome de quem proferiu a liminar e o que relatou o acórdão
	-Patrícia Secher Redesci</t>
        </r>
      </text>
    </comment>
    <comment ref="V1" authorId="0" shapeId="0" xr:uid="{00000000-0006-0000-0100-000005000000}">
      <text>
        <r>
          <rPr>
            <sz val="10"/>
            <color rgb="FF000000"/>
            <rFont val="Arial"/>
            <scheme val="minor"/>
          </rPr>
          <t>======
ID#AAAB40kbugk
    (2023-07-03 18:34:49)
(indicar a quantidade de Ais nesta coluna, e abrir linhas específicas para o recurso de agravo abaixo, indicando o objeto do recurso e status)
	-Patrícia Secher Redesci</t>
        </r>
      </text>
    </comment>
    <comment ref="AF1" authorId="0" shapeId="0" xr:uid="{00000000-0006-0000-0100-000007000000}">
      <text>
        <r>
          <rPr>
            <sz val="10"/>
            <color rgb="FF000000"/>
            <rFont val="Arial"/>
            <scheme val="minor"/>
          </rPr>
          <t>======
ID#AAAB40wmUuo
    (2023-07-03 18:34:49)
Se houver pretensão de condenação pecuniária, indicar esse valor atualizados. 
Se houver determinação de multa, indicar (a) a alíquota/base determinada pelo juiz (por ex., multa diária de R$ 5.000 por viagem); e (b) o cálculo atualizado da quantia da multa, considerando razoavelmente os valores que podem ser aplicados em caso de perda.
	-Patricia Secher Redenschi</t>
        </r>
      </text>
    </comment>
  </commentList>
  <extLst>
    <ext xmlns:r="http://schemas.openxmlformats.org/officeDocument/2006/relationships" uri="GoogleSheetsCustomDataVersion2">
      <go:sheetsCustomData xmlns:go="http://customooxmlschemas.google.com/" r:id="rId1" roundtripDataSignature="AMtx7mgmwczBvB345g29svAc5qFFP7+w+A=="/>
    </ext>
  </extL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<sst xmlns="http://schemas.openxmlformats.org/spreadsheetml/2006/main" count="5350" uniqueCount="1364">
  <si>
    <t>RELATÓRIO MENSAL  |  ABRIL/2026</t>
  </si>
  <si>
    <t>PROCESSOS ATIVOS</t>
  </si>
  <si>
    <t>EXPOSIÇÃO TOTAL</t>
  </si>
  <si>
    <t>PROCESSOS ENCERRADOS</t>
  </si>
  <si>
    <t>TAXA DE ÊXITO</t>
  </si>
  <si>
    <t>em andamento</t>
  </si>
  <si>
    <t>valor da causa</t>
  </si>
  <si>
    <t>no período</t>
  </si>
  <si>
    <t>casos favoráveis</t>
  </si>
  <si>
    <t>▎ ANÁLISE DE RISCO DOS PROCESSOS ATIVOS</t>
  </si>
  <si>
    <t>▎ DISTRIBUIÇÃO POR RISCO</t>
  </si>
  <si>
    <t>PROCESSO</t>
  </si>
  <si>
    <t>RECLAMANTE</t>
  </si>
  <si>
    <t>VALOR (R$)</t>
  </si>
  <si>
    <t>RISCO</t>
  </si>
  <si>
    <t>FASE ATUAL</t>
  </si>
  <si>
    <t>CLASSIFICAÇÃO</t>
  </si>
  <si>
    <t>QTD</t>
  </si>
  <si>
    <t>% DO TOTAL</t>
  </si>
  <si>
    <t>● PROVÁVEL</t>
  </si>
  <si>
    <t>● POSSÍVEL</t>
  </si>
  <si>
    <t>● REMOTO</t>
  </si>
  <si>
    <t>TOTAL</t>
  </si>
  <si>
    <t>▎ PROCEDIMENTOS ADMINISTRATIVOS</t>
  </si>
  <si>
    <t>DESCRIÇÃO</t>
  </si>
  <si>
    <t>DEFESA</t>
  </si>
  <si>
    <t>STATUS</t>
  </si>
  <si>
    <t>▎ PROCESSOS ARQUIVADOS / ENCERRADOS</t>
  </si>
  <si>
    <t>▎ INDICADORES-CHAVE</t>
  </si>
  <si>
    <t>DESFECHO</t>
  </si>
  <si>
    <t>VALORES (R$)</t>
  </si>
  <si>
    <t>TOTAL DE PROCESSOS GERIDOS</t>
  </si>
  <si>
    <t>processos (ativos + encerrados)</t>
  </si>
  <si>
    <t>VALOR TOTAL EM ACORDOS</t>
  </si>
  <si>
    <t>pagos em acordos</t>
  </si>
  <si>
    <t>RISCO PREDOMINANTE</t>
  </si>
  <si>
    <t>TOTAL PAGAMENTOS</t>
  </si>
  <si>
    <t>▎ PRINCIPAIS PEDIDOS RECORRENTES</t>
  </si>
  <si>
    <t>▎ STATUS / PRÓXIMOS PASSOS</t>
  </si>
  <si>
    <t>PEDIDO</t>
  </si>
  <si>
    <t>OCORRÊNCIAS</t>
  </si>
  <si>
    <t>FREQUÊNCIA</t>
  </si>
  <si>
    <t>STATUS / PRÓXIMA AÇÃO</t>
  </si>
  <si>
    <t>Horas Extras</t>
  </si>
  <si>
    <t>⏳</t>
  </si>
  <si>
    <t>Responsabilidade Subsidiária</t>
  </si>
  <si>
    <t>Dano Moral</t>
  </si>
  <si>
    <t>Adicional Noturno</t>
  </si>
  <si>
    <t>Intervalo Intrajornada</t>
  </si>
  <si>
    <t>Verbas Rescisórias</t>
  </si>
  <si>
    <t>✅</t>
  </si>
  <si>
    <t>Arquivado</t>
  </si>
  <si>
    <t>Insalubridade/Periculosidade</t>
  </si>
  <si>
    <t>Honorários Advocatícios</t>
  </si>
  <si>
    <t>▎ DECISÕES JUDICIAIS POR INSTÂNCIA</t>
  </si>
  <si>
    <t>▎ EVOLUÇÃO PROCESSUAL</t>
  </si>
  <si>
    <t>INSTÂNCIA</t>
  </si>
  <si>
    <t>FAVORÁVEL</t>
  </si>
  <si>
    <t>DESFAVORÁVEL</t>
  </si>
  <si>
    <t>1º Grau</t>
  </si>
  <si>
    <t>Improcedência</t>
  </si>
  <si>
    <t>Favorável</t>
  </si>
  <si>
    <t>2º Grau</t>
  </si>
  <si>
    <t>Acordo</t>
  </si>
  <si>
    <t>Em Andamento</t>
  </si>
  <si>
    <t>Pendente</t>
  </si>
  <si>
    <t>Condenação</t>
  </si>
  <si>
    <t>Desfavorável</t>
  </si>
  <si>
    <t>Outros (Desist./Excl.)</t>
  </si>
  <si>
    <t>Diversos</t>
  </si>
  <si>
    <t>Data da distribuição</t>
  </si>
  <si>
    <t>Data de recebimento pelo escritório</t>
  </si>
  <si>
    <t>UF</t>
  </si>
  <si>
    <t>Agente</t>
  </si>
  <si>
    <t>Papel do agente</t>
  </si>
  <si>
    <t>Identificação interna do caso</t>
  </si>
  <si>
    <t>Briga regulatória?</t>
  </si>
  <si>
    <t>Competência</t>
  </si>
  <si>
    <t>Tipo de ação</t>
  </si>
  <si>
    <t>Número do processo</t>
  </si>
  <si>
    <t>Objeto (pretensão autoral)</t>
  </si>
  <si>
    <t>Reclamante</t>
  </si>
  <si>
    <t>Polo passivo</t>
  </si>
  <si>
    <t>Principais andamentos</t>
  </si>
  <si>
    <t>Vara</t>
  </si>
  <si>
    <t>Comarca</t>
  </si>
  <si>
    <t>Juiz</t>
  </si>
  <si>
    <t>Liminar</t>
  </si>
  <si>
    <t>Sentença</t>
  </si>
  <si>
    <t>Turma/Câmara</t>
  </si>
  <si>
    <t>Relator</t>
  </si>
  <si>
    <t>Agravo de Instrumento (número do recurso - se houver mais de um, indicar todos, seguido da indicação do recorrente e sobre qual decisão versa)</t>
  </si>
  <si>
    <t>Liminar /Acórdão de Agravo</t>
  </si>
  <si>
    <t>Pedido de Efeito Suspensivo à Apelação (indicar o status e andamento nesta coluna, sem abrir linha específica)</t>
  </si>
  <si>
    <t>Apelação</t>
  </si>
  <si>
    <t>Acórdão Apelação</t>
  </si>
  <si>
    <t>Status atual</t>
  </si>
  <si>
    <t>Próximos passos</t>
  </si>
  <si>
    <t>Valor da Causa</t>
  </si>
  <si>
    <t>Valor da Causa atualizado</t>
  </si>
  <si>
    <t>Valor em risco (condenação/multa)</t>
  </si>
  <si>
    <t>Valor em risco atualizado (condenação/multa)</t>
  </si>
  <si>
    <t>Justificativa do risco</t>
  </si>
  <si>
    <t>Risco de perda do valor em risco (provável, possível, remoto)</t>
  </si>
  <si>
    <t>Escritório</t>
  </si>
  <si>
    <t>MG</t>
  </si>
  <si>
    <t>Buser</t>
  </si>
  <si>
    <t>Réu</t>
  </si>
  <si>
    <t>Trabalhista</t>
  </si>
  <si>
    <t>Não</t>
  </si>
  <si>
    <t>Federal</t>
  </si>
  <si>
    <t>Outro</t>
  </si>
  <si>
    <t>0010754-66.2025.5.03.0179</t>
  </si>
  <si>
    <t>Trata-se de reclamação trabalhista visando a responsabilidade subsidiária, com pedido de adicional de insalubridade e periculosidade com cumulação nos pedidos, reconhecimento de doença ocupacional, horas extras e intervalos intrajornada, verbas rescisórias e honorários.</t>
  </si>
  <si>
    <t>JUNDIA TRANSPORTADORA TURISTICA LTDA</t>
  </si>
  <si>
    <t>41ª VARA DO TRABALHO DE BELO HORIZONTE</t>
  </si>
  <si>
    <t>Belo Horizonte</t>
  </si>
  <si>
    <t>JESSICA GRAZIELLE ANDRADE MARTINS</t>
  </si>
  <si>
    <t>Não se aplica</t>
  </si>
  <si>
    <t>Audiência</t>
  </si>
  <si>
    <t>Aguardando audiência</t>
  </si>
  <si>
    <t>R$ 69.742,09</t>
  </si>
  <si>
    <t>Possível</t>
  </si>
  <si>
    <t>Ferraz Andrade</t>
  </si>
  <si>
    <t>24/11/2023 </t>
  </si>
  <si>
    <t>0011009-02.2023.5.03.0112</t>
  </si>
  <si>
    <t>Trata-se de Reclamação trabalhista visando ao pagamento do adicional de periculosidade/insalubridade, horas extras, turnos ininterruptos, adicional noturno, intervalo intrajornada e interjornada, trabalho nas folgas, acúmulo de função, dano moral e responsabilidade subsidiária.</t>
  </si>
  <si>
    <t>ADRIANO RODRIGUES SILVA</t>
  </si>
  <si>
    <t>33ª Vara do Trabalho de Belo Horizonte</t>
  </si>
  <si>
    <t>MÁRCIO TOLEDO GONÇALVES</t>
  </si>
  <si>
    <t>SENTENÇA PARCIALMENTE PROCEDENTE - CONDENANDO A BUSER DE FORMA SUBSIDIÁRIA.</t>
  </si>
  <si>
    <t>8ª Turma</t>
  </si>
  <si>
    <t>SERGIO PINTO MARTINS (redistribuído)</t>
  </si>
  <si>
    <t>Sobrestado</t>
  </si>
  <si>
    <t>Decisão TST</t>
  </si>
  <si>
    <t>R$ 117.438,00</t>
  </si>
  <si>
    <t>R$ 16.000,00</t>
  </si>
  <si>
    <t>Procedência (Subsidiária)</t>
  </si>
  <si>
    <t>Provável</t>
  </si>
  <si>
    <t>SP</t>
  </si>
  <si>
    <t>0010876-27.2024.5.15.0132</t>
  </si>
  <si>
    <t>Trata-se de reclamação trabalhista visando o reconhecimento de vínculo empregatício, diferenças salariais, comissões, verbas rescisórias, horas extras, dano moral e multa dos artigos 467 e 477 CLT.</t>
  </si>
  <si>
    <t>ALEXANDRA DOMENICA NOGUEIRA NESE</t>
  </si>
  <si>
    <t>NÃO SE APLICA - EX EMPREGADO</t>
  </si>
  <si>
    <t>5ª Vara do Trabalho de São José dos Campos</t>
  </si>
  <si>
    <t>São José dos Campos</t>
  </si>
  <si>
    <t>Aguardando informação</t>
  </si>
  <si>
    <t>Julgamento do Tema TST</t>
  </si>
  <si>
    <t>R$ 230.054,00</t>
  </si>
  <si>
    <t>Valor da causa</t>
  </si>
  <si>
    <t>1000897-21.2025.5.02.0077</t>
  </si>
  <si>
    <t>Trata-se de reclamação trabalhista visando adicional de horas extras, auxílio alimentação, décimo terceiro salário proporcional, FGTS, férias proporcionais, guias do seguro desemprego, honorários, reflexos de hras extras, intervalo interjornadas,intervalo intrajornada, multa de 40% do FGTS e PLR</t>
  </si>
  <si>
    <t>ANDERSON DOS REIS FERREIRA</t>
  </si>
  <si>
    <t>PRIMAR NAVEGACOES E TURISMO LTDA</t>
  </si>
  <si>
    <t>77ª Vara do Trabalho de São Paulo</t>
  </si>
  <si>
    <t>São Paulo</t>
  </si>
  <si>
    <t>BRUNO JOSE PERUSSO</t>
  </si>
  <si>
    <t>PARCIALMENTE PROCEDENTE</t>
  </si>
  <si>
    <t>Recursal</t>
  </si>
  <si>
    <t>Decisão</t>
  </si>
  <si>
    <t>RJ</t>
  </si>
  <si>
    <t>0100214-14.2023.5.01.0301</t>
  </si>
  <si>
    <t>Trata-se de Reclamação trabalhista visando ao pagamento de verbas advindas da relação de emprego, tais como horas extras, intervalo, dano moral e a responsabilidade subsidiária da Buser.</t>
  </si>
  <si>
    <t>ANTONIO CARLOS LOPES CORREA</t>
  </si>
  <si>
    <t>MARVI TURISMO E FRETAMENTO EIRELI</t>
  </si>
  <si>
    <t>1ª Vara do Trabalho de Petrópolis</t>
  </si>
  <si>
    <t>Petrópolis</t>
  </si>
  <si>
    <t>JOANA DUHA GUERREIRO</t>
  </si>
  <si>
    <t>1ª Turma</t>
  </si>
  <si>
    <t>MARIA HELENA MOTTA</t>
  </si>
  <si>
    <t>Recurso</t>
  </si>
  <si>
    <t>Acórdão</t>
  </si>
  <si>
    <t>0011020-37.2023.5.03.0110</t>
  </si>
  <si>
    <t>Trata-se de Reclamação Trabalhista visando ao pagamento de adicional de insalubridade/periculosidade, horas extras, intervalo intrajornada,/interjornada, adicional noturno, acúmulo de função, dano moral e responsabilidade solidária das reclamadas.</t>
  </si>
  <si>
    <t>CLÓVIS CESÁRIO</t>
  </si>
  <si>
    <t>31ª Vara do Trabalho de Belo Horizonte</t>
  </si>
  <si>
    <t>HENRIQUE DE SOUZA MOTA</t>
  </si>
  <si>
    <t>SENTENÇA FAVORÁVEL - IMPROCEDENTE PARA BUSER</t>
  </si>
  <si>
    <t>3ª Turma</t>
  </si>
  <si>
    <t>MARCELO MOURA FERREIRA</t>
  </si>
  <si>
    <t>Acórdão TST</t>
  </si>
  <si>
    <t>R$ 150.710,00</t>
  </si>
  <si>
    <t>0011718-54.2024.5.15.0084</t>
  </si>
  <si>
    <t>Trata-se de reclamação trabalhista visando ao reconhecimento de vínculo empregatício, justiça gratuita, verbas rescisórias, horas extras, férias vencidas, danos morais, danos existenciais, multa dos arts. 467 e 477 da CLT e honorários.</t>
  </si>
  <si>
    <t>DAVI HELENO DOS SANTOS</t>
  </si>
  <si>
    <t>4ª Vara do Trabalho de São José dos Campos</t>
  </si>
  <si>
    <t>R$ 68.778,17</t>
  </si>
  <si>
    <t>1000410-11.2025.5.02.0058</t>
  </si>
  <si>
    <t>Trata-se de Reclamação trabalhista visando ao reconhecimento da responsabilidade subsidiária/solidária, pagamento de multa normativa, anulação da demissão, verbas rescisórias, horas extras, intervalo intrajornada, adicional noturno, vale alimentação, danos morais, PLR, justiça gratuita e honorários.</t>
  </si>
  <si>
    <t>ERALDO ARAUJO PINTO</t>
  </si>
  <si>
    <t>58ª Vara do Trabalho de São Paulo</t>
  </si>
  <si>
    <t>MOISES BERNARDO DA SILVA</t>
  </si>
  <si>
    <t>Aguardando sentença</t>
  </si>
  <si>
    <t>sentença</t>
  </si>
  <si>
    <t>0010733-74.2025.5.15.0141</t>
  </si>
  <si>
    <t>EZEQUIEL REIS DE ABREU</t>
  </si>
  <si>
    <t>FGS TRANSPORTADORA TURISTICA</t>
  </si>
  <si>
    <t>Vara do Trabalho de Mococa</t>
  </si>
  <si>
    <t>Campinas</t>
  </si>
  <si>
    <t>AMANDA SARMENTO GAKIYA WALRAVEN</t>
  </si>
  <si>
    <t>0012079-21.2024.5.15.0133</t>
  </si>
  <si>
    <t>Trata-se de reclamação trabalhista visando a responsabilidade subsidiária, justiça gratuita, depósito FGTS, horas extras, labor nas folgas, domingos e feriados, intervalo interjornada, intervalo intersemanal, adicional noturno, reversão da justa causa, honorários advocatícios e demais pleitos de estilo.</t>
  </si>
  <si>
    <t>FAUSTO NOGUEIRA DA SILVA</t>
  </si>
  <si>
    <t>4ª Vara do Trabalho de São José do Rio Preto</t>
  </si>
  <si>
    <t>São José do Rio Preto</t>
  </si>
  <si>
    <t>JULIO CESAR TREVISAN RODRIGUES</t>
  </si>
  <si>
    <t>Acordo com 1ª reclamada e suspensão da Buser</t>
  </si>
  <si>
    <t>Arquivamento</t>
  </si>
  <si>
    <t>R$ 395.765,08</t>
  </si>
  <si>
    <t>0100262-04.2022.5.01.0302</t>
  </si>
  <si>
    <t>FELIPE GOMES DE MELLO</t>
  </si>
  <si>
    <t>2ª Vara do Trabalho de Petrópolis</t>
  </si>
  <si>
    <t>ADRIANA PINHEIRO FREITA</t>
  </si>
  <si>
    <t>SENTENÇA PARCIALMENTE FAVORÁVEL - CONDENANDO A BUSER DE FORMA SUBSIDIÁRIA.</t>
  </si>
  <si>
    <t>R$ 83.754,20</t>
  </si>
  <si>
    <t>0010730-94.2024.5.03.0107</t>
  </si>
  <si>
    <t>Trata-se de reclamação trabalhista visando a responsabilidade solidária/subsidiária, horas extras, intervalo intrajornada, intervalo interjornada, dano moral, dano material e restituição de descontos indevidos.</t>
  </si>
  <si>
    <t>FELIPE LAZARO DE SOUZA AVELAR</t>
  </si>
  <si>
    <t>VIACAO MIMO LTDA</t>
  </si>
  <si>
    <t>28ª Vara do Trabalho de Belo Horizonte</t>
  </si>
  <si>
    <t>CRISTIANA SOARES CAMPOS</t>
  </si>
  <si>
    <t>7ª Turma</t>
  </si>
  <si>
    <t>Fernando Luiz Gonçalves Rios Neto</t>
  </si>
  <si>
    <t>1001606-24.2025.5.02.0605</t>
  </si>
  <si>
    <t>Trata-se de reclamação trabalhista visando danos morais, verbas rescisórias, liberação das guias de fgts e SD, pagamento de domingos e feriados, DSR, VT, horas extras, salário família, adicional de periculosidade, adicional de insalubridade, adicional noturno, art. 467, art. 477 e honorários advocaticios</t>
  </si>
  <si>
    <t>FERNANDO ALEX DE ALMEIDA</t>
  </si>
  <si>
    <t>GUIRRO TRANSPORTES LTDA</t>
  </si>
  <si>
    <t>05ª Vara do Trabalho</t>
  </si>
  <si>
    <t>São Paulo - Zona Leste</t>
  </si>
  <si>
    <t>MARCELLE COELHO DA SILVA</t>
  </si>
  <si>
    <t>Cumprimento do Acordo</t>
  </si>
  <si>
    <t>1001155-92.2025.5.02.0089</t>
  </si>
  <si>
    <t>Trata-se de reclamação trabalhista visando a responsabilidade solidária, responsabilidade subsidiária, decreto da rescisão indireta, pagamento de verbas, emissão de guias para levantamento de fgts + 40%, horas extras sobrejornada + 50% , reflexos de horas extras, horas extras domingos e feriados, horas extras intrajornada, adicional noturno, danos morais, PLR, vale alimentação e honorários advocatícios.</t>
  </si>
  <si>
    <t>FLÁVIO ROBERTO DOS SANTOS</t>
  </si>
  <si>
    <t>89ª Vara do Trabalho</t>
  </si>
  <si>
    <t>MARCELO PEREIRA DAS NEVES</t>
  </si>
  <si>
    <t>IMPROCEDENTE EM FACE A BUSER - RESPONSABILIDADE AFASTADA</t>
  </si>
  <si>
    <t>0011369-85.2023.5.15.0084</t>
  </si>
  <si>
    <t>Trata-se de Reclamação trabalhista visando reconhecimento da relação de emprego no período de 06/05/2019 a 30/09/2021 e recebimento de verbas. Equiparação salarial, horas extras, diferenças salariais, horas de sobreaviso e indenização por danos existenciais e morais.</t>
  </si>
  <si>
    <t>FULVIA RENATA GONÇALVES BOSSOLANI</t>
  </si>
  <si>
    <t>MAURICIO MATSUSHIMA TEIXEIRA</t>
  </si>
  <si>
    <t>Julgamento do Tema</t>
  </si>
  <si>
    <t>1002015-49.2024.5.02.0018</t>
  </si>
  <si>
    <t>Trata-se de Reclamação trabalhista visando ao reconhecimento do vínculo empregatício, pagamento de verbas rescisórias, acúmulo de função, FGTS, seguro desemprego, horas extras, intervalo intrajornada/interjornada, DSR, dano existencial e danos morais.</t>
  </si>
  <si>
    <t>GILSON CARLOS RODRIGUES VIEIRA</t>
  </si>
  <si>
    <t>CATARINENSE AGENCIA DE VIAGENS LTDA</t>
  </si>
  <si>
    <t>Audiência una realizada em 13/05/2025 às 11:50, no qual determinou a suspensão do processo por Recurso Extraordinário com repercussão geral nº 1389. Homologado em audiência a desistência em face à reclamada TURISSUL e insalubridade.</t>
  </si>
  <si>
    <t>18ª Vara do Trabalho de São Paulo</t>
  </si>
  <si>
    <t>GABRIEL PERES FERREIRA</t>
  </si>
  <si>
    <t>Suspenso</t>
  </si>
  <si>
    <t>0011646-54.2023.5.15.0132</t>
  </si>
  <si>
    <t>Trata-se de Reclamação trabalhista visando ao pagamento da condição de estudante, irregularidade no contrato de trabalho, verbas rescisórias e dano moral.</t>
  </si>
  <si>
    <t>GISLAINE FRANCISCO NUNES</t>
  </si>
  <si>
    <t>CASSIA REGINA RAMOS FERNANDES</t>
  </si>
  <si>
    <t>IMPROCEDENTE</t>
  </si>
  <si>
    <t>9ª Câmara</t>
  </si>
  <si>
    <t>Desembargadora Thelma Helena Monteiro de Toledo Vieira</t>
  </si>
  <si>
    <t>Manifestação da parte</t>
  </si>
  <si>
    <t>R$ 177.450,81</t>
  </si>
  <si>
    <t>Improcedente</t>
  </si>
  <si>
    <t>0010617-94.2025.5.03.0111</t>
  </si>
  <si>
    <t>Trata-se de reclamação trabalhista visando horas extras, férias, adicional noturno, honorários e justiça gratuita.</t>
  </si>
  <si>
    <t>HAMILTON RODRIGUES DA SILVA</t>
  </si>
  <si>
    <t>TRANSPORTADORA TURISTICA NATAL LTDA</t>
  </si>
  <si>
    <t>32ª Vara do Trabalho de Belo Horizonte</t>
  </si>
  <si>
    <t>ANNA ELISA FERREIRA DE RESENDE RIOS</t>
  </si>
  <si>
    <t>Sim</t>
  </si>
  <si>
    <t>Procedência</t>
  </si>
  <si>
    <t>0010382-89.2024.5.03.0038</t>
  </si>
  <si>
    <t>Trata-se de Reclamação trabalhista visando ao reconhecimento de vínculo, pagamento das verbas na modalidade dispensa sem justa causa, baixa CTPS, multa art. 477, horas extras, horas em sobreaviso.</t>
  </si>
  <si>
    <t>GUILHERME SCHMIDT ARAUJO PASSOS DE SOUZA</t>
  </si>
  <si>
    <t>4ª Vara do Trabalho</t>
  </si>
  <si>
    <t>Juiz de Fora</t>
  </si>
  <si>
    <t>LUIZ OLYMPIO BRANDAO VIDAL</t>
  </si>
  <si>
    <t>SENTENÇA PARCIALMENTE PROCEDENTE</t>
  </si>
  <si>
    <t>R$ 228.856,12</t>
  </si>
  <si>
    <t>1001291-67.2025.5.02.0064</t>
  </si>
  <si>
    <t>Trata-se de reclamação trabalhista visando o reconhecimento do vínculo, com rescisão indireta, com pedido de acidente de trabalho, com adicional de insalubridade multa de 40% do FGTS, multa dos artigos 477 e 467 da CLT + verbas rescisórias, com o pedido de condenação da 2º reclamada (Buser)</t>
  </si>
  <si>
    <t>JOAO JORGE SANCHES ALMENDOAS</t>
  </si>
  <si>
    <t>PRIMAR NAVEGAÇÕES E TURISMO LTDA</t>
  </si>
  <si>
    <t>64ª Vara do Trabalho de São Paulo</t>
  </si>
  <si>
    <t>CAMILA ASCENCAO QUEIROZ FREITAS</t>
  </si>
  <si>
    <t>Aguardando Audiência</t>
  </si>
  <si>
    <t>0010782-97.2025.5.15.0147</t>
  </si>
  <si>
    <t>Trata-se de reclamação trabalhista visando reconhecimento de vínculo, anotação na ctps, equiparação salarial, saldo de salário, aviso prévio, férias + 1/3, FGTS + multa de 40%, verbas incontroversas, horas extras, adicional de insalubridade, intervalo interjornada, adicional de insalubridade e pagamento de VR conforme CCT.</t>
  </si>
  <si>
    <t>JOSÉ CARLOS FERREIRA</t>
  </si>
  <si>
    <t>M F TURISMO LTDA</t>
  </si>
  <si>
    <t>01ª Vara do Trabalho de Aparecida</t>
  </si>
  <si>
    <t>Aparecida</t>
  </si>
  <si>
    <t>JOSE RODRIGUES DA SILVA NETO</t>
  </si>
  <si>
    <t>0100388-72.2025.5.01.0068</t>
  </si>
  <si>
    <t>Trata-se de reclamação trabalhista visando a responsabilidade subsidiária, justiça gratuita, vínculo empregatício, verbas rescisórias, pagamento das horas extras, intervalo intrajornada, adicional noturno, vale transporte, PLR e honorários.</t>
  </si>
  <si>
    <t>JOSE DE FIGUEIREDO MUNIZ</t>
  </si>
  <si>
    <t>BRASLECTRA LOCACOES E TRANSPORTES LTDA ME - ME</t>
  </si>
  <si>
    <t>68ª Vara do Trabalho do Rio de Janeiro</t>
  </si>
  <si>
    <t>Rio de Janeiro</t>
  </si>
  <si>
    <t>LETICIA PRIMAVERA MARINHO CAVALCANTI</t>
  </si>
  <si>
    <t>1001588-60.2024.5.02.0080</t>
  </si>
  <si>
    <t>Trata-se de reclamação trabalhista visando a responsabilidade subsidiária, justiça gratuita, vínculo de emprego, unicidade contratual, horas extras, turno ininterrupto de revezamento, intervalo intrajornada, labor aos domingos e feriados, diferenças dos repousos semanais e 7º dia laborado, adicional noturno, diferenças de comissões, comissões pagas por fora, verbas rescisórias, multa 477, multa 467, seguro desemprego, PLR, cesta básica, VR, VT, e demais pleitos de estilo.</t>
  </si>
  <si>
    <t>JOSE DOMINGOS DE ARAUJO SANTOS</t>
  </si>
  <si>
    <t>80ª Vara do Trabalho de São Paulo</t>
  </si>
  <si>
    <t>JOSE CELSO BOTTARO</t>
  </si>
  <si>
    <t>sobrestado</t>
  </si>
  <si>
    <t>R$ 338.727,45</t>
  </si>
  <si>
    <t>0011716-07.2024.5.15.0045</t>
  </si>
  <si>
    <t>LARISSA VITORIA JUSTINO GALHARDO</t>
  </si>
  <si>
    <t>2ª Vara do Trabalho de São José dos Campos</t>
  </si>
  <si>
    <t>ROBERTO DOS SANTOS SOARES</t>
  </si>
  <si>
    <t>7ª Câmara</t>
  </si>
  <si>
    <t>Desembargador Roberto Nóbrega de Almeida Filho</t>
  </si>
  <si>
    <t>R$ 86.772,81</t>
  </si>
  <si>
    <t>Remoto</t>
  </si>
  <si>
    <t>30/10/2023 </t>
  </si>
  <si>
    <t>0010989-44.2023.5.03.0004</t>
  </si>
  <si>
    <t>Trata-se de Reclamação trabalhista visando ao pagamento do acúmulo de função, horas extras, banco de horas, intervalo intrajornada, interjornada e intersemanal, adicional noturno, dano moral e material.</t>
  </si>
  <si>
    <t>LEONDRE WAGNER DE JESUS</t>
  </si>
  <si>
    <t>4ª Vara do Trabalho de Belo Horizonte</t>
  </si>
  <si>
    <t>KARLA SANTUCHI</t>
  </si>
  <si>
    <t>5ª Turma</t>
  </si>
  <si>
    <t>MORGANA DE ALMEIDA RICHA</t>
  </si>
  <si>
    <t>TST</t>
  </si>
  <si>
    <t>R$ 175.635,26</t>
  </si>
  <si>
    <t>Procedência (responsabilidade afastada)</t>
  </si>
  <si>
    <t>0011401-43.2023.5.15.0132</t>
  </si>
  <si>
    <t>Trata-se de Reclamação trabalhista visando ao reconhecimento da nulidade do contrato de estágio, reconhecimento do vínculo empregatício, diferenças salariais e indenização por danos morais.</t>
  </si>
  <si>
    <t>LORRANA CAMARGO NEVES</t>
  </si>
  <si>
    <t>LUIZA HELENA ROSO</t>
  </si>
  <si>
    <t>6ª Câmara</t>
  </si>
  <si>
    <t>JOAO BATISTA DA SILVA</t>
  </si>
  <si>
    <t>1000718-91.2024.5.02.0087</t>
  </si>
  <si>
    <t>Trata-se de reclamação trabalhista visando o pagamento de horas extras, adicional noturno, intervalo intrajornada, intervalo interjornada, adicional de insalubridade, reembolso de despesas, diferença de comissões, FGTS e responsabilidade subsidiária da BUSER.</t>
  </si>
  <si>
    <t>LUCIANO ACLECIO GRIGORIA PEREIRA</t>
  </si>
  <si>
    <t>87ª Vara do Trabalho</t>
  </si>
  <si>
    <t>PAULA MARIA AMADO DE ANDRADE</t>
  </si>
  <si>
    <t>R$ 885.760,02</t>
  </si>
  <si>
    <t>0010613-07.2024.5.03.0139</t>
  </si>
  <si>
    <t>Trata-se de reclamação trabalhista visando ao pagamento das verbas rescisórias, horas extras, intervalo intrajornada e dano moral.</t>
  </si>
  <si>
    <t>LUIZ ANTONIO FIGUEIREDO</t>
  </si>
  <si>
    <t>39ª Vara do Trabalho de Belo Horizonte</t>
  </si>
  <si>
    <t>MARCIO ROBERTO TOSTES FRANCO</t>
  </si>
  <si>
    <t>MARIA CECÍLIA ALVES PINTO</t>
  </si>
  <si>
    <t>R$ 48.401,79</t>
  </si>
  <si>
    <t>0010213-82.2025.5.03.0001</t>
  </si>
  <si>
    <t>Trata-se de Reclamação trabalhista visando o reconhecimento de tutela para que a Buser reative o cadastro do reclamante, reconhecimento do vínculo empregatício, verbas rescisórias, horas extras, intervalo intrajornada/interjornada, adicional noturno, descontos indevidos do salário, dano moral, vale alimentação, seguro desemprego, justiça gratuita e honorários.</t>
  </si>
  <si>
    <t>LUIZ CARLOS MOL</t>
  </si>
  <si>
    <t>CRISTAL TURISMO EIRELI E OUTROS</t>
  </si>
  <si>
    <t>1ª Vara do Trabalho de Belo Horizonte</t>
  </si>
  <si>
    <t>PAULA BORLIDO HADDAD</t>
  </si>
  <si>
    <t>ANTECIPAÇÃO DE TUTELA PARA REATIVAÇÃO DO CADASTRO DO RECLAMANTE NA BUSER</t>
  </si>
  <si>
    <t>1000944-82.2025.5.02.0048</t>
  </si>
  <si>
    <t>Trata-se de reclamação trabalhista visando a condenação da segunda reclamada de forma subsidiária, pagamento das verbas rescisórias, diferença de horas extras + reflexos, horas extras domingos e feriados, horas extras interjornadas, horas extras intrajornadas, adicional noturno + reflexos e danos morais.</t>
  </si>
  <si>
    <t>LUIZ CLAUDIO DOS SANTOS RODRIGUES</t>
  </si>
  <si>
    <t>48ª Vara do Trabalho</t>
  </si>
  <si>
    <t>CAMILA DIAS CARDOSO</t>
  </si>
  <si>
    <t>Homologado acordo</t>
  </si>
  <si>
    <t>Pagamento integral do acordo</t>
  </si>
  <si>
    <t>0100391-51.2025.5.01.0060</t>
  </si>
  <si>
    <t>Trata-se de Reclamação trabalhista visando ao reconhecimento do vínculo empregatício, pagamento de verbas rescisórias, multa do art. 467 e 477 CLT, FGTS, multa rescisória sobre depósitos de FGTS, seguro desemprego, horas extras, intervalo intrajornada, folgas e danos morais.</t>
  </si>
  <si>
    <t>MAGDIEL DE JESUS OLIVEIRA</t>
  </si>
  <si>
    <t>60ª Vara do Trabalho do Rio de Janeiro</t>
  </si>
  <si>
    <t>ROBERT DE ASSUNCAO AGUIAR</t>
  </si>
  <si>
    <t>0010880-29.2025.5.03.0111</t>
  </si>
  <si>
    <t>Trata-se de Reclamação trabalhista visando ao pagamento de verbas advindas da relação de emprego, tais como horas extras, intervalo, dano moral; adicional de insalubridade e a responsabilidade subsidiária da Buser.</t>
  </si>
  <si>
    <t>MARCELO HORA VIANA DE SANTANA</t>
  </si>
  <si>
    <t>GRECCO TRANSPORTADORA TURISTICA LTDA</t>
  </si>
  <si>
    <t>32ª VARA DO TRABALHO DE BELO HORIZONTE</t>
  </si>
  <si>
    <t>R$ 173.282,52</t>
  </si>
  <si>
    <t>0010684-28.2025.5.03.0186</t>
  </si>
  <si>
    <t>Trata-se de reclamação trabalhista visando horas extras, férias, diferenças rescisórias, integração das comissões, adicional noturno, honorários e justiça gratuita.</t>
  </si>
  <si>
    <t>MARCELO DE SOUZA LIMA</t>
  </si>
  <si>
    <t>ADRIANO MARCOS SORIANO LOPES</t>
  </si>
  <si>
    <t>1000654-27.2025.5.02.0611</t>
  </si>
  <si>
    <t>MARCOS ANTONIO ROMANINI</t>
  </si>
  <si>
    <t>GUIRRO TRANSPORTES LTDA.</t>
  </si>
  <si>
    <t>11ª Vara do Trabalho de São Paulo</t>
  </si>
  <si>
    <t>PAULA GOUVEA XAVIER COSTA</t>
  </si>
  <si>
    <t>1000768-48.2024.5.02.0013</t>
  </si>
  <si>
    <t>Trata-se de reclamação trabalhista visando o pagamento de horas extras, adicional noturno, intervalo intrajornada, intervalo interjornada, horas extras folga e feriado, reembolso de despesas, adicional de insalubridade, diferenças e integrações de comissões, danos morais, danos materiais, danos patrimoniais e responsabilidade subsidiária da BUSER.</t>
  </si>
  <si>
    <t>OCTAVIO LUIZ DE ALMEIDA</t>
  </si>
  <si>
    <t>13ª Vara do Trabalho</t>
  </si>
  <si>
    <t>Julgamento de recurso</t>
  </si>
  <si>
    <t>R$ 950.000,00</t>
  </si>
  <si>
    <t>0010243-72.2025.5.03.0113</t>
  </si>
  <si>
    <t>Trata-se de reclamação trabalhista visando a responsabilidade subsidiária, justiça gratuita, vínculo empregatício, verbas rescisórias, pagamento das horas extras, intervalo intrajornada, danos morais, honorários advocatícios</t>
  </si>
  <si>
    <t>PATRICK ALEXANDRE VIEIRA DE OLIVEIRA</t>
  </si>
  <si>
    <t>34ª VARA DO TRABALHO DE BELO HORIZONTE</t>
  </si>
  <si>
    <t>BELO HORIZONTE</t>
  </si>
  <si>
    <t>LEANDRO WEHDORN GANEM</t>
  </si>
  <si>
    <t>R$9.000,00</t>
  </si>
  <si>
    <t>MS</t>
  </si>
  <si>
    <t>0024641-21.2024.5.24.0001</t>
  </si>
  <si>
    <t>Trata-se de Reclamação trabalhista visando ao reconhecimento das verbas rescisórias, adicional de insalubridade, multa dos artigos 467 e 477 CLT, dano moral, salário da pandemia e seguro desemprego.</t>
  </si>
  <si>
    <t>PAULO GRANDMAISON</t>
  </si>
  <si>
    <t>TRANSPORTES SANTA MARIA LTDA</t>
  </si>
  <si>
    <t>1ª Vara do Trabalho de Campo Grande</t>
  </si>
  <si>
    <t>Campo Grande</t>
  </si>
  <si>
    <t>DEA MARISA BRANDAO CUBEL YULE</t>
  </si>
  <si>
    <t>R$ 382.712,94</t>
  </si>
  <si>
    <t>1000619-98.2025.5.02.0051</t>
  </si>
  <si>
    <t>REINALDO GOMES DA SILVA</t>
  </si>
  <si>
    <t>Audiência Una realizada em 01/07/2025, Suspenso o processo por Recurso Extraordinário com repercussão geral nº 1389</t>
  </si>
  <si>
    <t>51ª Vara do Trabalho de São Paulo</t>
  </si>
  <si>
    <t>0100713-08.2025.5.01.0081</t>
  </si>
  <si>
    <t>Trata-se de reclamação trabalhista visando aviso prévio, férias em dobro, 13ª salário, entrega das guias para levantamento do FGTS, entrega das guias para recebimnto do seguro desemprego, horas extras com reflexos, adicional noturno, honorários e justiça gratuita</t>
  </si>
  <si>
    <t>ROBERVAL MONTENEGRO DA COSTA</t>
  </si>
  <si>
    <t>RIO TRANSPORTE TERRESTRE LOCADORA EIRELI</t>
  </si>
  <si>
    <t>81ª Vara do Trabalho do Rio de Janeiro</t>
  </si>
  <si>
    <t>ANA PAULA ALMEIDA FERREIRA</t>
  </si>
  <si>
    <t>0010013-89.2025.5.15.0147</t>
  </si>
  <si>
    <t>Trata-se de Reclamação trabalhista visando ao reconhecimento do vínculo empregatício, rescisão indireta, pagamento de verbas rescisórias, FGTS, horas extras, horas extras por tempo de espera, adicional noturno, intervalo intrajornada/interjornada, vale transporte, PLR, danos morais, danos materiais e responsabilidade subsidiária.</t>
  </si>
  <si>
    <t>WALDIR DE ALMEIDA COSTA JUNIOR</t>
  </si>
  <si>
    <t>Vara do Trabalho de Aparecida</t>
  </si>
  <si>
    <t>ANDRE DA CRUZ E SOUZA WENZEL</t>
  </si>
  <si>
    <t>Razõe finais</t>
  </si>
  <si>
    <t>0010802-81.2024.5.03.0010</t>
  </si>
  <si>
    <t>Trata-se de reclamação trabalhista visando ao pagamento do adicional de periculosidade, adicional de insalubridade, horas extras, intervalo intrajornada, intervalo interjornada, adicional noturno, dano moral, acúmulo de função e responsabilidade subsidiária.</t>
  </si>
  <si>
    <t>WALERSON HENRIQUE LOPES</t>
  </si>
  <si>
    <t>10ª Vara do Trabalho de Belo Horizonte</t>
  </si>
  <si>
    <t>Razões finais</t>
  </si>
  <si>
    <t>0010761-17.2024.5.03.0107</t>
  </si>
  <si>
    <t>WANDERSON CLAYTON LIMA</t>
  </si>
  <si>
    <t>11ª Turma</t>
  </si>
  <si>
    <t>MARCO ANTONIO PAULINELLI DE CARVALHO</t>
  </si>
  <si>
    <t>1000885-54.2025.5.02.0029</t>
  </si>
  <si>
    <t>Trata-se de reclamação trabalhista visando cesta Básic, adicional de Insalubridade, FGTS, indenização por dano Moral, multa de 40% do FGTS, rescisão Indireta, seguro Desemprego,verbas rescisórias</t>
  </si>
  <si>
    <t>WASHINGTON LUIZ SOARES</t>
  </si>
  <si>
    <t>29ª Vara do Trabalho de São Paulo</t>
  </si>
  <si>
    <t>AMANDA TAKAI RIVELLIS</t>
  </si>
  <si>
    <t>Aguardando pagamento integral do acordo</t>
  </si>
  <si>
    <t>1002028-76.2024.5.02.0041</t>
  </si>
  <si>
    <t>Trata-se de reclamação trabalhista visando a responsabilidade subsidiária, justiça gratuita, rescisão indireta do contrato de trabalho, horas extras, trabalho nos domingos e feriados, intervalo intrajornada, intervalo interjornada, adicional noturno, redução da hora noturna e reflexos, indenização por danos morais, restituição de valores descontados e honorários.</t>
  </si>
  <si>
    <t>WILLIAM DA SILVA NOGUEIRA</t>
  </si>
  <si>
    <t>41ª Vara do Trabalho de São Paulo</t>
  </si>
  <si>
    <t>DANIELLE VIANA SOARES LONGANO</t>
  </si>
  <si>
    <t>R$ 129.359,51</t>
  </si>
  <si>
    <t>Acordo 1ª reclamada - Buser suspensa</t>
  </si>
  <si>
    <t>1002108-52.2024.5.02.0037</t>
  </si>
  <si>
    <t>WILSON JOSE GARCIA</t>
  </si>
  <si>
    <t>37ª Vara do Trabalho de São Paulo</t>
  </si>
  <si>
    <t>BH</t>
  </si>
  <si>
    <t>0010934-59.2025.5.03.0025</t>
  </si>
  <si>
    <t>condenação solidária/subsidiária; horas extras; adicional noturno; intervalo suprimido; pagamento em dobro dos RSRs; danos morais; justiça gratuita; honorários</t>
  </si>
  <si>
    <t>WASHINGTON TEIXEIRA GURGEL</t>
  </si>
  <si>
    <t>25ª VT Belo Horizonte</t>
  </si>
  <si>
    <t>CLAUDIO ROBERTO CARNEIRO DE CASTRO</t>
  </si>
  <si>
    <t>R$ 96.472,70</t>
  </si>
  <si>
    <t>0011174-31.2025.5.15.0149</t>
  </si>
  <si>
    <t>condenação solidária/subsidiária; horas extras; adicional noturno; intervalo suprimido; pagamento em dobro RSRs; danos morais; honorários, justiça gratuita</t>
  </si>
  <si>
    <t>ANTONIO CRISPIM CORDEIRO</t>
  </si>
  <si>
    <t>CON1 - BAURU</t>
  </si>
  <si>
    <t>Bauru</t>
  </si>
  <si>
    <t>JULIO CESAR MARIN DO CARMO</t>
  </si>
  <si>
    <t>Defesa</t>
  </si>
  <si>
    <t>R$ 41.016,60</t>
  </si>
  <si>
    <t>0012781-24.2025.5.15.0135</t>
  </si>
  <si>
    <t>Horas extras; adicional noturno; intervalo. multa artigo 477 e 467 CLT; PLR, responsabilidade subsidiária/ solidária; rescisão contratual; FGTS; grupo econômico; honorários;</t>
  </si>
  <si>
    <t>JEFERSON DOMINGUES FIGUEIRA</t>
  </si>
  <si>
    <t>CON1- SOROCABA</t>
  </si>
  <si>
    <t>Sorocaba</t>
  </si>
  <si>
    <t>VALDIR RINALDI SILVA</t>
  </si>
  <si>
    <t>R$ 309.146,21</t>
  </si>
  <si>
    <t>1002653-06.2025.5.02.0614</t>
  </si>
  <si>
    <t>Horas extras; rescisão indireta; adicional noturno; dano moral; intervalo intrajornada; multa artigo 477; despesa mensais pelo uso do celular e pacote de dados;</t>
  </si>
  <si>
    <t>THIAGO LOPES MIRANDA</t>
  </si>
  <si>
    <t>14ª VT São Paulo</t>
  </si>
  <si>
    <t>ERICA SIQUEIRA FURTADO MONTES</t>
  </si>
  <si>
    <t>R$ 225.598,26</t>
  </si>
  <si>
    <t>0010135-75.2026.5.15.0080</t>
  </si>
  <si>
    <t>Responsabilidade subsidiária; Rescisão indireta; Verbas rescisórias; Multa do art. 477 da CLT; Intervalo intrajornada; Horas extras; Reembolso com despesas de alimentação; Dano moral; Justiça gratuita; Honorários advocatícios.</t>
  </si>
  <si>
    <t xml:space="preserve">ADRIANO OLIVEIRA DO PRADO
</t>
  </si>
  <si>
    <t xml:space="preserve">PRIMAR NAVEGACOES E TURISMO LTDA                                                                                                                      </t>
  </si>
  <si>
    <t>CON2 - São José do Rio Preto</t>
  </si>
  <si>
    <t>ALEXANDRE KLIMAS</t>
  </si>
  <si>
    <t>0010070-04.2026.5.03.0181</t>
  </si>
  <si>
    <t>Reconhecimento de vínculo empregatício; Verbas rescisórias; Vale alimentação; Diferença salarial; Horas que antecedem e sucedem a jornada; Horas extras;  Adicional noturno; DSR; Responsabilidade subsidiária; Honorários advocatícios; Justiça gratuita.</t>
  </si>
  <si>
    <t xml:space="preserve">WELTON DUTRA DO CARMO
</t>
  </si>
  <si>
    <t xml:space="preserve">AGENCE CONTACT INTERNATIONAL DE TURISMO LTDA                        </t>
  </si>
  <si>
    <t>Audiência de instrução designada para 29/05/2026, às 10h30, aguardando realização.</t>
  </si>
  <si>
    <t>43ª VARA DO TRABALHO DE BELO HORIZONTE</t>
  </si>
  <si>
    <t>GRACA MARIA BORGES DE FREITAS</t>
  </si>
  <si>
    <t>1000027-59.2026.5.02.0038</t>
  </si>
  <si>
    <t>Horas extras; Intervalo Intrajornada; Danos morais; PLR; Descontos indevidos; Vale alimentação; Adicional noturno; Responsabilidade subsidiária; Justiça gratuita; Honorários advocatícios.</t>
  </si>
  <si>
    <t xml:space="preserve">MARCOS JOSE DOS SANTOS
</t>
  </si>
  <si>
    <t>PRIMAR NAVEGACOES E TURISMO LTDA - EM RECUPERACAO JUDICIAL</t>
  </si>
  <si>
    <t>38ª VT São Paulo</t>
  </si>
  <si>
    <t>EDUARDO ROCKENBACH PIRES</t>
  </si>
  <si>
    <t>1002113-74.2025.5.02.0058</t>
  </si>
  <si>
    <t>Responsabilidade subsidiária; Horas extras; Intervalo interjornada; verbas rescisórias; Diferenças salariais; Adicional noturno; Multas dos arts. 467 e 477 da CLT; FGTS; Honorários advocatícios; Justiça gratuita.</t>
  </si>
  <si>
    <t xml:space="preserve">CICERO DE SOUSA SA
</t>
  </si>
  <si>
    <t>CLEBSON CASTRO SANTOS LTDA</t>
  </si>
  <si>
    <t>Audiência Una designada para o dia 05/05/2026, às 09h45.</t>
  </si>
  <si>
    <t>58ª VT São Paulo</t>
  </si>
  <si>
    <t>1001325-39.2025.5.02.0065</t>
  </si>
  <si>
    <t>Reconhecimento de vínculo empregatício; Verbas rescisórias; Turno ininterrupto; Horas extras; Adicional noturno; Adicional de insalubridade; DSR; Dano moral; Seguro desemprego e FGTS; Multa do art. 477 da CLT; Responsabilidade subsidiária; Honorários advocatícios; Justiça gratuita.</t>
  </si>
  <si>
    <t xml:space="preserve">JAILSON PEREIRA DA SILVA
</t>
  </si>
  <si>
    <t>65ª VT São Paulo</t>
  </si>
  <si>
    <t xml:space="preserve">GILIA COSTA SCHMALB </t>
  </si>
  <si>
    <t>1001625-51.2025.5.02.0016</t>
  </si>
  <si>
    <t>Reconhecimento de vínculo empregatício; Verbas rescisórias; Multa dos arts. 467 e 477 da CLT; Horas extras; Intervalo intrajornada; Adicional noturno; Intervalo interjornada; PLR; Indenizaação pelo uso de celular; Seguro desemprego e FGTS; Responsabilidade subsidiária; Honorários advocatícios; Justiça gratuita.</t>
  </si>
  <si>
    <t xml:space="preserve">IVANILDO CORDEIRO DE ARAUJO
</t>
  </si>
  <si>
    <t>16ª VT São Paulo</t>
  </si>
  <si>
    <t>DANIELA MORI</t>
  </si>
  <si>
    <t>9ª Turma</t>
  </si>
  <si>
    <t>SONIA APARECIDA COSTA MASCARO NASCIMENTO</t>
  </si>
  <si>
    <t>Aguardando acórdão</t>
  </si>
  <si>
    <t>1000232-79.2026.5.02.0041</t>
  </si>
  <si>
    <t>Execução Provisória</t>
  </si>
  <si>
    <t>41ª VT São Paulo</t>
  </si>
  <si>
    <t>Aguardando cálculos</t>
  </si>
  <si>
    <t>Apresentação dos cálculos</t>
  </si>
  <si>
    <t>1000424-89.2026.5.02.0371</t>
  </si>
  <si>
    <t>Horas extras R$ 477.689,56; Intervalo interjornada R$ 250.543,98; Adicional naurno R$ 133.206,92; Adicional de insalubridade R$ 44.144,61; Vale alimentação R$ 46.664,20; Vale transporte R$ 172.368,00; FGTS e multa de 40% R$ 137.407,77; Indenização por dano moral R$ 16.832,85; Adicional de periculosidade R$ 63.520,00; Honorários de sucumbência e Gratuidade de justiça.</t>
  </si>
  <si>
    <t>MARCOS ROBERTO MESSIAS</t>
  </si>
  <si>
    <t>Audiência Una designada para o dia 12/05/2026, às 14h45.</t>
  </si>
  <si>
    <t>1ª VT Mogi das Cruzes</t>
  </si>
  <si>
    <t>Mogi das Cruzes</t>
  </si>
  <si>
    <t>GUSTAVO SCHILD SOARES</t>
  </si>
  <si>
    <t>Contestação</t>
  </si>
  <si>
    <t>0010674-70.2026.5.15.0135</t>
  </si>
  <si>
    <t>Reconhecimento de vínculo de emprego; Resbonsabilidade subsidiária da Buser; Indenização por dano moral R$ 56.000,00; Pagamento por fora R$ 2.557,34; Comissões R$ 6.999,00; Multa de 40% do FGTS R$ 239,41; Verbas rescisórias R$13.004,86; Intervalo intrajornada R$ 4.123,63; Horas extras R$ 35.738,18; Adicional noturno R$ 5.718,10; Dano material R$ 174.720,00; Honorários de sucumbência R$ 44.865,07 e Gratuidade de justiça.</t>
  </si>
  <si>
    <t>DANIEL GONZAGA DA MOTA</t>
  </si>
  <si>
    <t>J.N. -SERVIÇOS ADMINISTRATIVOS LTDA</t>
  </si>
  <si>
    <t>4ª Vara do Trabalho de Sorocaba</t>
  </si>
  <si>
    <t>1000474-69.2026.5.02.0063</t>
  </si>
  <si>
    <t>Reconhecimento de vínculo empregatício; Responsabilidade subsidiária da Buser; Horas extras R$ 25.000,00; Acúmulo de função R$ 6.000,00; Intervalo intrajornada R$ 5.000,00; Intervalo interjornada R$ 15.000,00; Adicional noturno R$ 6.000,00; Verbas rescisórias R$ 3.317,51; Descontos indevidos R$2.074,20; Multa do art. 467 da CLT R$ 2.695,86; Multa do art. 477 da CLT R$ 2.867,00; Indenização substitutiva R$ R$ 2.867,00; Indenização substitutiva R$ 70.000,00; Dano material R$ 2.000,00; Indenização por dano moral R$ 50.000,00; Honorários de sucumbência e Gratuidade de justiça.</t>
  </si>
  <si>
    <t>ALEX RICARDO DE GODOY</t>
  </si>
  <si>
    <t>Audiência Una designada para o dia 30/06/2026, às 09h50.</t>
  </si>
  <si>
    <t>63ª VT São Paulo</t>
  </si>
  <si>
    <t>1000486-26.2026.5.02.0082</t>
  </si>
  <si>
    <t>Responsabilidade subsidiária; Acúmulo de função R$ 12.232,63; Adicional de insalubridade R$ 3.302,04; Horas extras R$ 152.427,04; Intervalo intrajornada R$ 8.904,00; Intervalo interjornada R$ 6.464,23; Adicional noturno R$ 11.362,30; Nulidade da justa causa; Verbas rescisórias R$ 14.297,42; Indenização por dano moral R$ 18.648,80; FGTS R$ 17.755,80; Honorários de sucumbência R$ 26.647,37 e Gratuidade de justiça.</t>
  </si>
  <si>
    <t>SAMUEL RODRIGUES PEREIRA</t>
  </si>
  <si>
    <t>Audiência Una designada para o dia 20/07/2026, às 08h45.</t>
  </si>
  <si>
    <t>82ª VT São Paulo</t>
  </si>
  <si>
    <t>NÚMERO DO PROCESSO</t>
  </si>
  <si>
    <t>Assunto</t>
  </si>
  <si>
    <t>CONTRÁRIO PRINCIPAL</t>
  </si>
  <si>
    <t>DEFESA APRESENTADA</t>
  </si>
  <si>
    <t>STATUS ATUAL</t>
  </si>
  <si>
    <t>14152.010876/2026-82</t>
  </si>
  <si>
    <t>Auto de Infração</t>
  </si>
  <si>
    <t>SUPERINTENDÊNCIA REGIONAL DO TRABALHO EM SÃO PAULO</t>
  </si>
  <si>
    <t>SIM</t>
  </si>
  <si>
    <t>Apresentado a defesa</t>
  </si>
  <si>
    <t>14152.011112/2026-12</t>
  </si>
  <si>
    <t>14152.011812/2026-07</t>
  </si>
  <si>
    <t>14152.011844/2026-02</t>
  </si>
  <si>
    <t>14152.011872/2026-11</t>
  </si>
  <si>
    <t>14152.011866/2026-64</t>
  </si>
  <si>
    <t>14152.009635/2026-91</t>
  </si>
  <si>
    <t>14152.019450/2026-94</t>
  </si>
  <si>
    <t>Polo ativo</t>
  </si>
  <si>
    <t>TRABALHISTA</t>
  </si>
  <si>
    <t>0010293-82.2023.5.03.0044</t>
  </si>
  <si>
    <t xml:space="preserve">Trata-se de Reclamação trabalhista visando o pagamento de verbas advindas de relação de emprego, tais como horas extras, intervalo, dano moral e a responsabilidade subsidiária da BUSER. </t>
  </si>
  <si>
    <t xml:space="preserve">MARCO ANTONIO FERREIRA COSTA </t>
  </si>
  <si>
    <t>MAX TOUR FRETAMENTOS E TURISMO LTDA</t>
  </si>
  <si>
    <t xml:space="preserve">CONDENADA DE FORMA SUBSIDIÁRIA </t>
  </si>
  <si>
    <t>2ª Vara do Trabalho de Uberlândia</t>
  </si>
  <si>
    <t xml:space="preserve">Uberlândia </t>
  </si>
  <si>
    <t>MARCEL LOPES MACHADO</t>
  </si>
  <si>
    <t xml:space="preserve">Não se aplica </t>
  </si>
  <si>
    <t>N/C</t>
  </si>
  <si>
    <t>R$ 26.064,63</t>
  </si>
  <si>
    <t xml:space="preserve">Ferraz Andrade </t>
  </si>
  <si>
    <t>1000424-44.2023.5.02.0711</t>
  </si>
  <si>
    <t>JOSE EDSON MARTINS DOS SANTOS</t>
  </si>
  <si>
    <t>SUSSANTUR TRANSPORTES, TURISMO E FRETAMENTO LTDA</t>
  </si>
  <si>
    <t xml:space="preserve">ACORDO COM EXCLUSÃO DO POLO </t>
  </si>
  <si>
    <t>11ª Vara do Trabalho de São Paulo - Zona Sul</t>
  </si>
  <si>
    <t>GUSTAVO  KIYOSHI  FUJINOHAR</t>
  </si>
  <si>
    <t>Acordo com exclusão de polo</t>
  </si>
  <si>
    <t>0010079-44.2023.5.15.0081</t>
  </si>
  <si>
    <t>WERITON MARCIEL SANTANA SIMIONI</t>
  </si>
  <si>
    <t>FGS TRANSPORTADORA TURISTICA LTDA</t>
  </si>
  <si>
    <t>Vara do Trabalho de Matão</t>
  </si>
  <si>
    <t>Matão</t>
  </si>
  <si>
    <t xml:space="preserve">ALAN CEZAR RUNHO </t>
  </si>
  <si>
    <t xml:space="preserve">Arquivado </t>
  </si>
  <si>
    <t xml:space="preserve"> 0010014-04.2023.5.03.0010</t>
  </si>
  <si>
    <t>CARLOS ANTONIO DOS SANTOS</t>
  </si>
  <si>
    <t>ANGEL FLY TURISMO E TRANSPORTES LTDA</t>
  </si>
  <si>
    <t>EXCLUSÃO DO POLO</t>
  </si>
  <si>
    <t>13ª VARA DO TRABALHO DE BELO HORIZONTE</t>
  </si>
  <si>
    <t xml:space="preserve">Belo Horizonte </t>
  </si>
  <si>
    <t>JUNE  BAYAO  GOMES  GUERRA</t>
  </si>
  <si>
    <t>0010274-94.2023.5.03.0135</t>
  </si>
  <si>
    <t>JOSE RICARDO BATISTA DE AGUILAR</t>
  </si>
  <si>
    <t xml:space="preserve">ACORDO SEM EXCLUSÃO DO POLO </t>
  </si>
  <si>
    <t>3ª Vara do Trabalho de Governador Valadares</t>
  </si>
  <si>
    <t>Governador Valadares</t>
  </si>
  <si>
    <t>CARLA CRISTINA DE PAULA GOME</t>
  </si>
  <si>
    <t>Acordo sem exclusão</t>
  </si>
  <si>
    <t>Acompanhar acordo e após Arquivamento</t>
  </si>
  <si>
    <t>R$ 23.845,07</t>
  </si>
  <si>
    <t>0011519-85.2022.5.15.0089</t>
  </si>
  <si>
    <t xml:space="preserve">Trata-se de Reclamação trabalhista visando ao pagamento de verbas advindas da relação de emprego, tais como horas extras, intervalo, dano moral e a responsabilidade subsidiária da BUSER. </t>
  </si>
  <si>
    <t>FABIO HENRIQUE DERONZI</t>
  </si>
  <si>
    <t>SINEZIO DA SILVA BELTRAO - EPP</t>
  </si>
  <si>
    <t>AUSÊNCIA INJUSTIFICADA NA AUDIÊNCIA, ARQUIVADO.</t>
  </si>
  <si>
    <t>2ª Vara do Trabalho de Bauru</t>
  </si>
  <si>
    <t>EDSON DA SILVA
JUNIOR</t>
  </si>
  <si>
    <t>R$ 64.726,00</t>
  </si>
  <si>
    <t>1000859-55.2022.5.02.0031</t>
  </si>
  <si>
    <t>Trata-se de Reclamação trabalhista visando ao pagamento de verbas advindas da relação de emprego</t>
  </si>
  <si>
    <t>MARCIO DA SILVA</t>
  </si>
  <si>
    <t>LIDIA TURISMO LTDA</t>
  </si>
  <si>
    <t>SOLANGE APARECIDA GALLO BISI</t>
  </si>
  <si>
    <t>R$ 60.239,86</t>
  </si>
  <si>
    <t>0012016-34.2021.5.15.0025</t>
  </si>
  <si>
    <t>Trata-se de Reclamação Trabalhista visando ao reconhecimento da rescisão indireta, pagamento das diferenças salariais, horas extras, intervalo intrajornada/interjornada, adicional noturno, adicional de periculosidade.</t>
  </si>
  <si>
    <t xml:space="preserve">JOSÉ CARLOS BARBOSA </t>
  </si>
  <si>
    <t xml:space="preserve">DESISTÊNCIA DA AÇÃO, ARQUIVADO. </t>
  </si>
  <si>
    <t xml:space="preserve">Vara do Trabalho de Botucatu </t>
  </si>
  <si>
    <t xml:space="preserve">Botucatu </t>
  </si>
  <si>
    <t>GUILHERME BASSETTO PETK</t>
  </si>
  <si>
    <t>R$ 98.792,85</t>
  </si>
  <si>
    <t>1001760-13.2023.5.02.0023</t>
  </si>
  <si>
    <t>Trata-se de Reclamação Trabalhista visando ao reconhecimento da responsabilidade subsidiária, pagamento das verbas rescisórias, horas extras e  vale transporte</t>
  </si>
  <si>
    <t>CARLOS ALBERTO DA SILVA </t>
  </si>
  <si>
    <t>PINDATUR TRANSPORTE E TURISMO LTDA</t>
  </si>
  <si>
    <t>23ª Vara do Trabalho de São Paulo</t>
  </si>
  <si>
    <t>LUCY GUIDOLIN BRISOLLA</t>
  </si>
  <si>
    <t>0010019-50.2023.5.03.0099</t>
  </si>
  <si>
    <t>BILL CHARLES DA SILVA</t>
  </si>
  <si>
    <t xml:space="preserve">ACORDO QUITADO SEM EXCLUSÃO DO POLO </t>
  </si>
  <si>
    <t>2ª Vara do Trabalho de Governador Valadares</t>
  </si>
  <si>
    <t>WALACE  HELENO  MIRANDA  DE  ALVARENGA</t>
  </si>
  <si>
    <t xml:space="preserve">    R$ 132.387,66</t>
  </si>
  <si>
    <t>R$ 16.500,00</t>
  </si>
  <si>
    <t>Remota</t>
  </si>
  <si>
    <t>1001629-74.2023.5.02.0011</t>
  </si>
  <si>
    <t>Trata-se de Reclamação Trabalhista visando ao pagamento das verbas rescisórias, horas extras, hora noturna, intervalo interjornada, intersemanal e intrajornada.</t>
  </si>
  <si>
    <t>JOÃO MONTEIRO DE MORAES JÚNIOR</t>
  </si>
  <si>
    <t>GOLD TURISMO E FRETAMENTO LTDA</t>
  </si>
  <si>
    <t xml:space="preserve">DESISTÊNCIA DA AÇÃO. ARQUIVADO EM 24/02/2024. </t>
  </si>
  <si>
    <t>RAMON MAGALHAES SILVA</t>
  </si>
  <si>
    <t>R$ 90.708,42</t>
  </si>
  <si>
    <t>0010345-96.2023.5.03.0135</t>
  </si>
  <si>
    <t>MOISES ALVES GUIMARAES</t>
  </si>
  <si>
    <t>IMPROCEDÊNCIA EM FACE DA BUSER - ARQUIVADO EM 06/02/2024</t>
  </si>
  <si>
    <t xml:space="preserve">IMPROCEDENTE EM FACE A BUSER - RESPONSABILIDADE AFASTADA </t>
  </si>
  <si>
    <t>R$ 18.500,57</t>
  </si>
  <si>
    <t>0010946-26.2022.5.03.0107</t>
  </si>
  <si>
    <t>NELMER ALEXANDRE GOMES DE AGUIAR</t>
  </si>
  <si>
    <t>Arquivado definitivamente.</t>
  </si>
  <si>
    <t>CRISTIANA  SOARES  CAMPOS</t>
  </si>
  <si>
    <t xml:space="preserve">Execução </t>
  </si>
  <si>
    <t>R$6.766,31</t>
  </si>
  <si>
    <t>obs: PROVISÃO NA CARTA DE SENTENÇA</t>
  </si>
  <si>
    <t>1001870-98.2023.5.02.0059</t>
  </si>
  <si>
    <t>Trata-se de Reclamação trabalhista visando ao reconhecimento de vínculo empregatício no período de 27/01/2023 à 04/12/2023, pagamento das horas extras, adicional noturno, intervalo intrajornada, vale alimentação e verbas rescisórias.</t>
  </si>
  <si>
    <t>PAULO ROGERIO FRANCHI E SA</t>
  </si>
  <si>
    <t>59ª Vara do Trabalho de São Paulo</t>
  </si>
  <si>
    <t>CAMILA COSTA KOERICH</t>
  </si>
  <si>
    <t xml:space="preserve">Acordo </t>
  </si>
  <si>
    <t>R$ 83.291,76</t>
  </si>
  <si>
    <t xml:space="preserve">Remoto </t>
  </si>
  <si>
    <t>1000017-47.2024.5.02.0050</t>
  </si>
  <si>
    <t>Trata-se de Reclamação trabalhista visando ao pagamento de verbas advindas da relação de emprego, tais como horas extras, intervalo, adicional de insalubridade, diferenças de comissões e a responsabilidade subsidiária da Buser.</t>
  </si>
  <si>
    <t xml:space="preserve">EVERALDO FERREIRA DA SILVA
</t>
  </si>
  <si>
    <t>TRANSPORTADORA TURÍSTICA NATAL LTDA</t>
  </si>
  <si>
    <t>50ª Vara do Trabalho de São Paulo</t>
  </si>
  <si>
    <t>MURILO AUGUSTO ALVES</t>
  </si>
  <si>
    <t xml:space="preserve">ARQUIVADO </t>
  </si>
  <si>
    <t>R$ 184.591,29</t>
  </si>
  <si>
    <t>0010461-74.2024.5.15.0025</t>
  </si>
  <si>
    <t xml:space="preserve">  Trata-se de Reclamação trabalhista visando ao reconhecimento de vínculo, rescisão indireta, pagamento das diferenças salariais, horas extras, intervalos interjornada, adcional noturno,dano moral - acidente de trabalho, dano material e dano estetico. </t>
  </si>
  <si>
    <t>LUCIANO DE MIRANDA CARIA</t>
  </si>
  <si>
    <t>TRANSVIVO - TRANSPORTES E TURISMO LTDA</t>
  </si>
  <si>
    <t>Transitado em julgado em 16/05/2024. Arquivados os autos definitivamente em 17/05/2024.</t>
  </si>
  <si>
    <t>Vara do Trabalho de Botucatu</t>
  </si>
  <si>
    <t>Botucatu</t>
  </si>
  <si>
    <t xml:space="preserve">Aguardando informação </t>
  </si>
  <si>
    <t>Extinto o feito, sem resolução do mérito</t>
  </si>
  <si>
    <t>R$ 451.520,80</t>
  </si>
  <si>
    <t>1000254-66.2024.5.02.0055</t>
  </si>
  <si>
    <t xml:space="preserve">  Trata-se de Reclamação trabalhista visando ao reconhecimento de vínculo, responsabilidade subsidiária, pagamento das verbas rescisórias, horas extras, intervalos intrajornada/ interjornada e adcional noturno.</t>
  </si>
  <si>
    <t>CESAR GOMES COSTA</t>
  </si>
  <si>
    <t>55ª Vara do Trabalho de São Paulo</t>
  </si>
  <si>
    <t>EDIVANIA BIANCHIN PANZAN</t>
  </si>
  <si>
    <t>R$ 91.585,48</t>
  </si>
  <si>
    <t>0010534-61.2023.5.03.0107</t>
  </si>
  <si>
    <t>Cumprimento de sentença</t>
  </si>
  <si>
    <t xml:space="preserve">NELMER ALEXANDRE GOMES DE AGUIAR </t>
  </si>
  <si>
    <t>Aguarde- se o trânsito em julgado do processo principal, n° 0010946-26.2022.5.03.0107. (cumprimento de sentença) homologado os cálculos da 1ª reclamada em R$ 6.766,31. Arquivados os autos definitivamente 08/04/2024</t>
  </si>
  <si>
    <t>Extinta a execução ou o cumprimento da sentença por satisfação da obrigação 1ª reclamada pagou R$6.766,31.</t>
  </si>
  <si>
    <t>0011378-30.2023.5.15.0025</t>
  </si>
  <si>
    <t>Trata-se de reclamação trabalhista visando ao pagamento de adicional noturno, FGTS, hora noturna reduzida, horas extras, indenização por dano moral, intervalo interjornadas, rescisão indireta, salário / diferença salarial, seguro desemprego, trabalho aos domingos, verbas rescisórias.</t>
  </si>
  <si>
    <t>Aguardando audiência inicial designada para 21/05/2024 às 15:00, telepresencial. O reclamante desistiu da ação em face da Buser. Homologada a exclusão.</t>
  </si>
  <si>
    <t xml:space="preserve"> Vara do Trabalho de Botucatu</t>
  </si>
  <si>
    <t xml:space="preserve">Aguardando audiência </t>
  </si>
  <si>
    <t>0012024-11.2021.5.15.0025</t>
  </si>
  <si>
    <t>ILSON APARECIDO VICTORINO</t>
  </si>
  <si>
    <t>Audiência de instrução realizada em 18/10/2023. Ação julgada improcedente em face da Buser. Recurso Ordinário da 1ª reclamada e Contrarrazões do reclamante. Provido acórdão da 1ª reclamada para excluir da condenação as diferenças salariais. Opostos Embargos de Declaração pelo reclamante. Não acolhidos os Embargos de Declaração opostos pelo reclamante.</t>
  </si>
  <si>
    <t>GUILHERME
BASSETTO PETEK</t>
  </si>
  <si>
    <t>IMPROCEDENTE EM FACE A BUSER - RESPONSABILIDADE AFASTADA. Trânsito em julgado</t>
  </si>
  <si>
    <t xml:space="preserve">José Antonio Gomes de Oliveira </t>
  </si>
  <si>
    <t>Autos no TRT</t>
  </si>
  <si>
    <t xml:space="preserve">Julgamento de recurso </t>
  </si>
  <si>
    <t>0011703-73.2021.5.15.0025</t>
  </si>
  <si>
    <t>JOSE DE ASSIS VICTORINO</t>
  </si>
  <si>
    <t xml:space="preserve">Audiência realizada em 22/11/2022 às 11:30. Ação julgada improcedente em face da Buser. Recurso da 1ª reclamada e adesivo do reclamante (mas este não recorreu no tocante à BUSER). Contrarrazões da Buser. Parcial provimento ao recurso da primeira reclamada fixando folga a cada 45 dias de trabalho, mantendo o valor da condenação. Transitado em julgado em 14/03/2024. Iniciada a fase de execução, as partes apresentaram cálculos de liquidação. </t>
  </si>
  <si>
    <t>CARLOS EDUARDO VIANNA MENDES</t>
  </si>
  <si>
    <t>Robson Adilson de Moraes</t>
  </si>
  <si>
    <t>26/10/2023 </t>
  </si>
  <si>
    <t>1001684-90.2023.5.02.0054</t>
  </si>
  <si>
    <t xml:space="preserve">  Trata-se de Reclamação trabalhista visando ao reconhecimento de vínculo,  verbas  rescisórias, horas extras, intervalo intrajornada, diferenças salariais e adcional noturno.</t>
  </si>
  <si>
    <t>RICARDO TEIXEIRA RAMOS</t>
  </si>
  <si>
    <t xml:space="preserve">Realizada audiência una em 26/02/2024 às 15h20, inconciliados. A reclamada juntou novos documentos nos autos. Prolatada sentença em 11/04/2024, afastada a responsabilidade subsidiária da Buser. Em 06.05.2024, a sentença transitou em julgado. O reclamante apresentou impugnação aos cálculos de liquidação apresentados pela primeira reclamada.
</t>
  </si>
  <si>
    <t>54ª Vara do Trabalho de São Paulo</t>
  </si>
  <si>
    <t>ROSANGELA LERBACHI BATISTA</t>
  </si>
  <si>
    <t xml:space="preserve">IMPROCEDENTE PARA BUSER  - RESPONSABILIDADE AFASTADA </t>
  </si>
  <si>
    <t xml:space="preserve">Recurso </t>
  </si>
  <si>
    <t xml:space="preserve">Acórdão </t>
  </si>
  <si>
    <t>R$ 36.093,05</t>
  </si>
  <si>
    <t>0010465-07.2024.5.03.0006</t>
  </si>
  <si>
    <t>Trata-se de reclamação trabalhista visando o pagamento de horas extras, intervalo intrajornada e responsabilidade subsidiária da BUSER.</t>
  </si>
  <si>
    <t>MARCELO ROSSINOL DA SILVA</t>
  </si>
  <si>
    <t xml:space="preserve">Audiência una realizada em 11/06/2024, devido a ausência injustificada do reclamante, foi determinado o arquivamento. </t>
  </si>
  <si>
    <t>6ª VARA DO TRABALHO</t>
  </si>
  <si>
    <t>ALEXANDRE WAGNER DE MORAIS ALBUQUERQUE</t>
  </si>
  <si>
    <t xml:space="preserve">Ausência injustificada do reclamante na audiência. </t>
  </si>
  <si>
    <t xml:space="preserve">Audiência </t>
  </si>
  <si>
    <t>R$ 22.570,26</t>
  </si>
  <si>
    <t>1001557-12.2023.5.02.0036</t>
  </si>
  <si>
    <t>Trata-se de Reclamação trabalhista visando ao pagamento das horas extras, intervalo interjonada e intersemanal, adicional de insalubridade, diferenças de comissões, comissões por fora, devolução de valores gastos com uniforme, ressarcimento com despesas de celular e dano moral.</t>
  </si>
  <si>
    <t>ADEMIR ADENIR DE OLIVEIRA</t>
  </si>
  <si>
    <t xml:space="preserve">Em audiência una realizada em 29/05/2024, o reclamante desistiu da ação quanto à Buser e celebrou acordo com a 1ª reclamada (Transportadora Turística), no valor de R$ 25.000,00, em 10 parcelas, sendo a última em 12/03/2025. </t>
  </si>
  <si>
    <t xml:space="preserve">36ª Vara do Trabalho de São Paulo </t>
  </si>
  <si>
    <t>JOÃO PAULO GABRIEL DE CASTRO DOURADO</t>
  </si>
  <si>
    <t>Desistência da ação</t>
  </si>
  <si>
    <t xml:space="preserve">Desistência </t>
  </si>
  <si>
    <t>R$ 274.675,28</t>
  </si>
  <si>
    <t>1001281-46.2023.5.02.0079</t>
  </si>
  <si>
    <t>Trata-se de Reclamação trabalhista visando ao pagamento das horas extras, trabalho nas folgas e feriados,  intervalo intrajornada, interjornada e intersemanal, dano moral, adicional noturno, adicional de insalubridade, diferença de comissões, comissões por fora, devolução de valores e ressarcimento de despesas com celular.</t>
  </si>
  <si>
    <t>ADRIANO ALVES DE SOUZA</t>
  </si>
  <si>
    <t>Em audiência una realizada em 15/03/2024, o reclamante desistiu do pedido de adicional de insalubridade. Em 03.05.2024, homologado acordo com a 1ª reclamada (Transportadora Turística), no valor de R$ 15.000,00, em 5 parcelas, exclusão do polo para Buser.</t>
  </si>
  <si>
    <t>79ª Vara do Trabalho de São Paulo</t>
  </si>
  <si>
    <t>RENATA LIBIA MARTINELLI SILVA SOUZA</t>
  </si>
  <si>
    <t>Acordo homologado com a exclusão da Buser.</t>
  </si>
  <si>
    <t>R$ 194.778,97</t>
  </si>
  <si>
    <t>1000933-09.2023.5.02.0053</t>
  </si>
  <si>
    <t>Trata-se de Reclamação trabalhista visando ao pagamento de adicional noturno, adicional de insalubridade, horas extras, indenização por dano moral, intervalo interjornadas.</t>
  </si>
  <si>
    <t>ARNALDO RODRIGUES DE MOURA FILHO</t>
  </si>
  <si>
    <t>Audiência realizada em 09/10/2023, homologado acordo com a 1ª reclamada (Transportadora Turística), no valor de R$ 65.010,00, em 22 parcelas, sendo a última em 25/07/2025, exclusão do polo para Buser.</t>
  </si>
  <si>
    <t xml:space="preserve">53ª Vara do Trabalho de São Paulo </t>
  </si>
  <si>
    <t>FABIO RIBEIRO DA ROCHA</t>
  </si>
  <si>
    <t>1001147-81.2023.5.02.0026</t>
  </si>
  <si>
    <t xml:space="preserve">  Trata-se de Reclamação trabalhista visando ao pagamento de adicional de insalubridade, horas extras, intervalo Interjonadas, responsabilidade subsidiária, diferenças de comissões e dano moral.</t>
  </si>
  <si>
    <t>DIONATAH ESTEVÃO LAMBERT STEFFEN</t>
  </si>
  <si>
    <t>Em audiência de instrução realizada em 15/04/2024, o reclamante desistiu do pedido de adicional de insalubridade e foi homologado acordo com a 1ª reclamada (Transportadora Turística), no valor de R$ 30.000,00, em 10 parcelas, sendo a última em 10/02/2025, exclusão do polo para Buser.</t>
  </si>
  <si>
    <t xml:space="preserve">26ª Vara do Trabalho de São Paulo </t>
  </si>
  <si>
    <t>FERNANDA CARDARELLI</t>
  </si>
  <si>
    <t>0011276-42.2022.5.15.0025</t>
  </si>
  <si>
    <t>GLAUCIA REGINA DA SILVA SANTOS</t>
  </si>
  <si>
    <t>Audiência realizada em 30/03/2023 às 13:30, inconciliados. Audiência de instrução realizada em 06/12/2023. Em 29.05.2024, realizada audiência com a celebração de acordo entre reclamante e 1ª reclamada (PRIMAR), no valor de R$ 15.000,00 em 8 parcelas, última parcela em 22/07/2024, exclusão do polo para Buser.</t>
  </si>
  <si>
    <t>LARISSA RABELLO SOUTO  TAVARES  COSTA</t>
  </si>
  <si>
    <t>1001400-81.2023.5.02.0022</t>
  </si>
  <si>
    <t>Trata-se de Reclamação trabalhista visando ao reconhecimento da responsabilidade subsidiária, pagamento das horas extras/sobreaviso, intervalo intrajornada/interjornada/intersemanal, adicional noturno, adicional de insalubridade, comissões, descontos indevidos, reembolso de despesas e dano moral.</t>
  </si>
  <si>
    <t>JOSE NEWTON NEVES</t>
  </si>
  <si>
    <t>Audiência inicial realizada em 07/12/2023, inconciliados. Audiência una realizada em 12/06/2024, o reclamante desistiu do pedido de adicional de insalubridade e foi homologado acordo com a 1ª reclamada (Transportadora Turística), no valor de R$ 50.000,00, em 20 parcelas, exclusão do polo para Buser.</t>
  </si>
  <si>
    <t>22ª Vara do Trabalho de São Paulo</t>
  </si>
  <si>
    <t>ANA CAROLINA PARISI APOLLARO ZANIN</t>
  </si>
  <si>
    <t>R$ 543.120,06</t>
  </si>
  <si>
    <t>1001562-59.2023.5.02.0060</t>
  </si>
  <si>
    <t>Trata-se de Reclamação trabalhista visando a condenação de forma subsidiária, o pagamento das horas extras, desconsideração de banco de horas ou compensação de horas, trabalho nas folgas e feriados, intervalo interjornada, intersemanal e intrajornada, adicional noturno, diferença de comissões, comissões por fora e restituição de descontos.</t>
  </si>
  <si>
    <t xml:space="preserve">JOSÉ PAULO PAZ </t>
  </si>
  <si>
    <t>Audiência una realizada em 24/01/2024, homologado acordo com a 1ª reclamada (Transportadora Turística), no valor de R$ 7.500,00, em 7 parcelas, sendo a última em 30/07/2024, exclusão do polo para Buser.</t>
  </si>
  <si>
    <t xml:space="preserve">60ª Vara do Trabalho de São Paulo </t>
  </si>
  <si>
    <t>JERONIMO AZAMBUJA FRANCO NETO</t>
  </si>
  <si>
    <t>R$ 69.479,70</t>
  </si>
  <si>
    <t>1001164-47.2023.5.02.0017</t>
  </si>
  <si>
    <t xml:space="preserve">  Trata-se de Reclamação trabalhista visando ao pagamento de adicional de insalubridade, horas extras, intervalo Interjonadas e responsabilidade subsidiária.</t>
  </si>
  <si>
    <t>ROGÉRIO CARNEIRO FERNANDES</t>
  </si>
  <si>
    <t>Audiência realizada em 25/10/2023, inconciliados. Laudo pericial favorável. Audiência de instrução realizada em17/04/2024, homologado acordo com a 1ª reclamada (Transportadora Turística), no valor de R$ 24.000,00, em 8 parcelas, sendo a última em 02/12/2024, exclusão do polo para Buser.</t>
  </si>
  <si>
    <t xml:space="preserve">17ª Vara do Trabalho de São Paulo </t>
  </si>
  <si>
    <t>MAYRA ALMEIDA MARTINS DA SILVA</t>
  </si>
  <si>
    <t>1001550-68.2023.5.02.0020</t>
  </si>
  <si>
    <t>Trata-se de Reclamação trabalhista visando ao reconhecimento da responsabilidade subsidiária, reversão da dispensa por justa causa, verbas rescisórias, danos morais e materiais, horas extras, do intervalo intrajornada, interjornada e intersemanal, trabalho nas folgas e feriados, adicional noturno, adicional de insalubridade, diferenças de comissão, comissão por fora, devolução de valores e ressarcimento de despesas com celular.</t>
  </si>
  <si>
    <t>MARCELO KIYOSHI NAKANO</t>
  </si>
  <si>
    <t>Audiência una realizada em 07/02/2024, homologado acordo com a 1ª reclamada (Transportadora Turística), no valor de R$ 25.000,00, em 10 parcelas, sendo a última em 25/11/2024, exclusão do polo para Buser.</t>
  </si>
  <si>
    <t xml:space="preserve">20ª Vara do Trabalho de São Paulo </t>
  </si>
  <si>
    <t>GABRIEL GARCEZ VASCONCELOS</t>
  </si>
  <si>
    <t>R$ 279.203,23</t>
  </si>
  <si>
    <t xml:space="preserve">0010038-51.2023.5.15.0025 </t>
  </si>
  <si>
    <t>MARCONE FERREIRA DIAS</t>
  </si>
  <si>
    <t>Audiência una realizada em 04/12/2023, homologado acordo com a 1ª reclamada (PRIMAR), no valor de R$ 10.000,00, em 10 parcelas, sendo a última em 16/09/2024, exclusão do polo para Buser.</t>
  </si>
  <si>
    <t xml:space="preserve">    R$ 40.937,69</t>
  </si>
  <si>
    <t>0100831-08.2023.5.01.0031</t>
  </si>
  <si>
    <t xml:space="preserve">Trata-se de Reclamação trabalhista visando o pagamento de horas extras, diferenças salariais, dano moral e a responsabilidade subsidiária da Buser.  </t>
  </si>
  <si>
    <t>MARCO AURELIO DE ANDRADE</t>
  </si>
  <si>
    <t>Audiência realizada em 23/05/2024, homologação de acordo entre o reclamante e a 1ª reclamada (Primar), no valor de R$ 10.000,00, em 5 parcelas, sendo a última em 07/10/2024. Exclusão do polo para Buser.</t>
  </si>
  <si>
    <t>31ª Vara do Trabalho</t>
  </si>
  <si>
    <t>ADRIANA MAIA DE LIMA</t>
  </si>
  <si>
    <t>R$ 27.800,00</t>
  </si>
  <si>
    <t>0010434-30.2024.5.03.0024</t>
  </si>
  <si>
    <t>Trata-se de Reclamação trabalhista visando ao reconhecimento da responsabilidade subsidiária, verbas rescisórias, multa dos artigos 467 e 477 CLT, horas extras, adicional noturno e dano moral.</t>
  </si>
  <si>
    <t>GERALDO EUZEBIO DE MOURA</t>
  </si>
  <si>
    <t xml:space="preserve">Audiência una realizada em 05/06/2024. Audiência de instrução realizada em 22/07/2024, acordo realizado entre reclamante e 1ª reclamada (Jundiá), no valor de R$ 2.000,00, o reclamante desiste da ação em face a Buser. </t>
  </si>
  <si>
    <t xml:space="preserve">24ª Vara do Trabalho de Belo Horizonte </t>
  </si>
  <si>
    <t>CHARLES ETIENNE CURY</t>
  </si>
  <si>
    <t>Desistência da ação em face a Buser</t>
  </si>
  <si>
    <t>R$ 56.350,71</t>
  </si>
  <si>
    <t>0010612-21.2024.5.03.0107</t>
  </si>
  <si>
    <t>Trata-se de reclamação trabalhista visando ao pagamento das horas extras, intervalo intrajornada, dano moral e material e descontos indevidos de FGTS.</t>
  </si>
  <si>
    <t>Indeferida a petição inicial do reclamante, por ter sido ajuizado no rito sumaríssimo e o valor da causa ultrapassar 40 salários mínimos. Arquivado em 26/07/2024.</t>
  </si>
  <si>
    <t xml:space="preserve">28ª Vara do Trabalho de Belo Horizonte </t>
  </si>
  <si>
    <t>Inicial indeferida</t>
  </si>
  <si>
    <t>R$ 56.785,60</t>
  </si>
  <si>
    <t>1001862-09.2023.5.02.0064</t>
  </si>
  <si>
    <t>Trata-se de Reclamação trabalhista visando ao reconhecimento da responsabilidade solidária/subsidiária, vínculo empregatício, pagamento das horas extras e adicional noturno.</t>
  </si>
  <si>
    <t>CAIO FERNANDO DOS SANTOS SILVA</t>
  </si>
  <si>
    <t>LIVE IN MUSIC SOLUCOES MUSICAIS LTDA. e LÍDIA TURISMO LTDA.</t>
  </si>
  <si>
    <t xml:space="preserve">Audiência una realizada em 12/07/2024, acordo entre o reclamante, 1ª reclamada (Live) e 2ª reclamada (Lídia), no valor de R$ 8.000,00 em duas parcelas, sendo a última em 22/08/2024. Exclusão do polo para Buser. </t>
  </si>
  <si>
    <t>LORENA DE MELLO REZENDE COLNAGO</t>
  </si>
  <si>
    <t>R$ 69.514,95</t>
  </si>
  <si>
    <t>0010268-68.2023.5.03.0109</t>
  </si>
  <si>
    <t>ROBERTO LEITE JANUARIO</t>
  </si>
  <si>
    <t xml:space="preserve">CJ TRANSPORTES E TURISMO LTDA </t>
  </si>
  <si>
    <t xml:space="preserve">Realizada audiência em 23/05/2023, inconciliados. Audiência realizada em 04/03/2024, ausência injustificada da 1ª reclamada (CJ TRANSPORTES), inconciliados. Sentença improcedente publicada em 22/04/2024. Reclamante interpôs Recurso Ordinário e reclamadas apresentaram contrarrazões. Negado provimento ao recurso do reclamante, para manter a sentença de origem em 18/07/2024. Improcedência da ação - arquivado em 16/08/2024. </t>
  </si>
  <si>
    <t>30ª Vara do Trabalho de Belo Horizonte</t>
  </si>
  <si>
    <t>CLARICE DOS SANTOS CASTRO</t>
  </si>
  <si>
    <t xml:space="preserve">IMPROCEDENTE  - RESPONSABILIDADE AFASTADA </t>
  </si>
  <si>
    <t xml:space="preserve">07ª Turma </t>
  </si>
  <si>
    <t>MÁRCIO JOSÉ ZEBENDE</t>
  </si>
  <si>
    <t>Improcedência da ação</t>
  </si>
  <si>
    <t>0010194-73.2022.5.15.0025</t>
  </si>
  <si>
    <t>ANTONIO DE MATOS GOMES</t>
  </si>
  <si>
    <t xml:space="preserve">Audiência inicial realizada em 03/11/2022, inconciliados. Audiência de instrução realizada em 27/11/2023. Ação julgada improcedente em face à Buser e parcialmente procedente para 1ª reclamada (PRIMAR). Negado provimento aos embargos do reclamante. Recurso Ordinário apresentado pela reclamada e Contrarrazões pela reclamante. Parcial procedência ao recurso da 1ª reclamada. Trânsito em julgado em 21/08/2024. Exclusão do polo para Buser 21/08/2024. </t>
  </si>
  <si>
    <t xml:space="preserve">Exclusão do polo </t>
  </si>
  <si>
    <t>0010071-22.2024.5.15.0020</t>
  </si>
  <si>
    <t>Trata-se de Reclamação trabalhista visando ao pagamento de verbas advindas da relação de emprego, tais como horas extras, adicional noturno, rescisão indireta, adicional de insalubridade, diferenças de comissões e a responsabilidade subsidiária da Buser.</t>
  </si>
  <si>
    <t>LUIS ROBERTO DE PAULO</t>
  </si>
  <si>
    <t>TRANSVALE TURISMO, FRETAMENTO E LOCACAO LTDA</t>
  </si>
  <si>
    <t>Audiência una realizada em 09/04/2024. Laudo pericial desfavorável, entendendo que o reclamante trabalhou em local insalubre. Audiência de instrução realizada em 16/07/2024. Homologado acordo entre reclamante e reclamadas no valor de R$ 27.000,00. Exclusão do polo para a Buser em 10/08/2024.</t>
  </si>
  <si>
    <t>Vara do Trabalho de Guaratinguetá</t>
  </si>
  <si>
    <t>Guaratinguetá</t>
  </si>
  <si>
    <t>TANIA APARECIDA CLARO</t>
  </si>
  <si>
    <t>R$ 287.347,45</t>
  </si>
  <si>
    <t>0100627-33.2023.5.01.0008</t>
  </si>
  <si>
    <t xml:space="preserve">Trata-se de Reclamação trabalhista visando ao pagamento de verbas advindas de relação de emprego, tais como horas extras, intervalo, adicional noturno, auxilio alimento, férias proporcionais, saldo salário e a responsabilidade subsidiária da BUSER. </t>
  </si>
  <si>
    <t>RODNEY PEREIRA CRESPO</t>
  </si>
  <si>
    <t xml:space="preserve">TRANSREZENDE LOCADORA DE VEICULOS LTDA - </t>
  </si>
  <si>
    <t>Audiência inicial realizada em 09/08/2024, acordo entre reclamante e 1ª reclamada (Transrezende) no valor de R$ 10.000,00. Exclusão do polo para Buser.</t>
  </si>
  <si>
    <t>8ª Vara do Trabalho do Rio de Janeiro</t>
  </si>
  <si>
    <t>ANDRESSA CAMPANA TEDESCO VALENTIM</t>
  </si>
  <si>
    <t>1000714-68.2024.5.02.0050</t>
  </si>
  <si>
    <t>Trata-se de reclamação trabalhista visando a nulidade do pedido de demissão, verbas rescisórias, FGTS, Seguro desemprego, horas extras, adicional noturno, multa do Artigo 477,  Multa do Artigo 467, adicional de insalubridade, diferença de comissões, reembolso de despesas, e responsabilidade subsidiária da BUSER.</t>
  </si>
  <si>
    <t>EVERALDO FERREIRA DA SILVA</t>
  </si>
  <si>
    <t xml:space="preserve">TRANSPORTADORA TURISTICA NATAL LTDA </t>
  </si>
  <si>
    <t xml:space="preserve">Audiência una realizada em 22/08/2024, celebrado acordo entre reclamante e 1ª reclamada (Natal), no valor de R$ 27.000,00. Exclusão do polo para Buser. </t>
  </si>
  <si>
    <t xml:space="preserve">50ª Vara do Trabalho </t>
  </si>
  <si>
    <t>1000868-43.2024.5.02.0032</t>
  </si>
  <si>
    <t xml:space="preserve">Trata-se de Reclamação trabalhista visando ao reconhecimento do vínculo empregatício, verbas rescisórias, multa dos artigos 467 e 477 CLT, horas extras, intervalo intrajornada, interjornada e intersemanal, adicional noturno, adicional de insalubridade e responsabilidade subsidiária. </t>
  </si>
  <si>
    <t>APARECIDO FERREIRA DE JESUS</t>
  </si>
  <si>
    <t>VIAGENS CHAPECO TRANSPORTE E TURISMO LTDA</t>
  </si>
  <si>
    <t xml:space="preserve">Audiência una realizada em 15/08/2024, celebrado acordo entre reclamante e reclamada, no valor de R$ 18.000,00. Exclusão do polo para Buser. </t>
  </si>
  <si>
    <t>32ª Vara do Trabalho de São Paulo</t>
  </si>
  <si>
    <t>VIRGINIA MARIA DE OLIVEIRA BARTHOLOMEI CASADO</t>
  </si>
  <si>
    <t>R$ 207.007,27</t>
  </si>
  <si>
    <t>1000921-76.2024.5.02.0047</t>
  </si>
  <si>
    <t>VALTER DO ROSARIO LOPES</t>
  </si>
  <si>
    <t xml:space="preserve">Sentença em 16/08/2024, homologa acordo entre reclamante e 1ª reclamada (Chapeco), no valor de 15.000,00. Exclusão do polo para Buser. </t>
  </si>
  <si>
    <t>47ª Vara do Trabalho de São Paulo</t>
  </si>
  <si>
    <t>MARIA TEREZA CAVA RODRIGUES</t>
  </si>
  <si>
    <t>R$ 153.527,96</t>
  </si>
  <si>
    <t>1000922-61.2024.5.02.0047</t>
  </si>
  <si>
    <t xml:space="preserve">Trata-se de Reclamação trabalhista visando ao pagamento das verbas rescisórias, multa dos artigos 467 e 477 CLT, horas extras, intervalo intrajornada, interjornada e intersemanal, adicional noturno, adicional de insalubridade e responsabilidade subsidiária. </t>
  </si>
  <si>
    <t xml:space="preserve">Sentença em 27/08/2024, homologa acordo entre reclamante e 1ª reclamada (Chapecó), no valor de 7.000,00. Exclusão do polo para Buser. </t>
  </si>
  <si>
    <t>31ª Vara do Trabalho de São Paulo</t>
  </si>
  <si>
    <t>R$ 58.396,20</t>
  </si>
  <si>
    <t>1000853-47.2024.5.02.0041</t>
  </si>
  <si>
    <t xml:space="preserve">Trata-se de Reclamação trabalhista visando ao reconhecimento da responsabilidade subsidiária, horas extras, adicional noturno, intervalo intrajornada e interjornada, adicional de insalubridade, diferenças salariais e integração das comissões. </t>
  </si>
  <si>
    <t xml:space="preserve">Audiência una realizada em 16/09/2024, acordo entre reclamante e 1ª reclamada (Natal), no valor de R$ 30.000,00, em 12 parcelas. Exclusão do polo para Buser. </t>
  </si>
  <si>
    <t>13ª Vara do Trabalho de São Paulo</t>
  </si>
  <si>
    <t>R$ 259.225,35</t>
  </si>
  <si>
    <t>0010843-91.2023.5.03.0007</t>
  </si>
  <si>
    <t>Trata-se de Reclamação trabalhista visando ao reconhecimento da responsabilidade subsidiária, acúmulo de função, horas extras, intervalo intrajornada e interjornada, trabalho nos feriados, adicional noturno, adicional de insalubridade, seguro de vida, dano moral e descontos indevidos.</t>
  </si>
  <si>
    <t>TARCÍSIO OLIVEIRA LOPES</t>
  </si>
  <si>
    <t>Audiência realizada em 16/11/2023. Laudo pericial desfavorável, considerando as atividades do reclamante insalubres. Audiência de instrução realizada em 23/07/2024. Sentença parcialmente procedente em 09/08/2024, condenando as reclamadas de forma subsidiária ao pagamento das horas extras. Acordo celebrado entre reclamante e a 1ª reclamada (Jundiá). Acordo homologado em audiência de conciliação em 03/09/2024, no valor de R$ 8.000,00, em duas parcelas de R$ 4.000,00. Acordo cumprido - arquivado em 22/10/2024.</t>
  </si>
  <si>
    <t>7ª Vara do Trabalho de Belo Horizonte</t>
  </si>
  <si>
    <t>ANGELA CRISTINA DE ÁVILA AGUIAR AMARAL</t>
  </si>
  <si>
    <t>R$ 113.544,97</t>
  </si>
  <si>
    <t>0010243-20.2023.5.15.0045</t>
  </si>
  <si>
    <t xml:space="preserve">Trata-se de Reclamação trabalhista visando ao reconhecimento do vínculo empregatício do período de 20/09/2021 à 01/10/2021, pagamento das diferenças salariais por promoções e danos morais. </t>
  </si>
  <si>
    <t>JESSICA NESE VITAL</t>
  </si>
  <si>
    <t>Audiência de instrução realizada em 31/01/2024, inconciliados. Sentença improcedente em 16/02/2024. Recurso Ordinário apresentado pela reclamante e contrarrazões pela reclamada. Parcial provimento ao recurso da reclamante para afastar a condenação no pagamento dos honorários advocatícios. Trânsito em julgado em 16/09/2024. Ação improcedente - arquivado em 01/10/2024.</t>
  </si>
  <si>
    <t>DENISE FERREIRA BARTOLOMUCCI</t>
  </si>
  <si>
    <t xml:space="preserve">IMPROCEDENTE </t>
  </si>
  <si>
    <t xml:space="preserve">11ª Turma </t>
  </si>
  <si>
    <t xml:space="preserve">ANA LUCIA COGO CASARI CASTANHO FERREIRA </t>
  </si>
  <si>
    <t>R$ 63.765,80</t>
  </si>
  <si>
    <t>0011273-90.2023.5.15.0045</t>
  </si>
  <si>
    <t xml:space="preserve">  Trata-se de Reclamação trabalhista visando ao pagamento de horas extras.</t>
  </si>
  <si>
    <t>LAURA  LETÍCIA  XAVIER</t>
  </si>
  <si>
    <t xml:space="preserve">Audiência realizada em 25/01/2024, acordo entre as partes no valor de R$ 4.000,00, em duas parcelas, a última se dará em 25/03/2024. Em 29.05.2024, reclamante noticiou o cumprimento integral do acordo. Arquivado em 18/10/2024. </t>
  </si>
  <si>
    <t>1000070-36.2024.5.02.0015</t>
  </si>
  <si>
    <t>Trata-se de Reclamação trabalhista visando ao pagamento de verbas advindas da relação de emprego, tais como horas extras, intervalo, adicional noturno, rescisão indireta e a responsabilidade subsidiária da Buser.</t>
  </si>
  <si>
    <t>RAFAEL DE OLIVEIRA</t>
  </si>
  <si>
    <t xml:space="preserve">Audiência una realizada em 24/10/2024, celebrado acordo entre reclamante e 1ª reclamada (Transitivo), no valor de R$17.000,00, em quatro parcelas, sendo a última em 14/02/2025. Exclusão do polo para a Buser. </t>
  </si>
  <si>
    <t>15ª Vara do Trabalho de São Paulo</t>
  </si>
  <si>
    <t>CAROLINE FERREIRA FERRARI</t>
  </si>
  <si>
    <t>1000707-61.2024.5.02.0055</t>
  </si>
  <si>
    <t>Trata-se de reclamação trabalhista visando o reconhecimento de vínculo empregatício, verbas rescisórias, horas extras, intervalo intrajornada e interjornada, adicional noturno e responsabilidade subsidiária.</t>
  </si>
  <si>
    <t xml:space="preserve">Audiência una realizada em 16/09/2024, inconciliados. Audiência una realizada em 23/10/2024, celebrado acordo entre reclamante e 1ª reclamada (Transitivo), no valor de R$13.500,00, em três parcelas sendo a última em 06/01/2025. Exclusão do polo para Buser. </t>
  </si>
  <si>
    <t>RAPHAEL JACOB BROLIO</t>
  </si>
  <si>
    <t>1001247-79.2024.5.02.0065</t>
  </si>
  <si>
    <t xml:space="preserve">Trata-se de reclamação trabalhista visando a responsabilidade subsidiária, adicional de insalubridade, adicional noturno, horas extras  e seguro desemprego. </t>
  </si>
  <si>
    <t>MARIA LINDALVA MENEZES DOS SANTOS</t>
  </si>
  <si>
    <t>INTERATIVA-DEDETIZACAO, HIGIENIZACAO E CONSERVACAO LTDA</t>
  </si>
  <si>
    <t xml:space="preserve">Audiência una realizada em 10/10/2024, desistência da ação em face a 2ª reclamada (Buser) e 3ª reclamada (Trens). </t>
  </si>
  <si>
    <t>65ª Vara do Trabalho de São Paulo</t>
  </si>
  <si>
    <t>GILIA COSTA SCHMALB</t>
  </si>
  <si>
    <t>0010708-58.2023.5.03.0111</t>
  </si>
  <si>
    <t>Trata-se de Reclamação trabalhista visando ao pagamento de verbas advindas da relação de emprego, tais como horas extras, intervalo, adicional noturno, insalubridade e periculosidade e a responsabilidade subsidiária da Buser.</t>
  </si>
  <si>
    <t>JOSÉ GOMES PEREIRA</t>
  </si>
  <si>
    <t xml:space="preserve">Audiência de instrução realizada em 14/11/2023 às 10:45. Ação julgada parcialmente procedente, condenando a Buser de forma subsidiária. Embargos de declaração opostos pelo reclamante, rejeitados. Interposto Recurso Ordinário pelas partes e Contrarrazões pela 1ª reclamada (JUNDIAÍ). Provido o recurso do reclamante para reconhecer a prestação de serviços em turnos ininterruptos de revezamento durante os contratos de trabalho e acrescer à condenação o pagamento das horas extras, excedentes da 6ª diária ou 36ª semanal, e prover o recurso da reclamada para afastar a condenação ao pagamento de diferenças de adicional noturno e consectários. Denegado seguimento ao recurso de revista do reclamante. Trânsito em julgado em 20/08/2024. Iniciada a fase de execução, as partes foram intimadas para apresentar cálculos de liquidação. Audiência de conciliação realizada em 19/09/2024, acordo realizado com a 1ª reclamada (Jundiá) no valor de R$ 3.551,80, em duas parcelas de R$ 1.775,90. Acordo cumprido - arquivado em 07/11/2024. </t>
  </si>
  <si>
    <t>ALEXANDRE GONCALVES DE TOLEDO</t>
  </si>
  <si>
    <t xml:space="preserve">ACORDO </t>
  </si>
  <si>
    <t xml:space="preserve">3ª Turma </t>
  </si>
  <si>
    <t>CÉSAR PEREIRA DA SILVA MACHADO JÚNIOR</t>
  </si>
  <si>
    <t>0010517-14.2023.5.15.0132</t>
  </si>
  <si>
    <t>Trata-se de reclamação trabalhista visando ao reconhecimento da relação de emprego, bem como o pagamento de adicional noturno, dispensa discriminatória, indenização por dano moral, multa de 40% do FGTS, multa do artigo 467 da CLT e multa do artigo 477 da CLT.</t>
  </si>
  <si>
    <t xml:space="preserve">ANDRÉ FREDDI </t>
  </si>
  <si>
    <t>Audiência una realizada em 22/01/2024, inconciliados. Sentença improcedente. Rejeitado ED do reclamante. Interposto Recurso Ordinário pelo reclamante e contrarrazões pela reclamada. Provido o recurso do reclamante, para deferir a justiça gratuita, determinar a suspensão da exigibilidade de pagamento dos honorários advocatícios sucumbenciais, e excluir a condenação ao pagamento da multa por embargos protelatórios. Interposto Recurso de Revista pelo reclamante. Denegado seguimento ao recurso de revista. Trânsito em julgado em 23/10/2024. Arquivado em 06/11/2024.</t>
  </si>
  <si>
    <t>LUIZA HELENA ROSON</t>
  </si>
  <si>
    <t>5ª Câmara</t>
  </si>
  <si>
    <t>LÚCIA ZIMMERMANN</t>
  </si>
  <si>
    <t>1001942-79.2023.5.02.0061</t>
  </si>
  <si>
    <t>Trata-se de Reclamação Trabalhista visando ao pagamento de multa normativa referente às cláusulas 61ª, 16ª  e 11ª da CCT, do período de 2019 a 2023.</t>
  </si>
  <si>
    <t>SINDICATO DOS EMPREGADOS EM EMPRESAS DE PROCESSAMENTO DE DADOS, SERV COMP, INFORM TEC. INFORM E TRAB PROCESS DADOS, SERV COMP, INFORM E TEC INFORM ESP</t>
  </si>
  <si>
    <t>BUSER BRASIL TECNOLOGIA LTDA</t>
  </si>
  <si>
    <t>Sentença improcedente devido a petição inicial não atender às exigências legais. Rejeitado Embargos de Declaração do Sindicato. Apresentado RO pelo Sindicato e Contrarrazões pela reclamada. Negado provimento ao recurso do Sindicato, para manter a sentença. Interposto Recurso de Revista pelo Sindicato, que teve seguimento denegado. Interposto agravo de instrumento em recurso de revista pelo sindicato. Apresentado contrarrazões e contraminuta pela reclamada. Negado provimento ao agravo de instrumento do sindicato em 04/10/2024. Trânsito em julgado em 05/11/2024. Arquivado em 08/11/2024.</t>
  </si>
  <si>
    <t>61ª Vara do Trabalho de São Paulo</t>
  </si>
  <si>
    <t>ALBERTO ROZMAN DE MORAES</t>
  </si>
  <si>
    <t xml:space="preserve">6ª Turma </t>
  </si>
  <si>
    <t>FERNANDO CESAR TEIXEIRA FRANCA</t>
  </si>
  <si>
    <t>R$ 60.000,00</t>
  </si>
  <si>
    <t>1001236-56.2024.5.02.0063</t>
  </si>
  <si>
    <t xml:space="preserve">Trata-se de reclamação trabalhista visando a responsabilidade subsidiária, justiça gratuita, inversão do ônus da prova, unicidade contratual, horas extras, turno ininterrupto de revezamento, intervalo intrajornada, labor aos domingos e feriados, diferenças dos repousos semanais e 7º dia laborado, adicional noturno, diferenças de comissões, comissões pagas por fora, e demais pleitos de estilo. </t>
  </si>
  <si>
    <t>JEFFERSON ARAUJO</t>
  </si>
  <si>
    <t xml:space="preserve">Audiência inicial realizada em 18/11/2024, celebrado acordo entre reclamante e 1ª reclamada (Natal), no valor de R$75.000,00. Exclusão do polo para Buser. </t>
  </si>
  <si>
    <t xml:space="preserve">63ª Vara do Trabalho de São Paulo
</t>
  </si>
  <si>
    <t xml:space="preserve">R$ 1.466.095,44
</t>
  </si>
  <si>
    <t>0100818-60.2024.5.01.0035</t>
  </si>
  <si>
    <t>Trata-se de reclamação trabalhista visando a responsabilidade solidária/subsidiária, vínculo empregatício, verbas rescisórias, horas extras, intervalo intrajornada, intervalo interjornada, adicional noturno, seguro desemprego, multa dos arts. 467 e 477 CLT.</t>
  </si>
  <si>
    <t>FERNANDO LIMA DE MELO</t>
  </si>
  <si>
    <t>ES AGENCIA DE VIAGENS E TURISMO LTDA</t>
  </si>
  <si>
    <t>Aguardando audiência inicial designada para 04/12/2024, às 10h02, virtual. Realizada a audiência, ausente o Reclamante, autos arquivados definitivamente.</t>
  </si>
  <si>
    <t>35ª Vara do Trabalho do Rio de Janeiro</t>
  </si>
  <si>
    <t>PAULO CESAR MOREIRA SANTOS JUNIOR</t>
  </si>
  <si>
    <t>Extinta a execução sem resolução de mérito</t>
  </si>
  <si>
    <t>0011706-27.2024.5.03.0067</t>
  </si>
  <si>
    <t>Trata-se de reclamação trabalhista visando a responsabilidade solidária/subsidiária, verbas rescisórias, horas extras e adicional de insalubridade.</t>
  </si>
  <si>
    <t>CARLOS EVANGELISTA LELES</t>
  </si>
  <si>
    <t>BELOS MONTES TURISMO LTDA - ME</t>
  </si>
  <si>
    <t>Audiência una realizada em 10/09/2024, acordo entre reclamante e 1ª reclamada (Ronia), no valor de R$ 4.000,00, em duas parcelas de R$ 2.000,00. A Buser não foi excluída do polo. Cumprido integralmente o acordo. Autos arquivados definitivamente em 28/11/2024.</t>
  </si>
  <si>
    <t>Montes Claros</t>
  </si>
  <si>
    <t>ROSA DIAS GODRIM</t>
  </si>
  <si>
    <t>R$ 21.734,12</t>
  </si>
  <si>
    <t>0010791-09.2024.5.03.0186</t>
  </si>
  <si>
    <t>Trata-se de reclamação trabalhista visando ao reconhecimento de vínculo empregatício, verbas rescisórias, horas extras, intervalo intrajornada, intervalo interjornada, intervalo intersemanal, adicional noturno e danos morais.</t>
  </si>
  <si>
    <t>DAVIDSON RAYDAN TEIXEIRA CANUTO</t>
  </si>
  <si>
    <t>PRISMA VIAGENS LTDA</t>
  </si>
  <si>
    <t>Audiência una realizada em 24/10/2024. Sentença improcedente em 26/10/2024. Não houve interposição de recurso pelo reclamante, trânsito em julgado em 13/11/2024. Arquivado em 28/11/2024.</t>
  </si>
  <si>
    <t>48ª Vara do Trabalho de Belo Horizonte</t>
  </si>
  <si>
    <t>ALEXANDRE MOREIRA DOS SANTOS ALMEIDA</t>
  </si>
  <si>
    <t xml:space="preserve">Trânsito em julgado </t>
  </si>
  <si>
    <t>R$ 125.119,50</t>
  </si>
  <si>
    <t>1001615-43.2024.5.02.0080</t>
  </si>
  <si>
    <t>Trata-se de reclamação trabalhista visando a responsabilidade subsidiária, justiça gratuita, vínculo empregatício, horas extras, intervalo intrajornada, intervalo interjornada, adicional noturno e demais pleitos de estilo.</t>
  </si>
  <si>
    <t>MARCUS VINICIUS REZENDE LUCCAS</t>
  </si>
  <si>
    <t>LUCRETUR  AGÊNCIA  DE  VIAGENS  E  TURISMO  LTDA,</t>
  </si>
  <si>
    <t xml:space="preserve">Aguardando audiência inicial designada para 16/12/2024 às 16:00, presencial. Realizado acordo pela 1ª Reclamada (LUCRETUR), no valor de R$ 18.001,60 em duas parcelas (12/2024 e 02/2025), com exclusão da BUSER. </t>
  </si>
  <si>
    <t xml:space="preserve">80ª Vara do Trabalho de São Paulo
</t>
  </si>
  <si>
    <t xml:space="preserve">R$ 214.730,48
</t>
  </si>
  <si>
    <t>0010433-94.2023.5.03.0019</t>
  </si>
  <si>
    <t>Trata-se de Reclamação trabalhista visando ao reconhecimento da responsabilidade solidária/subsidiária, pagamento das horas extras, intervalo intrajornada, adicional de insalubridade e danos existenciais.</t>
  </si>
  <si>
    <t>LEONARDO SOARES DE OLIVEIRA</t>
  </si>
  <si>
    <t>Audiência realizada em 28/08/2023. Perícia cancelada, devido ao uso de prova emprestada referente ao adicional de insalubridade, favorável para a Buser. Audiência de instrução realizada em 12/06/2024, sem conciliação. Sentença parcialmente procedente, condenando a 1ª reclamada (GRECCO) e a 2ª reclamada (CAMEAG) de forma solidária e a 3ª reclamada (Buser) de forma subsidiária. Apresentado recurso ordinário e contrarrazões pelas partes. Audiência de conciliação realizada em 01/10/2024, sem conciliação. As partes apresentaram acordo e concordância nos autos, com os autos enviados para a vara de origem para homologação. Em 21/11/2024, as partes foram intimadas para adequarem as verbas indicadas aos termos da sentença, sob pena de não homologação; apresentada adequação em 02/12/2024; em 12/12/2024, homologado o acordo no valor de R$ 25.000,00, sendo determinada a exclusão da 3ª reclamada (Buser).</t>
  </si>
  <si>
    <t>19ª Vara do Trabalho de Belo Horizonte</t>
  </si>
  <si>
    <t>FABIANO DE ABREU PFEILSTICKE</t>
  </si>
  <si>
    <t xml:space="preserve">9ª Turma </t>
  </si>
  <si>
    <t>WEBER LEITE DE MAGALHAES PINTO FILHO</t>
  </si>
  <si>
    <t>R$ 105.621,35</t>
  </si>
  <si>
    <t>0011127-75.2024.5.15.0025</t>
  </si>
  <si>
    <t>Trata-se de reclamação trabalhista visando a nulidade do pedido de demissão, rescisão indireta, verbas rescisórias, FGTS, Seguro desemprego, o pagamento de horas extras, adicional noturno, intervalo intrajornada, intervalo interjornada, horas extras folga e feriado, danos morais e responsabilidade subsidiária da BUSER.</t>
  </si>
  <si>
    <t>AUDREY ROBERTO DE OLIVEIRA</t>
  </si>
  <si>
    <t xml:space="preserve">Audiência una designada para 05/02/2025 às 15:45, presencial. Em 08/01/2025 foi homologado a desistência da ação em relação a 2ª reclamada (Buser). </t>
  </si>
  <si>
    <t>Vara única do Trabalho</t>
  </si>
  <si>
    <t>RENATA CAROLINA CARBONE STAMPONI</t>
  </si>
  <si>
    <t>R$ 55.425,97</t>
  </si>
  <si>
    <t>0010501-29.2023.5.15.0013</t>
  </si>
  <si>
    <t>ANDRÉ EVANGELISTA BRAGA</t>
  </si>
  <si>
    <t>SANTA MARIA TURISMO LTDA</t>
  </si>
  <si>
    <t xml:space="preserve">Audiência una realizada em 29/11/2023, inconciliados. Audiência de instrução realizada em 20/08/2024, a 1ª reclamada (Santa Maria) foi declarada fictamente confessa, devido a ausência injustificada. Sentença improcedente para Buser e parcialmente procedente para Santa Maria, em 10/10/2024, condenando a reclamada ao pagamento das verbas rescisórias, diferenças salariais, horas extras, intervalo intrajornada, intervalo interjornada e vale alimentação. Em prazo para recurso. Não houve interposição de recurso pela 1ª reclamada (Santa Maria), trânsito em julgado em 05/11/2024. Ação improcedente em face a Buser. </t>
  </si>
  <si>
    <t>1ª Vara do Trabalho de São José dos Campos</t>
  </si>
  <si>
    <t>LUCAS CILLI HORTA</t>
  </si>
  <si>
    <t>Impugnação de cálculos</t>
  </si>
  <si>
    <t>0010404-13.2023.5.15.0083</t>
  </si>
  <si>
    <t>LETICIA PENNA MULLER</t>
  </si>
  <si>
    <t xml:space="preserve">Audiência inicial realizada em 10/08/2023. Audiência de instrução realizada em 09/05/2024. Sentença improcedente. Interposto Recurso Ordinário pelo reclamante e contrarrazões pela reclamada. Negado provimento ao recurso da reclamante em 24/10/2024. Trânsito em julgando em 12/11/2024. Ação improcedente - arquivado em 12/12/2024. </t>
  </si>
  <si>
    <t>3ª Vara do Trabalho de São José dos Campos</t>
  </si>
  <si>
    <t>SIUMARA JUNQUEIRA DE OLIVEIRA</t>
  </si>
  <si>
    <t xml:space="preserve">2ª Câmara </t>
  </si>
  <si>
    <t xml:space="preserve">WILTON BORBA CANICOBA </t>
  </si>
  <si>
    <t>1001496-86.2024.5.02.0014</t>
  </si>
  <si>
    <t xml:space="preserve">Trata-se de reclamação trabalhista visando a responsabilidade subsidiária, justiça gratuita, inversão do ônus da prova, dano moral decorrente da fiscalização, horas extras, intervalo intrajornada, labor aos domingos e feriados, intervalo intersemanal, intervalo interjornada, adicional noturno, dano existencial em razão da jornada excessiva e da ausência de folgas regulares, diferenças de comissões, comissões pagas por fora, e demais pleitos de estilo. </t>
  </si>
  <si>
    <t>ALEX MOREIRA DOS SANTOS</t>
  </si>
  <si>
    <t xml:space="preserve">Audiência una realizada em 14/11/2024, com depoimento das partes e testemunhas. Sentença de improcedência em 19/12/2024. Decorrido o prazo recursal sem manifestação do autor. Expedida certidão de trânsito em julgado em 31/01/2025. Arquivado em 31/01/2025. </t>
  </si>
  <si>
    <t xml:space="preserve">14ª Vara do Trabalho de São Paulo
</t>
  </si>
  <si>
    <t>ANA PAULA PAVANELLI CORAZZA</t>
  </si>
  <si>
    <t xml:space="preserve">R$ 874.885,29
</t>
  </si>
  <si>
    <t>1001663-11.2023.5.02.0056</t>
  </si>
  <si>
    <t xml:space="preserve">  Trata-se de Reclamação trabalhista visando ao reconhecimento de vínculo, horas extras, diferenças salariais e adcional noturno.</t>
  </si>
  <si>
    <t>CLAYTON FELICIO DA SILVA</t>
  </si>
  <si>
    <t>LIVE IN MUSIC SOLUCOES MUSICAIS LTDA.</t>
  </si>
  <si>
    <t>Audiência realizada em 26/03/2024, acordo entre a 1ª reclamada (LIVE IN MUSIC) e 2ª reclamada (Lidia Turismo), no valor de R$ 37.000,00, em 8 parcelas, sendo a última em 05/11/2024. Acordo homologado constando expressamente a inexistência de vínculo. Acordo cumprido - arquivado em 03/02/2025.</t>
  </si>
  <si>
    <t>56ª Vara do Trabalho de São Paulo</t>
  </si>
  <si>
    <t>ELISA AUGUSTA DE SOUZA TAVARES</t>
  </si>
  <si>
    <t>R$ 150.404,04</t>
  </si>
  <si>
    <t>1001878-87.2024.5.02.0076</t>
  </si>
  <si>
    <t xml:space="preserve">Trata-se de reclamação trabalhista visando a integração das comissões, multa convencional, dano moral, adicional de insalubridade, horas extras e adicional noturno.  </t>
  </si>
  <si>
    <t xml:space="preserve">EDSON MANOEL DA SILVA </t>
  </si>
  <si>
    <t>Realizada  audiência una em 03/02/2025 às 10h10, presencialmente. Homologado acordo com a 1ª reclamada (Natal), no valor de R$ 20.000,00, em 7 parcelas, iniciando em  fevereiro/2025, com a exclusão da Buser.</t>
  </si>
  <si>
    <t>76ª Vara do Trabalho de São Paulo</t>
  </si>
  <si>
    <t>PATRÍCIA CATANIA RANIERI DE ALMEIDA</t>
  </si>
  <si>
    <t>ACORDO</t>
  </si>
  <si>
    <t xml:space="preserve">Arquivamento </t>
  </si>
  <si>
    <t>R$ 304.093,30</t>
  </si>
  <si>
    <t>1000989-81.2023.5.02.0719</t>
  </si>
  <si>
    <t>Trata-se de Reclamação trabalhista visando ao reconhecimento de vínculo empregatício, bem como, pagamento das verbas contratuais e rescisórias, stock option e bônus.</t>
  </si>
  <si>
    <t>ELCIO SIQUEIRA LOPES</t>
  </si>
  <si>
    <t xml:space="preserve">Audiência realizada em 05/10/2023. Audiência realizada em 11/03/2024, inconciliados. Sentença parcialmente procedente em 09/04/2024, condenando a reclamada ao pagamento das verbas referentes ao vínculo empregatício. Acolhidos os Embargos de Declaração do reclamante. Interposto recurso ordinário pelas partes e contrarrazões pela Buser. O reclamante se manifesta requerendo prazo para contrarrazões, devido não ter sido intimada para apresentação. Provido o recurso da reclamada para afastar da condenação o vínculo empregatício e o pagamento de honorários advocatícios, foi indeferido o pleito de Justiça Gratuita e multa por falso testemunho e litigância requeridos pelo autor. Ação improcedente. Embargos opostos pelas partes, rejeitados em 30/09/2024. Interposto recurso de revista pelo reclamante. Denegado seguimento ao recurso do reclamante em 09/01/2025. Vencido o prazo para recurso da parte autora, autos recebidos pela 1ª instância para prosseguimento em relação aos honorários sucumbenciais. Ação improcedente - arquivado em 07/03/2025. </t>
  </si>
  <si>
    <t xml:space="preserve">29ª Vara do Trabalho de São Paulo </t>
  </si>
  <si>
    <t>JERONIMO JOSE MARTINS AMARAL</t>
  </si>
  <si>
    <t>R$ 340.090,59</t>
  </si>
  <si>
    <t xml:space="preserve"> R$ 115.517,11</t>
  </si>
  <si>
    <t>1001360-92.2024.5.02.0013</t>
  </si>
  <si>
    <t xml:space="preserve">Trata-se de reclamação trabalhista visando o reconhecimento de vínculo empregatício, pagamento das verbas rescisórias, horas extras, intervalo intrajornada, intervalo intersemanal, intervalo interjornada e adicional noturno. </t>
  </si>
  <si>
    <t>MARCIA MARIA ROMANA</t>
  </si>
  <si>
    <t xml:space="preserve">Audiência una designada para 17/03/2025 às 10:00, presencial. Requerido pela 1ª reclamada (GOLD) a realização de audiência telepresencial; indeferido pelo juízo, mantida a audiência na data e formato anterior. Realizada audiência em 17/03/2025, celebrado acordo entre reclamante e 1ª reclamada (Gold), no valor de R$40.000,00, em 10 parcelas. Exclusão do polo para Buser. </t>
  </si>
  <si>
    <t>ANA MARIA BRISOLA</t>
  </si>
  <si>
    <t>0011595-57.2024.5.03.0030</t>
  </si>
  <si>
    <t>Trata-se de reclamação trabalhista visando a responsabilidade subsidiária, prevenção, rescisão indireta, horas extras, intervalo intrajornada, intervalo sobre o trabalho ininterrupto, domingos e feriados, multa 467, multa 477, VT, danos morais, justiça gratuita, honorários de sucumbência e demais pleitos de estilo</t>
  </si>
  <si>
    <t xml:space="preserve">DIEGO APARECIDO ALVES LASCASAS </t>
  </si>
  <si>
    <t xml:space="preserve">BRASLECTRA LOCACOES E TRANSPORTE LTDA. </t>
  </si>
  <si>
    <t xml:space="preserve">Audiência inicial realizada em 28/10/2024, acordo celebrado entre reclamante e 1ª reclamada (Braslectra), no valor de R$10.000,00, em quatro parcelas, sendo a última em 28/01/2025. A Buser está suspensa do polo. Trânsito em julgado em 28/10/2024. Acordo cumprido - arquivado em 31/01/2025. </t>
  </si>
  <si>
    <t>2ª Vara do Trabalho de Contagem</t>
  </si>
  <si>
    <t>Contagem</t>
  </si>
  <si>
    <t>THAISA SANTANA SOUZA SCHNEIDER</t>
  </si>
  <si>
    <t xml:space="preserve">R$ 54.586,19
</t>
  </si>
  <si>
    <t>0010590-53.2023.5.15.0045</t>
  </si>
  <si>
    <t xml:space="preserve">Trata-se de Reclamação trabalhista visando ao reconhecimento da responsabilidade solidária/subsidiária, vínculo empregatício, pagamento das horas extras, adicional noturno, intervalo intrajornada e vale alimentação. </t>
  </si>
  <si>
    <t>DENIS DE OLIVEIRA DA SILVA</t>
  </si>
  <si>
    <t xml:space="preserve">Audiência una realizada em 10/07/2023, inconciliados. Audiência de instrução realizada em 14/11/2023, homologado acordo com a 1ª reclamada (Santa Maria), no valor de R$ 73.000,00, em 10 parcelas, sendo a última em 25/08/2024, processo suspenso em relação a Buser. Acordo cumprido - arquivado em 28/02/2025. </t>
  </si>
  <si>
    <t xml:space="preserve">ROBERTO DOS SANTOS SOARES </t>
  </si>
  <si>
    <t>Acordo homologado com a suspensão da Buser.</t>
  </si>
  <si>
    <t>R$ 608.991,76</t>
  </si>
  <si>
    <t>0010907-78.2023.5.15.0133</t>
  </si>
  <si>
    <t xml:space="preserve">Trata-se de Reclamação trabalhista visando ao reconhecimento da responsabilidade subsidiária, rescisão indireta, reversão da justa causa, vínculo empregatício, pagamento das horas extras, adicional noturno, intervalo intrajornada, PLR, descontos discriminados no holerite e dano moral. </t>
  </si>
  <si>
    <t>JOAQUIM CARLOS SABINO</t>
  </si>
  <si>
    <t xml:space="preserve">Audiência realizada em 19/10/2023, inconciliados. Audiência de instrução realizada em 13/05/2024. Sentença improcedente em face à Buser e parcialmente procedente para 1ª reclamada (PRIMAR). Parcial provimento aos Embargos de Declaração opostos pelo reclamante. Recurso ordinário apresentado pelo reclamante e contrarrazões pela reclamada. Negado provimento ao recurso do reclamante em 24/01/2025. Ação improcedente para Buser. Certificado o trânsito em julgado em 14/02/2025. </t>
  </si>
  <si>
    <t>SENTENÇA  FAVORÁVEL - IMPROCEDENTE
 PARA BUSER</t>
  </si>
  <si>
    <t>ANDRE AUGUSTO ULPIANO RIZZARDO</t>
  </si>
  <si>
    <t>R$ 185.969,79</t>
  </si>
  <si>
    <t>0010709-40.2024.5.15.0025</t>
  </si>
  <si>
    <t xml:space="preserve">Trata-se de Reclamação trabalhista visando a desconfiguração de justa causa, rescisão indireta, FGTS,  tais como horas extras, adicional noturno, trabalho aos domingos, dano moral e a responsabilidade subsidiária da Buser.  </t>
  </si>
  <si>
    <t>MARCEL ANDRE DA CRUZ</t>
  </si>
  <si>
    <t>Audiência una realizada em 07/11/2024, com depoimento das partes e testemunhas. Sentença improcedente prolatada,  com a determinação de improcedência em relação à Buser. Após o encerramento do prazo sem interposição de recurso ordinário, determinado o trânsito em julgado da decisão em 17/02/2025.</t>
  </si>
  <si>
    <t>01ª Vara do Trabalho</t>
  </si>
  <si>
    <t>RENATO CLEMENTE PEREIRA</t>
  </si>
  <si>
    <t xml:space="preserve">Sentença </t>
  </si>
  <si>
    <t>R$ 39.518,13</t>
  </si>
  <si>
    <t>0010446-26.2023.5.03.0106</t>
  </si>
  <si>
    <t>EDVALDO SILVESTRE</t>
  </si>
  <si>
    <t>Audiência inicial realizada em 17/07/2023. Laudo pericial apresentado em 16/11, favorável para a Buser. Audiência de instrução realizada em 04/03/2024, sem conciliação. Sentença improcedente para a Buser, e parcialmente procedente para a 1ª e 2ª reclamadas de forma solidária. Acolhidos em parte os embargos de declaração opostos pelo reclamante. Interposto recurso ordinário pelo reclamante e pela 1ª reclamada. Apresentadas contrarrazões pelas partes. Provido o recurso do reclamante para acrescer ao pagamento danos morais e a condenação subsidiária da Buser. Interposto recurso de revista pela 1ª reclamada (Grecco). Aguardando julgamento do TST. As partes apresentaram acordo nos autos, sendo designada audiência de conciliação para 28/11/2024 às 11:10; em audiência, acordo homologado no valor de R$ 14.300,00 a ser liberado por alvará dos valores depositados nos autos, processo suspenso em relação à Buser; em 03/12/2024, encaminhado comprovante de alvará, com o valor levantado pelo reclamante; desistiu a 1ª reclamada (Grecco) do recurso interposto. Prazo de 30 dias para a 1ª e 2ª reclamadas (Grecco e CAMEAG) realizarem pagamento dos recolhimentos previdenciários e honorários periciais. Aguardando arquivamento.</t>
  </si>
  <si>
    <t>27ª Vara do Trabalho de Belo Horizonte</t>
  </si>
  <si>
    <t>CHRISTIANNE DE OLIVEIRA LANSK</t>
  </si>
  <si>
    <t>SENTENÇA  FAVORÁVEL - IMPROCEDENTE
 PARA BUSER - revertido em 2ª instância, condenação subsidiária para Buser</t>
  </si>
  <si>
    <t>Maria Cecília Alves Pinto</t>
  </si>
  <si>
    <t>R$ 69.895,46</t>
  </si>
  <si>
    <t>0011121-16.2024.5.03.0021</t>
  </si>
  <si>
    <t>Trata-se de reclamação trabalhista visando a responsabilidade subsidiária, justiça gratuita, verbas rescisórias, horas extras intervalo intrajornada, intervalo interjornada, trabalho nos domingos trabalhados em dobro, multa do art. 467 e 477 da CLT, vale transporte previsto no convenção coletiva e indenização por danos morais e honorários.</t>
  </si>
  <si>
    <t>IGOR DOS SANTOS FERREIRA</t>
  </si>
  <si>
    <t xml:space="preserve">71ª Vara do Trabalho de Belo Horizonte </t>
  </si>
  <si>
    <t>MARINA  BRETAS  DUARTE  MORAIS</t>
  </si>
  <si>
    <t>R$ 44.896,07</t>
  </si>
  <si>
    <t>0010380-14.2023.5.15.0138</t>
  </si>
  <si>
    <t>JULIAN FERNANDES SANTOS</t>
  </si>
  <si>
    <t>2ª Vara do Trabalho de Jacareí</t>
  </si>
  <si>
    <t>Jacareí</t>
  </si>
  <si>
    <t>FRANCINA NUNES DA COSTA</t>
  </si>
  <si>
    <t xml:space="preserve">SENTENÇA PARCIALMENTE PROCEDENTE </t>
  </si>
  <si>
    <t xml:space="preserve">9ª Câmara </t>
  </si>
  <si>
    <t>THELMA HELENA MONTEIRO DE TOLEDO VIEIRA</t>
  </si>
  <si>
    <t>R$ 39.763,66</t>
  </si>
  <si>
    <t>1001028-09.2024.5.02.0084</t>
  </si>
  <si>
    <t>Trata-se de Reclamação trabalhista visando ao pagamento de danos morais.</t>
  </si>
  <si>
    <t>EDER DE SOUZA CALVO</t>
  </si>
  <si>
    <t>71ª Vara do Trabalho de São Paulo</t>
  </si>
  <si>
    <t>FERNANDA SIMOES CAVALCANTE MAENISHI</t>
  </si>
  <si>
    <t>FLAVIO VILLANI MACEDO</t>
  </si>
  <si>
    <t>R$ 42.360,00</t>
  </si>
  <si>
    <t>1000170-90.2025.5.02.0003</t>
  </si>
  <si>
    <t xml:space="preserve">Trata-se de Reclamação trabalhista visando ao reconhecimento da responsabilidade subsidiária/solidária, pagamento de multa normativa, anulação da demissão, verbas rescisórias,  horas extras, intervalo intrajornada/interjornada, adicional noturno, FGTS, danos morais, PLR, vale alimentação, justiça gratuita e honorários. </t>
  </si>
  <si>
    <t>JOSE GENALDO FEITOSA SILVA</t>
  </si>
  <si>
    <t>3ª Vara do Trabalho de São Paulo</t>
  </si>
  <si>
    <t>FABIO DO NASCIMENTO OLIVEIRA</t>
  </si>
  <si>
    <t xml:space="preserve">Acordo com a 1ª reclamada e exclusão da Buser </t>
  </si>
  <si>
    <t>1000154-10.2025.5.02.0045</t>
  </si>
  <si>
    <t>Audiência una realizada em 4/04/2025 às 11:10, na ocasião houve a desistencia da ação. Arquivado em 04/04/2025</t>
  </si>
  <si>
    <t>45ª Vara do Trabalho de São Paulo</t>
  </si>
  <si>
    <t>SHEILA LENUZA AMARO DE SOUZA</t>
  </si>
  <si>
    <t>1001361-97.2024.5.02.0071</t>
  </si>
  <si>
    <t xml:space="preserve">Trata-se de reclamação trabalhista visando o reconhecimento de vínculo empregatício, pagamento das verbas rescisórias, horas extras, intervalo intersemanal, intervalo interjornada e adicional noturno. </t>
  </si>
  <si>
    <t>PATRICK SOARES SILVA</t>
  </si>
  <si>
    <t xml:space="preserve"> Audiência una realizada em 31/03/2025, na ocasião os autos foram arquivados devido a ausência da parte autora. </t>
  </si>
  <si>
    <t>AMANDA MIDORI OGO DE PINHO</t>
  </si>
  <si>
    <t>R$ 240.299,80</t>
  </si>
  <si>
    <t>1000012-93.2025.5.02.0016</t>
  </si>
  <si>
    <t xml:space="preserve">Trata-se de reclamação trabalhista visando a responsabilidade solidária/subsidiária, multa normativa, rescisão indireta, verbas rescisórias, pagamento das horas extras, domingos e feriados trabalhados, intervalo interjornada/intrajornada, adicional noturno, danos morais, PLR, justiça gratuita e honorários. </t>
  </si>
  <si>
    <t>RENATO DUTRA RODRIGUES</t>
  </si>
  <si>
    <t xml:space="preserve">Audiência una realizada em 27/03/2025, na ocasião foi formalizado acordo com a 1ª reclamada (PRIMAR) com a exclusão da BUSER. </t>
  </si>
  <si>
    <t>16ª Vara do Trabalho de São Paulo</t>
  </si>
  <si>
    <t>JULIANA VARELA DE ALBUQUERQUE DALPRA</t>
  </si>
  <si>
    <t>1000485-68.2025.5.02.0052</t>
  </si>
  <si>
    <t xml:space="preserve">Trata-se de reclamação trabalhista visando a responsabilidade subsidiária, justiça gratuita, vínculo empregatício, verbas rescisórias, pagamento das horas extras, intervalo intrajornada, adicional noturno, vale transporte, PLR e honorários. </t>
  </si>
  <si>
    <t>TEGNO EDUARDO ALVES DOS SANTOS</t>
  </si>
  <si>
    <t xml:space="preserve">Audiência Una realizada em 29/05/2025, onde houve acordo entre o reclamante e as três primeiras reclamadas no valor de R$6.000,00, excluindo a BUSER da lide. </t>
  </si>
  <si>
    <t>52ª Vara do Trabalho de São Paulo</t>
  </si>
  <si>
    <t>MILENA BARRETO PONTES SODRE</t>
  </si>
  <si>
    <t xml:space="preserve">Acordo com 1ª, 2ª e 3ª reclamada, exclusão da Buser </t>
  </si>
  <si>
    <t>1000460-03.2025.5.02.0037</t>
  </si>
  <si>
    <t xml:space="preserve">Trata-se de Reclamação trabalhista visando ao reconhecimento da responsabilidade subsidiária/solidária, pagamento de multa normativa, anulação da demissão, verbas rescisórias, horas extras, intervalo intrajornada/interjornada, adicional noturno, danos morais, PLR, descontos indevidos, justiça gratuita e honorários. </t>
  </si>
  <si>
    <t>LUIZ CARLOS DE OLIVEIRA</t>
  </si>
  <si>
    <t xml:space="preserve">Audiência realizada entre o reclamante e a 1ª, 2ª e 3ª reclamada no valor total de R$ 14.000,00 e exclusão da Buser. </t>
  </si>
  <si>
    <t xml:space="preserve"> São Paulo</t>
  </si>
  <si>
    <t>SANDRA MIGUEL ABOU ASSALI</t>
  </si>
  <si>
    <t>ES</t>
  </si>
  <si>
    <t>0000305-72.2025.5.17.0013</t>
  </si>
  <si>
    <t>Trata-se de reclamação trabalhista visando ao reconhecimento da antecipação de tutela, dano moral e assédio moral.</t>
  </si>
  <si>
    <t>MAXIMO BRAGA FREITAS</t>
  </si>
  <si>
    <t xml:space="preserve">Proferida a sentença em 06/06/2025, extinguiu o processo sem resolução do mérito ante à ausência verificada de relação de emprego entre as partes. </t>
  </si>
  <si>
    <t>13ª Vara do Trabalho de Vitória</t>
  </si>
  <si>
    <t>Vitória</t>
  </si>
  <si>
    <t>ROQUE MESSIAS CALSONI</t>
  </si>
  <si>
    <t>Antecipação de tutela</t>
  </si>
  <si>
    <t>1000780-52.2024.5.02.0372</t>
  </si>
  <si>
    <t>Trata-se de reclamação trabalhista visando o pagamento de horas extras, adicional noturno, intervalo intrajornada, intervalo interjornada, horas extras folga e feriado, adicional noturno, adicional de insalubridade, diferenças de comissões, danos morais, danos materiais, danos patrimoniais e responsabilidade subsidiária da BUSER.</t>
  </si>
  <si>
    <t>ALEXSANDRO DE ANDRADE</t>
  </si>
  <si>
    <t>2ª Vara do Trabalho</t>
  </si>
  <si>
    <t>IVI MARTINS CARO</t>
  </si>
  <si>
    <t>WILMA GOMES DA SILVA HERNANDES</t>
  </si>
  <si>
    <t>R$ 672.967,02</t>
  </si>
  <si>
    <t>1001544-48.2024.5.02.0013</t>
  </si>
  <si>
    <t>Trata-se de reclamação trabalhista visando a responsabilidade subsidiária, comissões por fora, justiça gratuita, adicional de insalubridade, horas extras, tempo de espera, intervalo intrajornada, intervalo interjornada, adicional noturno, verbas rescisórias, multa FGTS, reembolso desconto indevido, multa convencional, danos morais e demais pleitos de estilo.</t>
  </si>
  <si>
    <t>DANIEL CORTEZ SILVERIO</t>
  </si>
  <si>
    <t xml:space="preserve">Realizada audiência inicial em 31/01/2025, com determinação para que a parte autora se manifeste acerca da necessidade de realização de perícia no mesmo prazo de réplica. Audiência de instrução designada para 17/07/2025, às
15h30min, presencial. Laudo pericial apresentado concluindo que as atividades do reclamante não se enquadram por insalubres. Audiência realizada em 17/07/2025, acordo com a 1ª reclamada e exclusão da BUSER. </t>
  </si>
  <si>
    <t>WALTER ROSATI VEGAS JUNIOR</t>
  </si>
  <si>
    <t xml:space="preserve">R$ 316.397,55
</t>
  </si>
  <si>
    <t>1000503-32.2025.5.02.0071</t>
  </si>
  <si>
    <t>Audiência una realizada em  16/07/2025, realizado acordo com a 1ª reclamada e exclusão da Buser.</t>
  </si>
  <si>
    <t xml:space="preserve">Não </t>
  </si>
  <si>
    <t>1000890-05.2025.5.02.0085</t>
  </si>
  <si>
    <t xml:space="preserve">Trata-se de reclamação trabalhista visando a responsabilidade subsidiária, justiça gratuita, vínculo empregatício, verbas rescisórias, pagamento das horas extras, intervalo intrajornada, intervalo interjornada, adicional noturno, vale transporte, PLR e honorários. </t>
  </si>
  <si>
    <t>MARCELO ALVES NONATO</t>
  </si>
  <si>
    <t>Audiência una realizada em  15/07/2025, realizado acordo com a 1ª, 2ª, 3ª e 4ª reclamadas e  exclusão da Buser.</t>
  </si>
  <si>
    <t>85ª Vara do Trabalho de São Paulo</t>
  </si>
  <si>
    <t>FREDERICO MONACCI CERUTTI</t>
  </si>
  <si>
    <t>1000885-18.2025.5.02.0041</t>
  </si>
  <si>
    <t xml:space="preserve">Trata-se reclamação trabalhista visando adicional noturno, adicional de horas extras, auxílio/tíquete alimentação, aviso prévio, décimo terceiro salário proporcional, FGTS, férias proporcionais, honorários, horas extras, intervalo interjornadas, intervalo intrajornada, multa de 40% do FGTS, responsabilidade solidária/subsidiária
</t>
  </si>
  <si>
    <t>DOUGLAS TRENTIN FIGUEREDO</t>
  </si>
  <si>
    <t xml:space="preserve">Audiência una realizada em  21/07/2025 , realizado acordo entre a Primar e o reclamante, excluindo a Buser </t>
  </si>
  <si>
    <t>0000687-71.2025.5.17.0011</t>
  </si>
  <si>
    <t>trata-se de reclamação trabalhista visando adicional de insalubridade, horas extras, indenização por dano moral</t>
  </si>
  <si>
    <t>YASMIM VAZ CAMELO</t>
  </si>
  <si>
    <t>DISK &amp; LIMP LIMPEZA ESPECIALIZADA EIRELI</t>
  </si>
  <si>
    <t xml:space="preserve">Audiência realizada em 10/07/2025, no qual a reclamante desistiu da ação </t>
  </si>
  <si>
    <t>11ª Vara do Trabalho</t>
  </si>
  <si>
    <t>NEY ALVARES PIMENTA FILHO</t>
  </si>
  <si>
    <t>BUSER</t>
  </si>
  <si>
    <t>RÉU</t>
  </si>
  <si>
    <t>NÃO</t>
  </si>
  <si>
    <t>1001061-44.2025.5.02.0090</t>
  </si>
  <si>
    <t xml:space="preserve">Trata-se de reclamação trabalhista visando  reconhecimento de vínculo, pagamento de verbas, pagamento de depósitos de fgts + 40%, diferença de horas extras, horas interjornadas, intervalo intersemanal, horas noturnas, entrega dos documentos para saque do seguro desemprego. </t>
  </si>
  <si>
    <t>claudinei soares de oliveira</t>
  </si>
  <si>
    <t>gold turismo e fretamento ltda</t>
  </si>
  <si>
    <t>Reclamante desistiu dos pedidos em face da Buser, a demanda vai prosseguir em face apenas da 1º reclamada. Audiência Una designada para 28/08/2025 às 14:30</t>
  </si>
  <si>
    <t>90ª Vara do Trabalho de São Paulo</t>
  </si>
  <si>
    <t>SÃO PAULO</t>
  </si>
  <si>
    <t>ANDREA RENZO BRODY</t>
  </si>
  <si>
    <t xml:space="preserve">NÃO SE APLICA </t>
  </si>
  <si>
    <t>1001774-96.2024.5.02.0011</t>
  </si>
  <si>
    <t>Trata-se de reclamação trabalhista visando a responsabilidade subsidiária/solidária, justiça gratuita, horas extras turno ininterrupto de revezamento, diferenças salariais, nulidade do banco de horas, horas de sobreaviso, intervalo intrajornada, intervalo interjornada e intersemanal, domingos e feriados, adicional noturno, tempo de espera, adicional de insalubridade, adicional de periculosidade, danos morais, justiça gratuita e honorários de sucumbência.</t>
  </si>
  <si>
    <t>ALEXANDRE DOS SANTOS</t>
  </si>
  <si>
    <t>JOSE OTAVIO DE ALMEIDA BARROS JUNIOR</t>
  </si>
  <si>
    <t>R$ 33.892,80</t>
  </si>
  <si>
    <t>0010179-07.2025.5.03.0099</t>
  </si>
  <si>
    <t xml:space="preserve">Trata-se de Reclamação trabalhista visando ao reconhecimento do vínculo empregatício, verbas rescisórias, multa do art. 467 e 477 CLT, FGTS, horas extras, adicional noturno, intervalo intrajornada, DSR,  adicional de insalubridade, dano moral, seguro desemprego, justiça gratuita e honorários. </t>
  </si>
  <si>
    <t>ANTONIO MARCOS DE SOUZA SANTOS</t>
  </si>
  <si>
    <t>TJ AGENCIA DE VIAGENS E TURISMO LTDA</t>
  </si>
  <si>
    <t>Audiência realizada, sentença improcedente em relação aos pedidos da 3ª reclamada (Buser) - Recursos interpostos entre a 1ª e 2ª reclamada e o Reclamante, com a exclusão do polo passivo da Buser</t>
  </si>
  <si>
    <t>MINAS GERAIS</t>
  </si>
  <si>
    <t>KLEVERSON GLAUBER FIGUEIREDO DE PAULA JUNIOR</t>
  </si>
  <si>
    <t>R$ 79.812,74</t>
  </si>
  <si>
    <t>0011901-72.2024.5.15.0133</t>
  </si>
  <si>
    <t>Trata-se de reclamação trabalhista visando a responsabilidade solidária/subsidiária, horas extras, intervalo intrajornada, intervalo interjornada, adicional noturno, rescisão indireta, multa do art. 477 CLT, PLR e dano existencial.</t>
  </si>
  <si>
    <t>RICARDO LEANDRO RODRIGUES</t>
  </si>
  <si>
    <t>NOVOS RUMOS E ROTAS TRANSPORTADORA LTDA</t>
  </si>
  <si>
    <t xml:space="preserve">Audiência realizada, com acordo formalizado entre o Reclamante e 1ª reclamada, com acordo quitado </t>
  </si>
  <si>
    <t>R$ 78.087,24</t>
  </si>
  <si>
    <t>0100563-92.2025.5.01.0027</t>
  </si>
  <si>
    <t>Trata-se de reclamação trabalhista visando acúmulo de Função, feriado em Dobro; honorários Advocatícios
Horas Extras; e Intervalo Intrajornada</t>
  </si>
  <si>
    <t>UESDILEY CAVALCANTI WOLMER</t>
  </si>
  <si>
    <t>BUSER BRASIL TECNOLOGIA LTDA.</t>
  </si>
  <si>
    <t>Acordo realizado na audiência e devidamente quitado.</t>
  </si>
  <si>
    <t>27ª Vara do Trabalho do Rio de Janeiro</t>
  </si>
  <si>
    <t>DANIELLE SOARES ABEIJON</t>
  </si>
  <si>
    <t>R$ 42.063,19</t>
  </si>
  <si>
    <t>1001578-82.2024.5.02.0058</t>
  </si>
  <si>
    <t xml:space="preserve">Trata-se de reclamação trabalhista visando a responsabilidade solidária/subsidiária, multa normativa, unicidade contratual, vínculo empregatício, verbas rescisórias, pagamento das horas extras, feriados trabalhados, intervalo interjornada/intrajornada, adicional noturno, justiça gratuita e honorários. </t>
  </si>
  <si>
    <t>VALDECIR APARECIDO BORGES</t>
  </si>
  <si>
    <t>Audiência realizada, com acordo formalizado entre o Reclamante e a 1ª Reclamada, com a exclusão da Buser. Acordo em 23ª parcelas, sendo a última 30/07/2027 no valor de R$ 46.000,00</t>
  </si>
  <si>
    <t xml:space="preserve">58ª Vara do Trabalho de São Paulo
</t>
  </si>
  <si>
    <t xml:space="preserve">São Paulo </t>
  </si>
  <si>
    <t xml:space="preserve">R$ 451.501,28
</t>
  </si>
  <si>
    <t>0011038-37.2024.5.03.0138</t>
  </si>
  <si>
    <t>Trata-se de reclamação trabalhista visando a responsabilidade subsidiária, justiça gratuita, horas extras, tempo de espera, intervalo intrajornada, intervalo interjornada, trabalho nos feriados, adicional noturno, trabalho ininterrupto, multa convencional, multa do art. 477 da CLT, e honorários.</t>
  </si>
  <si>
    <t>ADNILSON MOREIRA DE OLIVEIRA</t>
  </si>
  <si>
    <t>38ª Vara do Trabalho de Belo Horizonte</t>
  </si>
  <si>
    <t>LEONARDO PASSOS FERREIRA</t>
  </si>
  <si>
    <t>06ª Turma</t>
  </si>
  <si>
    <t>JORGE BERG DE MENDONÇA</t>
  </si>
  <si>
    <t>R$ 184.759,69</t>
  </si>
  <si>
    <t>SC</t>
  </si>
  <si>
    <t>0000110-71.2025.5.12.0031</t>
  </si>
  <si>
    <t>Trata-se de Reclamação trabalhista visando ao reconhecimento da responsabilidade subsidiária/solidária, vínculo empregatício, verbas rescisórias, diferenças salariais, multa do art. 467 e 477 CLT, horas extras, adicional noturno, FGTS, justiça gratuita e honorários.</t>
  </si>
  <si>
    <t>PAULO ROBERTO SIMAS</t>
  </si>
  <si>
    <t>VIAGENS CHAPECO TRANSPORTE E TURISMO LTDA - EPP</t>
  </si>
  <si>
    <t>1ª Vara do Trabalho de São José</t>
  </si>
  <si>
    <t>Santa Catarina</t>
  </si>
  <si>
    <t>FABIO AUGUSTO DADALT</t>
  </si>
  <si>
    <t>0011270-03.2023.5.15.0089</t>
  </si>
  <si>
    <t>Trata-se de reclamação trabalhista visando a responsabilidade subsidiária, vínculo empregatício, verbas rescisórias, dano moral, horas extras e adicional noturno.</t>
  </si>
  <si>
    <t>ANDRO VALERIO BODO</t>
  </si>
  <si>
    <t>0010499-56.2024.5.15.0132</t>
  </si>
  <si>
    <t>Trata-se de reclamação trabalhista visando o reconhecimento de vínculo empregatício, verbas rescisórias, FGTS, Seguro desemprego, horas extras, adicional noturno, multa do Artigo 477, Multa do Artigo 467, diferenças salariais, piso salarial da categoria e responsabilidade subsidiária da BUSER.</t>
  </si>
  <si>
    <t>R$ 577.257,31</t>
  </si>
  <si>
    <t>Trata-se de Reclamação trabalhista visando ao reconhecimento da responsabilidade subsidiária, rescisão indireta, vínculo empregatício, pagamento das diferenças salariais, horas extras, adicional noturno, intervalo intrajornada, PLR, dano moral e dano estético.</t>
  </si>
  <si>
    <t>EDSON DA SILVA JUNIOR</t>
  </si>
  <si>
    <t>Acordo com 1ª reclamada e desistência em face à Buser</t>
  </si>
  <si>
    <t>0012087-36.2021.5.15.0025</t>
  </si>
  <si>
    <t>MARCELO SEABRA PRUDENTE</t>
  </si>
  <si>
    <t>Cálculos de liquidação</t>
  </si>
  <si>
    <t>Homologação dos cálculos</t>
  </si>
  <si>
    <t>1001058-13.2025.5.02.0083</t>
  </si>
  <si>
    <t>Trata-se de reclamação trabalhista visando depósito de fgts + 40%, verbas rescisórias, diferença de vale transporte, horas extras 50% e 100%, intervalo intrajornada, danos morais, multa do art. 477, multa do art 467, devolução de desconto indevido e honorários advocatícios.</t>
  </si>
  <si>
    <t>AGUINALDO VIEIRA GOMES</t>
  </si>
  <si>
    <t>83ª Vara do Trabalho</t>
  </si>
  <si>
    <t>CAMILA FRANCO LISBOA COELHO</t>
  </si>
  <si>
    <t>IMPROCEDENTE PARA BUSER</t>
  </si>
  <si>
    <t>Excluído do polo passivo</t>
  </si>
  <si>
    <t>1001135-61.2025.5.02.0070</t>
  </si>
  <si>
    <t>Trata-se de reclamação trabalhista visando a condenação solidária das reclamadas, pagamento de fgts + 40%, danos morais, multa do art. 477, multa do art. 467, devolução de desconto indevido e honorários advocatícios.</t>
  </si>
  <si>
    <t>LEONARDO DE MORAIS RODRIGUES MONTEL</t>
  </si>
  <si>
    <t>70ª Vara do Trabalho</t>
  </si>
  <si>
    <t>KAREN CRISTINE NOMURA</t>
  </si>
  <si>
    <t>0010891-89.2022.5.15.0059</t>
  </si>
  <si>
    <t>0025335-74.2021.5.24.0007</t>
  </si>
  <si>
    <t>0010038-51.2023.5.15.0025</t>
  </si>
  <si>
    <t>0010459-56.2022.5.03.0010</t>
  </si>
  <si>
    <t>0010661-30.2022.5.03.0011</t>
  </si>
  <si>
    <t>0011255-87.2022.5.03.0029</t>
  </si>
  <si>
    <t>0010759-18.2022.5.03.0107</t>
  </si>
  <si>
    <t>0010014-04.2023.5.03.0010</t>
  </si>
  <si>
    <t>0002769-67.2015.1.00.0000</t>
  </si>
  <si>
    <t>1005143-97.2025.5.02.0000</t>
  </si>
  <si>
    <t>1000121-80.2023.5.02.0371</t>
  </si>
  <si>
    <t>R$ 123.827,14</t>
  </si>
  <si>
    <t>R$ 180.395,15</t>
  </si>
  <si>
    <r>
      <rPr>
        <sz val="9"/>
        <color rgb="FF000000"/>
        <rFont val="Avenir Next LT Pro"/>
        <family val="2"/>
      </rPr>
      <t>R$ 65.579,34</t>
    </r>
  </si>
  <si>
    <r>
      <rPr>
        <sz val="9"/>
        <color rgb="FF000000"/>
        <rFont val="Avenir Next LT Pro"/>
        <family val="2"/>
      </rPr>
      <t>1ª Vara do Trabalho de Montes Claros</t>
    </r>
  </si>
  <si>
    <r>
      <t xml:space="preserve">SENTENÇA PARCIALMENTE PROCEDENTE - CONDENANDO A BUSER - </t>
    </r>
    <r>
      <rPr>
        <b/>
        <sz val="9"/>
        <color rgb="FF000000"/>
        <rFont val="Avenir Next LT Pro"/>
        <family val="2"/>
      </rPr>
      <t xml:space="preserve">revertido em 2ª instância, ação improcedente </t>
    </r>
  </si>
  <si>
    <r>
      <t xml:space="preserve">Audiência una realizada em 21/01/2025, celebrado acordo entre reclamante e 1ª reclamada (Braslectra), no valor de R$6.000,00, em quatro parcelas. Demais reclamadas suspensas. </t>
    </r>
    <r>
      <rPr>
        <b/>
        <sz val="9"/>
        <color rgb="FF000000"/>
        <rFont val="Avenir Next LT Pro"/>
        <family val="2"/>
      </rPr>
      <t>Diante  do  cumprimento  do  acordo,  o  processo  foi  arquivado.</t>
    </r>
  </si>
  <si>
    <r>
      <t>Audiência realizada em 26/07/2023 às 08:30, inconciliados. Realizada de instrução em 30/08/2022 às 09h00, inconciliados. Sentença parcialmente procedente, condenando a Buser ao pagamento de verbas rescisórias, horas extras e comissões. Recurso Ordinário apresentado pela reclamada e adesivo pelo reclamante. As partes apresentaram contrarrazões. Audiência de conciliação realizada em 06/08/2024, inconciliados. Aguardando julgamento do recurso das partes. Em 13/03/2025 foi prolatado acórdão determinando a remessa dos autos à Justiça Comum</t>
    </r>
    <r>
      <rPr>
        <b/>
        <sz val="9"/>
        <color rgb="FF000000"/>
        <rFont val="Avenir Next LT Pro"/>
        <family val="2"/>
      </rPr>
      <t>. Arquivado os autos definitivamente em 12/05/2025</t>
    </r>
  </si>
  <si>
    <r>
      <t xml:space="preserve">Audiência una realizada em 03/10/2024. Audiência una realizada em 12/11/2024, com depoimento das partes e testemunhas. Sentença de improcedência em 19/12/2024. Oposto embargos de declaração pelo reclamante, mantida a decisão. Interposto Recurso Ordinário pelo autor e contrarrazões pela reclamada. </t>
    </r>
    <r>
      <rPr>
        <b/>
        <sz val="9"/>
        <color rgb="FF000000"/>
        <rFont val="Avenir Next LT Pro"/>
        <family val="2"/>
      </rPr>
      <t>Proferido acórdão negando provimento ao Recurso Ordinário do Reclamante. Arquivado definitivamente em 22/05/2025</t>
    </r>
  </si>
  <si>
    <r>
      <t xml:space="preserve">Audiência una realizada em 24/04/2025 às 11:40, na ocasião foi celebrado acordo entre reclamante e 1ª reclamada (Primar), no valor de R$22.000,00, </t>
    </r>
    <r>
      <rPr>
        <b/>
        <sz val="9"/>
        <color rgb="FF000000"/>
        <rFont val="Avenir Next LT Pro"/>
        <family val="2"/>
      </rPr>
      <t xml:space="preserve">com exclusão da BUSER. </t>
    </r>
  </si>
  <si>
    <r>
      <t xml:space="preserve">Audiência una realizada em 11/07/2024. Laudo pericial favorável apresentado em 09/08/2024. Audiência de instrução realizada em 19/09/2024, inconciliados. Audiência de instrução realizada em 11/10/2024. Sentença improcedente em 01/11/2024. Interposto recurso ordinário pelo reclamante, apresentamos contrarrazões. Acórdão de recurso ordinário em 10/06/2025 que negou seguimento ao recurso da reclamante, que não interpôs recurso de revista. </t>
    </r>
    <r>
      <rPr>
        <b/>
        <sz val="9"/>
        <color rgb="FF000000"/>
        <rFont val="Avenir Next LT Pro"/>
        <family val="2"/>
      </rPr>
      <t>Trânsito em julgado em 07/07/2025</t>
    </r>
  </si>
  <si>
    <r>
      <t>Audiência inicial realizada em 03/12/2024. Designada audiência de instrução para o dia 23/04/2025 às 09:45, na modalidade virtual.</t>
    </r>
    <r>
      <rPr>
        <b/>
        <sz val="9"/>
        <color rgb="FF000000"/>
        <rFont val="Avenir Next LT Pro"/>
        <family val="2"/>
      </rPr>
      <t xml:space="preserve"> </t>
    </r>
    <r>
      <rPr>
        <sz val="9"/>
        <color rgb="FF000000"/>
        <rFont val="Avenir Next LT Pro"/>
        <family val="2"/>
      </rPr>
      <t>Proferida a sentença em 04/06/2025, julgando a ação improcedente. Recurso Ordinário pelo reclamante em 18/06/2025.</t>
    </r>
    <r>
      <rPr>
        <b/>
        <sz val="9"/>
        <color rgb="FF000000"/>
        <rFont val="Avenir Next LT Pro"/>
        <family val="2"/>
      </rPr>
      <t xml:space="preserve"> </t>
    </r>
    <r>
      <rPr>
        <sz val="9"/>
        <color rgb="FF000000"/>
        <rFont val="Avenir Next LT Pro"/>
        <family val="2"/>
      </rPr>
      <t>CRRO pela reclamada em 07/07/2025. Aguardando decisão. Os autos se encontram conclusos para o relator, aguardando julgamento. RO negado provimento. Publicado certidão de trânsito em julgado, sem interposição de recurso.</t>
    </r>
    <r>
      <rPr>
        <b/>
        <sz val="9"/>
        <color rgb="FF000000"/>
        <rFont val="Avenir Next LT Pro"/>
        <family val="2"/>
      </rPr>
      <t xml:space="preserve"> Arquivado definitivamente.</t>
    </r>
  </si>
  <si>
    <r>
      <t>Audiência de conciliação realizada em 27/03/2025, celebrado acordo entre reclamante e 1ª e 2ª reclamada no valor de R$12.600,00 em 10 parcelas. Transitado em julgado em 27/03/2025. Suspensão da Buser até o cumprimento do acordo ser finalizado.</t>
    </r>
    <r>
      <rPr>
        <b/>
        <sz val="9"/>
        <color rgb="FF000000"/>
        <rFont val="Avenir Next LT Pro"/>
        <family val="2"/>
      </rPr>
      <t xml:space="preserve"> Considerando que os débitos foram quitados, foi determinado o arquivamento definitivo dos autos</t>
    </r>
  </si>
  <si>
    <r>
      <t xml:space="preserve">Aguardando audiência de instrução designada para 17/12/2024 às 10:00, virtual. Audiência de instrução realizada em 1712/2024, homologado acordo com a 1ª reclamada (Sinezio), no valor de R$ 6.000,00, em 10 parcelas, iniciando em dezembro/2024, suspensão para a Buser. </t>
    </r>
    <r>
      <rPr>
        <b/>
        <sz val="9"/>
        <color rgb="FF000000"/>
        <rFont val="Avenir Next LT Pro"/>
        <family val="2"/>
      </rPr>
      <t>Processo arquivado até a quitação.</t>
    </r>
  </si>
  <si>
    <r>
      <t>Audiência una realizada em 27/02/2025 às 11:10 com a ausência da 1ª Reclamada e constatada a falta de notificação. Adiada a audiência UNA para o dia 26/11/2025 às 10h40, no formato presencial.</t>
    </r>
    <r>
      <rPr>
        <b/>
        <sz val="9"/>
        <color rgb="FF000000"/>
        <rFont val="Avenir Next LT Pro"/>
        <family val="2"/>
      </rPr>
      <t xml:space="preserve"> Reclamante manifestou a sua desistência quanto aos pedidos formulados em face da Buser</t>
    </r>
    <r>
      <rPr>
        <sz val="9"/>
        <color rgb="FF000000"/>
        <rFont val="Avenir Next LT Pro"/>
        <family val="2"/>
      </rPr>
      <t>.</t>
    </r>
  </si>
  <si>
    <r>
      <t>Audiência una realizada em 30/10/2024, determinado a realização de perícia. O autor não compareceu na perícia médica designada. Prazo para o reclamante justificar ausência na perícia. Devido o reclamante não apresentar justificativa foi declarada preclusa a prova pericial. Realizada a audiência em 28/03/2025, onde foi redesignada a</t>
    </r>
    <r>
      <rPr>
        <b/>
        <sz val="9"/>
        <color rgb="FF000000"/>
        <rFont val="Avenir Next LT Pro"/>
        <family val="2"/>
      </rPr>
      <t xml:space="preserve"> </t>
    </r>
    <r>
      <rPr>
        <sz val="9"/>
        <color rgb="FF000000"/>
        <rFont val="Avenir Next LT Pro"/>
        <family val="2"/>
      </rPr>
      <t>Audiência de instrução realizada em 25/06/2025, realizado acordo de R$ 3.000,00 em 3x com a 1ª reclamada. Desistência em face à BUSER. Juiz extinguiu a execução em sentença, devido a ausência de manifestação da reclamante, entendendo-se cumprido o acordo</t>
    </r>
    <r>
      <rPr>
        <b/>
        <sz val="9"/>
        <color rgb="FF000000"/>
        <rFont val="Avenir Next LT Pro"/>
        <family val="2"/>
      </rPr>
      <t>. Autos arquivados definitivamente.</t>
    </r>
  </si>
  <si>
    <r>
      <t>Audiência de instrução realizada em 19/04/2023 às 10:00. Ação julgada improcedente em face da Buser. Embargos de Declaração opostos pela buser e pelo reclamante, alegando omissão e erro material. Embargos providos. Em 15/05/2024, foi proferida nova sentença, porém em 23/05/2024, reclamante e reclamada realizaram a oposição de novos embargos de declaração, pois a nova sentença continua com omissão e erro material. A 1ª reclamada (Primar) peticionou noticiando a recuperação judicial em 09/10/2024. Sentença de ED determinou a procedência do pedido de adicional noturno, mantida os demais tópicos da decisão. Interposto recurso ordinário pela 1ª reclamada (Primar) e adesivo pelo reclamante, CRRO Adesivo pela BUSER. Memoriais pela BUSER Aguardando julgamento.</t>
    </r>
    <r>
      <rPr>
        <b/>
        <sz val="9"/>
        <color rgb="FF000000"/>
        <rFont val="Avenir Next LT Pro"/>
        <family val="2"/>
      </rPr>
      <t xml:space="preserve"> </t>
    </r>
    <r>
      <rPr>
        <sz val="9"/>
        <color rgb="FF000000"/>
        <rFont val="Avenir Next LT Pro"/>
        <family val="2"/>
      </rPr>
      <t>Prolatado acórdao em 03/07/2025 concedendo parcial provimento ao da reclamada para afastar a condenação aos depósitos de FGTS e negar provimento ao recurso do reclamante, nos termos da fundamentação, mantendo no mais, a r. sentença, inclusive, no tocante ao valor arbitrado à condenação e custas processuais. Cálculos apresentados pela 1ª Reclamada e pelo Reclamante,</t>
    </r>
    <r>
      <rPr>
        <b/>
        <sz val="9"/>
        <color rgb="FF000000"/>
        <rFont val="Avenir Next LT Pro"/>
        <family val="2"/>
      </rPr>
      <t xml:space="preserve"> aguardando-se a homologação dos cálculos.</t>
    </r>
  </si>
  <si>
    <r>
      <rPr>
        <sz val="9"/>
        <color theme="1"/>
        <rFont val="Avenir Next LT Pro"/>
        <family val="2"/>
      </rPr>
      <t xml:space="preserve">Audiência una designada para 22/09/2025 às 12:00. Audiência realizada, sem conciliação. Apresentado razões finais pelas partes, aguardando-se julgamento. Sentença proferida, julgamento improcedente para Buser. </t>
    </r>
    <r>
      <rPr>
        <b/>
        <sz val="9"/>
        <color theme="1"/>
        <rFont val="Avenir Next LT Pro"/>
        <family val="2"/>
      </rPr>
      <t>Parte reclamante não interpôs recurso, sentença transitou em julgado</t>
    </r>
    <r>
      <rPr>
        <sz val="9"/>
        <color theme="1"/>
        <rFont val="Avenir Next LT Pro"/>
        <family val="2"/>
      </rPr>
      <t xml:space="preserve">. </t>
    </r>
    <r>
      <rPr>
        <b/>
        <sz val="9"/>
        <color theme="1"/>
        <rFont val="Avenir Next LT Pro"/>
        <family val="2"/>
      </rPr>
      <t>Manifestamos para exclusão da Buser no polo passivo, juiz deferiu devido a sentença improcedente.</t>
    </r>
  </si>
  <si>
    <r>
      <rPr>
        <sz val="9"/>
        <color theme="1"/>
        <rFont val="Avenir Next LT Pro"/>
        <family val="2"/>
      </rPr>
      <t>Audiência una (rito sumaríssimo) designada para 25/08/2025 às 11:20. Audiência realizada, acordo celebrado entre a 1º reclamada (Primar) em 9 parcelas de R$ 2.000,00, permanecendo a Buser até o cumprimento integral do acordo, vencimento da última parcela 10/09/2026. Processo arquivado até o pagamento integral das parcelas.</t>
    </r>
    <r>
      <rPr>
        <b/>
        <sz val="9"/>
        <color theme="1"/>
        <rFont val="Avenir Next LT Pro"/>
        <family val="2"/>
      </rPr>
      <t xml:space="preserve"> Autos arquivados definitivamente.</t>
    </r>
  </si>
  <si>
    <t>CAMILA CESAR CORREA</t>
  </si>
  <si>
    <t>R$ 68.264,00</t>
  </si>
  <si>
    <t>R$ 154.088,50</t>
  </si>
  <si>
    <t>0010321-59.2026.5.03.0007</t>
  </si>
  <si>
    <t xml:space="preserve">ADALTON INACIO DOS REIS </t>
  </si>
  <si>
    <t>Responsabilidade subsidiária da Buser, Pagamento de horas extras, domingos e feriados em dobro, adicional noturno, diferenças salariais, regularização do FGTS com multa de 40%, indenização por danos morais (mínimo de R$ 10.000,00), além de reflexos em férias, 13º, FGTS e honorários advocatícios.</t>
  </si>
  <si>
    <t>AC  TRANSPORTES  E SERVIÇOS   LTDA</t>
  </si>
  <si>
    <t>Audiência de inicial designada para 14/05/2026, às 08h30, aguardando realização.</t>
  </si>
  <si>
    <t xml:space="preserve">7ª VARA DO TRABALHO DE BELO HORIZONTE </t>
  </si>
  <si>
    <t>ANGELA CRISTINA DE AVILA AGUIAR AMARAL</t>
  </si>
  <si>
    <t>Audiência inicial designada para o dia 14/09/2026, às 15h00.</t>
  </si>
  <si>
    <r>
      <t>ADRIANA FERREIRA DOS SANTOS</t>
    </r>
    <r>
      <rPr>
        <u/>
        <sz val="9"/>
        <color theme="10"/>
        <rFont val="Avenir Next LT Pro"/>
        <family val="2"/>
      </rPr>
      <t> </t>
    </r>
  </si>
  <si>
    <r>
      <rPr>
        <sz val="9"/>
        <color rgb="FF000000"/>
        <rFont val="Avenir Next LT Pro"/>
        <family val="2"/>
      </rPr>
      <t xml:space="preserve">Audiência inicial virtual designada para 17/11/2025, às 08h50. Na audiência, restou consignado: partes inconciliadas; solicitação de perícia técnica; intimação para apresentação de quesitos; e designação de audiência de instrução para 20/05/2026, às 10h15, na modalidade telepresencial. As partes apresentaram quesitos para a perícia técnica. A diligência pericial foi realizada em 20/01/2026, com apresentação de laudo pericial desfavorável quanto à insalubridade. O reclamante manifestou concordância com o laudo, enquanto a reclamada apresentou impugnação. </t>
    </r>
    <r>
      <rPr>
        <b/>
        <sz val="9"/>
        <color rgb="FF000000"/>
        <rFont val="Avenir Next LT Pro"/>
        <family val="2"/>
      </rPr>
      <t>Audiência de instrução confirmada para 20/05/2026, às 10h15.</t>
    </r>
  </si>
  <si>
    <r>
      <t xml:space="preserve">Audiência realizada em 12/12/2023, sem acordo. Laudo pericial favorável ao reclamante apresentado em 04/03/2024. Audiência de instrução realizada em 18/06/2024, novamente inconciliados. Sentença proferida em 08/07/2024 julgou parcialmente procedente a ação, condenando as reclamadas, de forma subsidiária, ao pagamento de horas extras, adicional de periculosidade, adicional noturno, intervalo intrajornada, adicional de função, indenização por dano moral e restituição de descontos rescisórios. A 1ª reclamada (Jundiá) opôs embargos, parcialmente providos. Interposto recurso ordinário pela Jundiá, com contrarrazões do reclamante. O recurso foi parcialmente provido para excluir da condenação o adicional de periculosidade e reflexos, a obrigação de fornecimento de PPP, afastar o reconhecimento de turnos ininterruptos de revezamento e retirar o pagamento de horas extras, reduzindo a condenação para R$ 16.000,00. O reclamante opôs embargos de declaração, julgados improcedentes. Posteriormente, foram interpostos recursos de revista pela Jundiá e pelo reclamante, com contrarrazões pela Buser. Indeferido o pedido da 1ª reclamada de sobrestamento dos autos em razão do Tema 45. Aguarda-se julgamento no TST. </t>
    </r>
    <r>
      <rPr>
        <b/>
        <sz val="9"/>
        <color rgb="FF000000"/>
        <rFont val="Avenir Next LT Pro"/>
        <family val="2"/>
      </rPr>
      <t>Decisão do TST negou provimento ao agravo.</t>
    </r>
  </si>
  <si>
    <r>
      <t xml:space="preserve">Audiência inicial realizada em 07/02/2024, sem conciliação. Laudo pericial favorável ao reclamante apresentado em 16/03/2024. Audiência de instrução realizada em 03/10/2024. Sentença proferida em 23/10/2024 julgou improcedente em relação à 2ª reclamada (Buser) e parcialmente procedente em face da 1ª reclamada (Jundiá). Os embargos de declaração opostos pelo reclamante foram rejeitados, com aplicação de multa de 2% por caráter protelatório. Interpostos recursos ordinários pela 1ª reclamada (Jundiá) e pelo reclamante, com contrarrazões apresentadas pelo reclamante. Proferido acórdão mantendo a improcedência dos pedidos. O reclamante opôs embargos de declaração, que foram rejeitados. Posteriormente, foram interpostos recursos de revista pelo reclamante e pela 1ª reclamada, ambos aguardando decisão. </t>
    </r>
    <r>
      <rPr>
        <b/>
        <sz val="9"/>
        <color rgb="FF000000"/>
        <rFont val="Avenir Next LT Pro"/>
        <family val="2"/>
      </rPr>
      <t>O processo encontra-se suspenso em razão do Incidente de Recursos de Revista Repetitivos (IRR nº 45).</t>
    </r>
  </si>
  <si>
    <r>
      <t xml:space="preserve">Audiência inicial realizada em 27/08/2024. Audiência de instrução realizada em 09/10/2024. Sentença proferida em 19/10/2024 julgou a ação parcialmente procedente, condenando as reclamadas ao pagamento de intervalo intrajornada, horas extras, intervalo interjornada e indenização por danos morais. Negado provimento aos embargos de declaração opostos pela 1ª reclamada (Viação). Interposto recurso ordinário pela 1ª reclamada, com contrarrazões apresentadas pelo reclamante. Em 14/05/2025 foi prolatado acórdão negando seguimento ao recurso ordinário da 1ª reclamada. A reclamada interpôs recurso de revista, cuja decisão, em 04/07/2025, negou seguimento. Em 18/07/2025, a 1ª reclamada interpôs agravo de instrumento, com contrarrazões e contraminuta apresentadas pelo reclamante. O processo foi distribuído ao TST, que negou provimento ao agravo. Houve trânsito em julgado da decisão. </t>
    </r>
    <r>
      <rPr>
        <b/>
        <sz val="9"/>
        <color rgb="FF000000"/>
        <rFont val="Avenir Next LT Pro"/>
        <family val="2"/>
      </rPr>
      <t>Apresentados os cálculos pela 1ª reclamada, as partes celebraram acordo.</t>
    </r>
  </si>
  <si>
    <r>
      <rPr>
        <sz val="9"/>
        <color theme="1"/>
        <rFont val="Avenir Next LT Pro"/>
        <family val="2"/>
      </rPr>
      <t xml:space="preserve">Audiência inicial realizada em 16/07/2025, ocasião em que foi designada audiência de instrução presencial para 05/08/2025, às 10h45. Em 17/08/2025 foi proferida sentença parcialmente procedente, condenando a primeira reclamada e, subsidiariamente, a segunda reclamada. A reclamada apresentou embargos de declaração, julgados improcedentes em 29/08/2025. Interpostos recursos pelas partes, com contrarrazões apresentadas, os autos foram conclusos ao relator. </t>
    </r>
    <r>
      <rPr>
        <b/>
        <sz val="9"/>
        <color theme="1"/>
        <rFont val="Avenir Next LT Pro"/>
        <family val="2"/>
      </rPr>
      <t>Determinado o sobrestamento do processo até o julgamento do Tema 92 de IRR pelo TST.</t>
    </r>
  </si>
  <si>
    <r>
      <t>Audiência inicial realizada em 17/05/2024, sem conciliação. Em 29/10/2024 foi realizada audiência de instrução, com oitiva das partes e testemunhas. Sentença proferida em 11/11/2024 julgou parcialmente procedente a ação, condenando a reclamada à unicidade contratual pelos períodos de prestação de serviços como pessoa jurídica, bem como ao pagamento de verbas rescisórias, horas extras e sobreaviso. Os embargos de declaração opostos pela Buser foram rejeitados. Interposto recurso ordinário pela reclamada, além de recurso adesivo e contrarrazões pelo reclamante.</t>
    </r>
    <r>
      <rPr>
        <b/>
        <sz val="9"/>
        <color rgb="FF000000"/>
        <rFont val="Avenir Next LT Pro"/>
        <family val="2"/>
      </rPr>
      <t xml:space="preserve"> Processo atualmente aguardando julgamento, estando suspenso em razão do Recurso Extraordinário com repercussão geral nº 1389.</t>
    </r>
  </si>
  <si>
    <r>
      <t xml:space="preserve">Audiência realizada em 20/11/2023, sem acordo. Audiência de instrução realizada em 17/06/2024, também inconciliados. Sentença proferida julgou improcedente em relação à 2ª reclamada (Buser) e parcialmente procedente em face da 1ª reclamada (Jundiá). O recurso da 1ª reclamada foi parcialmente provido para excluir da condenação o pagamento de horas extras e reflexos, bem como diferenças de RSR e reflexos, mantendo-se a improcedência em relação à Buser. Os embargos de declaração opostos pelo reclamante foram rejeitados em 17/09/2024 e novamente em 08/10/2024. Posteriormente, foram interpostos recursos de revista pelo reclamante e pela 1ª reclamada (Jundiá), tendo sido recebido apenas o recurso do reclamante, enquanto o da reclamada teve seguimento denegado. Apresentadas contrarrazões/contraminuta pela reclamada. </t>
    </r>
    <r>
      <rPr>
        <b/>
        <sz val="9"/>
        <color rgb="FF000000"/>
        <rFont val="Avenir Next LT Pro"/>
        <family val="2"/>
      </rPr>
      <t>Processo atualmente aguardando julgamento no TST.</t>
    </r>
  </si>
  <si>
    <r>
      <t>Audiência inicial realizada em 23/07/2024. Audiência de instrução realizada em 25/02/2025, às 11h00, com oitiva das partes e testemunhas. Sentença parcialmente procedente, condenando as reclamadas, de forma subsidiária, ao reconhecimento do vínculo empregatício, pagamento das verbas rescisórias, horas extras, intervalo intrajornada e indenização por danos morais. A 1ª reclamada (Viação) opôs embargos de declaração, aos quais foi negado provimento. Interposto recurso ordinário pela 1ª e 2ª reclamadas (Buser), com contrarrazões apresentadas pelo reclamante. Em 24/06/2025 foi prolatado acórdão negando provimento aos recursos das reclamadas, mantendo a sentença. Em 01/07/2025, a Buser opôs embargos de declaração. Em 08/07/2025, a 1ª reclamada interpôs recurso de revista, aguardando decisão. Em 29/07/2025 foi prolatado acórdão rejeitando os embargos de declaração. Em 21/08/2025, foi negado seguimento ao recurso de revista da 1ª reclamada. Interposto agravo de instrumento pela 1ª reclamada, com apresentação de contraminuta e contrarrazões pelo reclamante. Processo atualmente aguardando julgamento no TST.</t>
    </r>
    <r>
      <rPr>
        <b/>
        <sz val="9"/>
        <color rgb="FF000000"/>
        <rFont val="Avenir Next LT Pro"/>
        <family val="2"/>
      </rPr>
      <t xml:space="preserve"> Negado seguimento ao agravo de instrumento, aguardando interposição de embargos de declaração ou agravo interno.</t>
    </r>
  </si>
  <si>
    <r>
      <t xml:space="preserve">Não foi concedida a antecipação de tutela por não se tratar de situação urgente. Audiência inicial designada para 15/04/2025, às 08h20. Audiência de instrução realizada em 30/05/2025, com oitiva das partes e testemunhas. Sentença proferida em 31/05/2025 julgou a ação improcedente em relação às duas reclamadas. Em 02/06/2025, o reclamante opôs embargos de declaração, julgados improcedentes em 18/06/2025. Recurso ordinário interposto pelo reclamante em 24/06/2025, com contrarrazões apresentadas pela 1ª reclamada e pela Buser. Em 26/08/2025, foi prolatado acórdão dando provimento ao recurso do reclamante para reconhecer o vínculo empregatício entre as reclamadas. Aberto prazo para ciência e eventuais recursos. A Buser apresentou embargos de declaração, rejeitados em 21/09/2025. Aberto prazo para recurso de revista. A reclamada opôs novos embargos de declaração com pedido de efeito modificativo, providos para correção de erro material. Com o retorno dos autos, foi proferida nova sentença, julgando a ação parcialmente procedente. As partes opuseram embargos de declaração, rejeitados. Em seguida, ambas interpuseram recurso ordinário, com contrarrazões apresentadas. </t>
    </r>
    <r>
      <rPr>
        <b/>
        <sz val="9"/>
        <color rgb="FF000000"/>
        <rFont val="Avenir Next LT Pro"/>
        <family val="2"/>
      </rPr>
      <t>Processo distribuído no TRT, sob a relatoria do Desembargador Marcelo Lamego Pertence, na 11ª Turma.</t>
    </r>
  </si>
  <si>
    <r>
      <rPr>
        <sz val="9"/>
        <color theme="1"/>
        <rFont val="Avenir Next LT Pro"/>
        <family val="2"/>
      </rPr>
      <t xml:space="preserve">Audiência inicial virtual designada para 17/10/2025, às 08h30. Foi determinada a realização de perícia para apuração de insalubridade. Audiência de instrução presencial inicialmente marcada para 09/12/2025, às 10h45, posteriormente redesignada para 10/02/2026, às 10h45. Laudo pericial juntado aos autos concluiu pela existência de insalubridade nas atividades do reclamante, tendo ambas as partes apresentado impugnações. Em audiência de instrução, a primeira reclamada celebrou acordo com o reclamante no valor de R$ 18.000,00. </t>
    </r>
    <r>
      <rPr>
        <b/>
        <sz val="9"/>
        <color theme="1"/>
        <rFont val="Avenir Next LT Pro"/>
        <family val="2"/>
      </rPr>
      <t>Após a quitação integral do acordo, os autos serão arquivados.</t>
    </r>
  </si>
  <si>
    <r>
      <t>Audiência una por videoconferência designada para 22/09/2025, às 13h20, realizada sem conciliação. O reclamante apresentou réplica e foi designada audiência de instrução para 29/10/2025, às 10h00. Sentença parcialmente procedente, reconhecendo a responsabilidade subsidiária da Buser. Os embargos de declaração opostos pelo reclamante foram parcialmente acolhidos, enquanto os da reclamada foram rejeitados. Ambas as partes interpuseram recurso ordinário, com contrarrazões apresentadas.</t>
    </r>
    <r>
      <rPr>
        <b/>
        <sz val="9"/>
        <color theme="1"/>
        <rFont val="Avenir Next LT Pro"/>
        <family val="2"/>
      </rPr>
      <t xml:space="preserve"> Processo distribuído no TRT, sob a relatoria do Desembargador Milton Vasques Thibau de Almeida, na 3ª Turma.</t>
    </r>
  </si>
  <si>
    <r>
      <t xml:space="preserve">Audiência una (rito sumaríssimo) inicialmente designada para 06/05/2025, às 09h50, por videoconferência na Sala Principal da 34ª Vara do Trabalho de Belo Horizonte, redesignada para 16/05/2025, ocasião em que foram colhidos os depoimentos das partes. Sentença proferida em 27/05/2025 julgou a ação parcialmente procedente. Em 05/06/2025, a Buser opôs embargos de declaração, rejeitados em decisão publicada em 12/06/2025. Interpostos recursos ordinários pela 1ª e 2ª reclamadas, com contrarrazões apresentadas pelo reclamante. </t>
    </r>
    <r>
      <rPr>
        <b/>
        <sz val="9"/>
        <color theme="1"/>
        <rFont val="Avenir Next LT Pro"/>
        <family val="2"/>
      </rPr>
      <t>Processo aguardando análise de admissibilidade e julgamento.</t>
    </r>
  </si>
  <si>
    <r>
      <t xml:space="preserve">Audiência inicial realizada em 25/09/2024 e, posteriormente, em 03/10/2024. A perícia de insalubridade/periculosidade foi cancelada, sendo expedida carta precatória à Vara do Trabalho de Sorocaba para nomeação de perito, com prazo de entrega do laudo fixado até 21/03/2024. Audiência de instrução designada para 11/11/2025, às 09h30, na modalidade presencial. Em audiência, as partes permaneceram inconciliadas. Sentença proferida julgou a ação parcialmente procedente. Foram opostos embargos de declaração pelas reclamadas e pelo reclamante, sendo a decisão dos embargos provida. Aguarda-se a interposição de recurso ordinário pelas partes. Recurso ordinário já interposto pelo reclamante, com contrarrazões apresentadas pelas reclamadas. </t>
    </r>
    <r>
      <rPr>
        <b/>
        <sz val="9"/>
        <color rgb="FF000000"/>
        <rFont val="Avenir Next LT Pro"/>
        <family val="2"/>
      </rPr>
      <t>Processo distribuído no TRT, sob a relatoria do Desembargador Marco Antônio Paulinelli de Carvalho, na 11ª Turma.</t>
    </r>
  </si>
  <si>
    <r>
      <t xml:space="preserve">Audiência inicial realizada em 09/09/2024, sem a notificação da 1ª reclamada. Nova audiência inicial realizada em 03/10/2024. Audiência de instrução realizada em 16/12/2024, com oitiva das partes e testemunhas. Sentença proferida em 23/01/2025 julgou parcialmente procedente a ação, condenando as reclamadas, de forma subsidiária, ao pagamento de adicional de periculosidade, 20 minutos extras a título de conferência de veículo, sobreaviso, horas extras, adicional noturno, intervalo intrajornada, pagamento em dobro pelos feriados trabalhados, verbas rescisórias e indenização por danos morais. Foram opostos embargos de declaração pela Jundiá e pelo reclamante, sendo julgados improcedentes quanto ao pedido de acúmulo de funções. Interpostos recursos ordinários pelas partes, com contrarrazões apresentadas. Em 17/06/2025 foi prolatado acórdão dando parcial provimento aos apelos, determinando deduções de horas extras, mantendo os reflexos e demais parâmetros de apuração definidos em sentença, bem como o valor da condenação. Em 17/07/2025 foi prolatado acórdão de embargos de declaração que negou provimento aos declaratórios do reclamante e da 1ª reclamada, dando provimento parcial ao apelo da 2ª reclamada para esclarecer que sua responsabilidade subsidiária se estende também aos honorários de sucumbência devidos ao reclamante, caso a devedora principal não cumpra a obrigação. Em 01/07/2025, a 1ª reclamada requereu a suspensão do processo com base no Tema 45 do TST. Em 01/08/2025, interpôs recurso de revista, aguardando decisão. </t>
    </r>
    <r>
      <rPr>
        <b/>
        <sz val="9"/>
        <color rgb="FF000000"/>
        <rFont val="Avenir Next LT Pro"/>
        <family val="2"/>
      </rPr>
      <t>Processo suspenso até o julgamento do Tema 45 pelo TST.</t>
    </r>
  </si>
  <si>
    <r>
      <rPr>
        <sz val="9"/>
        <color rgb="FF000000"/>
        <rFont val="Avenir Next LT Pro"/>
        <family val="2"/>
      </rPr>
      <t>Juntada aos autos a contestação das reclamadas. Audiência una realizada em 13/11/2025, às 09h30, sem conciliação. Audiência de instrução antecipada para 02/02/2026, às 10h40, na modalidade virtual, também sem conciliação, com oitiva das testemunhas. Sentença proferida julgou a ação parcialmente procedente, condenando as reclamadas ao pagamento de horas extras, intervalo interjornada, descanso semanal, adicional noturno e insalubridade. As partes opuseram embargos de declaração: improcedente o da primeira reclamada e parcialmente acolhido o da Buser. Interpostos recursos ordinários por ambas as partes, com contrarrazões apresentadas. Processo aguardando distribuição no TRT.</t>
    </r>
    <r>
      <rPr>
        <b/>
        <sz val="9"/>
        <color rgb="FF000000"/>
        <rFont val="Avenir Next LT Pro"/>
        <family val="2"/>
      </rPr>
      <t xml:space="preserve"> Processo distribuído no TRT, sob a relatoria do Desembargador FERNANDO CESAR DA FONSECA, na 7ª Turma.</t>
    </r>
  </si>
  <si>
    <r>
      <t xml:space="preserve">Audiência una presencial designada para 03/06/2025, às 11h30, posteriormente cancelada. </t>
    </r>
    <r>
      <rPr>
        <b/>
        <sz val="9"/>
        <color rgb="FF000000"/>
        <rFont val="Avenir Next LT Pro"/>
        <family val="2"/>
      </rPr>
      <t>O processo encontra-se suspenso em razão do Recurso Extraordinário com repercussão geral nº 1389.</t>
    </r>
  </si>
  <si>
    <r>
      <rPr>
        <sz val="9"/>
        <color theme="1"/>
        <rFont val="Avenir Next LT Pro"/>
        <family val="2"/>
      </rPr>
      <t xml:space="preserve">Audiência una designada para 04/09/2025, às 10h01. A audiência foi realizada sem conciliação, sendo apresentadas razões finais pelas partes, ficando o processo aguardando julgamento. O reclamante apresentou réplica e, posteriormente, foi proferida sentença parcialmente procedente, reconhecendo a rescisão indireta e condenando solidariamente a 1ª, 2ª, 3ª e 4ª reclamadas, além da 5ª reclamada de forma subsidiária. Foram opostos embargos de declaração pela Buser e pela 1ª reclamada, julgados improcedentes. Em seguida, foi interposto recurso ordinário, com apresentação de contrarrazões. </t>
    </r>
    <r>
      <rPr>
        <b/>
        <sz val="9"/>
        <color theme="1"/>
        <rFont val="Avenir Next LT Pro"/>
        <family val="2"/>
      </rPr>
      <t>O processo foi distribuído no TRT, sob a relatoria da Desembargadora Ivete Ribeiro, na 4ª Turma.</t>
    </r>
  </si>
  <si>
    <r>
      <t>A audiência inicial ocorreu em 01/08/2023. Em 16/08/2024 foi realizada perícia técnica, às 11h, com prazo concedido à 1ª Reclamada para juntada de documentos destinados à análise do perito. Os laudos periciais de insalubridade e periculosidade, ambos favoráveis à reclamante, foram apresentados em 18/12/2024. A audiência de instrução anteriormente designada foi cancelada, e as partes se manifestaram sobre os esclarecimentos do perito. Encerrada a prova pericial, a audiência de instrução foi realizada em 07/07/2025. Em 15/07/2025 foi proferida sentença julgando a ação parcialmente procedente. Houve interposição de embargos de declaração pela reclamante e pela 2ª reclamada; em 05/08/2025 foi negado o ED da reclamada. As partes apresentaram recurso ordinário, aguardando recebimento para apresentação de contrarrazões. Após a apresentação das contrarrazões, os autos foram conclusos para julgamento. O acórdão reconheceu o FGTS devido à reclamante, afastou as multas por embargos protelatórios e ajustou os honorários advocatícios da reclamante para 5%. A reclamante interpôs embargos de declaração, que foram rejeitados. Atualmente, aguarda-se a interposição de recurso de revista.</t>
    </r>
    <r>
      <rPr>
        <b/>
        <sz val="9"/>
        <color rgb="FF000000"/>
        <rFont val="Avenir Next LT Pro"/>
        <family val="2"/>
      </rPr>
      <t xml:space="preserve"> Interposto recurso de revista pelo reclamante.</t>
    </r>
  </si>
  <si>
    <r>
      <t xml:space="preserve">Audiência una presencial designada para 21/10/2025, às 09h40. </t>
    </r>
    <r>
      <rPr>
        <b/>
        <sz val="9"/>
        <color rgb="FF000000"/>
        <rFont val="Avenir Next LT Pro"/>
        <family val="2"/>
      </rPr>
      <t>Em ata, foi determinado o sobrestamento dos autos até o julgamento do Tema 1.389 pelo STF.</t>
    </r>
  </si>
  <si>
    <r>
      <rPr>
        <sz val="9"/>
        <color rgb="FF000000"/>
        <rFont val="Avenir Next LT Pro"/>
        <family val="2"/>
      </rPr>
      <t>Aguardando audiência una designada para 02/10/2025 às 15:00. Juntado nos autos contestação e manifestação da reclamante, determinado em despacho audiência de julgamento 10/12/2025, às 18:00h.</t>
    </r>
    <r>
      <rPr>
        <b/>
        <sz val="9"/>
        <color rgb="FF000000"/>
        <rFont val="Avenir Next LT Pro"/>
        <family val="2"/>
      </rPr>
      <t xml:space="preserve"> </t>
    </r>
    <r>
      <rPr>
        <sz val="9"/>
        <color rgb="FF000000"/>
        <rFont val="Avenir Next LT Pro"/>
        <family val="2"/>
      </rPr>
      <t xml:space="preserve">Apresentado nos autos réplica e razões finais. </t>
    </r>
    <r>
      <rPr>
        <b/>
        <sz val="9"/>
        <color rgb="FF000000"/>
        <rFont val="Avenir Next LT Pro"/>
        <family val="2"/>
      </rPr>
      <t>Em face do requerimento do reclamante para a reinclusão da empresa PRIMAR, foi designada nova Audiência Una para 22/05/2026, às 14h15.</t>
    </r>
  </si>
  <si>
    <r>
      <rPr>
        <sz val="9"/>
        <color rgb="FF000000"/>
        <rFont val="Avenir Next LT Pro"/>
        <family val="2"/>
      </rPr>
      <t xml:space="preserve">Aguardando audiência inicial virtual designada para 11/02/2026 às 11:30. </t>
    </r>
    <r>
      <rPr>
        <b/>
        <sz val="9"/>
        <color rgb="FF000000"/>
        <rFont val="Avenir Next LT Pro"/>
        <family val="2"/>
      </rPr>
      <t>Audiência de instrução designada para 24/06/2026, às 14h30.</t>
    </r>
  </si>
  <si>
    <r>
      <t xml:space="preserve">A audiência inicial foi realizada em 26/03/2025, ocasião em que foi celebrado acordo entre o reclamante e a 1ª reclamada (Primar), no valor de R$ 30.000,00, parcelado em 10 prestações de R$ 3.000,00. O processo foi suspenso em relação à Buser. Diante da ausência de pagamento, o reclamante requereu o prosseguimento da execução definitiva contra a 1ª reclamada. </t>
    </r>
    <r>
      <rPr>
        <b/>
        <sz val="9"/>
        <color rgb="FF000000"/>
        <rFont val="Avenir Next LT Pro"/>
        <family val="2"/>
      </rPr>
      <t>Considerando o inadimplemento do acordo, o juízo determinou o retorno dos autos à fase de conhecimento, para apreciação da responsabilidade subsidiária da 2ª reclamada.</t>
    </r>
  </si>
  <si>
    <r>
      <t xml:space="preserve">A audiência de instrução foi realizada em 01/03/2023, ocasião em que a ação foi julgada parcialmente procedente, condenando a Buser de forma subsidiária. Iniciada a fase de execução, foi homologado acordo entre o reclamante e a 1ª reclamada (Marvi), no valor de R$ 38.000,00, parcelado em 38 prestações de R$ 1.000,00, com início em 02/05/2024. Em 04/12/2024, o reclamante requereu a execução de multa de 50% sobre os valores em atraso (referentes aos meses de 06/2024, 07/2024, 10/2024 e 11/2024), o vencimento antecipado das parcelas vincendas e a aplicação de multa sobre o valor vincendo. Em 16/12/2024, a 1ª reclamada manifestou-se contrariamente, alegando que vem cumprindo o acordo e que a multa somente incidiria em caso de inadimplemento. Em 23/12/2024, o juízo determinou que o reclamante indicasse os meses em atraso para que o réu efetuasse o pagamento da multa. Foi deferida multa por atraso no cumprimento do acordo. O processo permaneceu suspenso pela homologação do ajuste, mas o reclamante voltou a se manifestar requerendo o cumprimento do acordo e a aplicação das penalidades pelo descumprimento. O juízo despachou determinando o pagamento da parcela e da multa. </t>
    </r>
    <r>
      <rPr>
        <b/>
        <sz val="9"/>
        <color rgb="FF000000"/>
        <rFont val="Avenir Next LT Pro"/>
        <family val="2"/>
      </rPr>
      <t>Diante da ausência de manifestação e de pagamento pela reclamada, o reclamante requereu a penhora do valor acordado, estando o feito atualmente aguardando decisão.</t>
    </r>
  </si>
  <si>
    <r>
      <rPr>
        <sz val="9"/>
        <color theme="1"/>
        <rFont val="Avenir Next LT Pro"/>
        <family val="2"/>
      </rPr>
      <t>Audiência inicial designada para 29/08/2025, às 9h00. Na audiência, foi celebrada conciliação, com acordo formalizado entre o reclamante e a empresa Guirro Transportes Ltda., no valor parcelado em 14 prestações, sendo a última com vencimento em 22/10/2026. A Buser permanecerá como responsável subsidiária até o cumprimento integral do acordo.</t>
    </r>
    <r>
      <rPr>
        <b/>
        <sz val="9"/>
        <color theme="1"/>
        <rFont val="Avenir Next LT Pro"/>
        <family val="2"/>
      </rPr>
      <t xml:space="preserve"> O processo foi sobrestado até a quitação total das parcelas.</t>
    </r>
  </si>
  <si>
    <r>
      <t xml:space="preserve">Audiência una designada para 17/09/2025, às 14h15, restou prejudicada em razão da ausência de intimação da 1ª reclamada. Nova audiência foi marcada para 30/10/2025, às 15h00, ocasião em que a conciliação foi rejeitada. As partes apresentaram razões finais e, posteriormente, foi proferida sentença julgando procedentes os pedidos em face da 1ª, 2ª, 3ª e 4ª reclamadas, e improcedentes em relação à Buser. O reclamante opôs embargos de declaração, que foram rejeitados. Em seguida, interpôs recurso ordinário, tendo sido apresentadas contrarrazões. </t>
    </r>
    <r>
      <rPr>
        <b/>
        <sz val="9"/>
        <color theme="1"/>
        <rFont val="Avenir Next LT Pro"/>
        <family val="2"/>
      </rPr>
      <t>O processo foi distribuído no TRT, sob a relatoria da Desembargadora Silza Helena Bermudes Bauman, na 2ª Turma.</t>
    </r>
  </si>
  <si>
    <r>
      <t xml:space="preserve">A audiência una foi realizada em 03/07/2024, com oitiva das partes e testemunhas. Em 08/10/2024 foi apresentado laudo pericial favorável. A audiência de instrução ocorreu em 06/03/2025, ocasião em que foram dispensados os depoimentos das partes e a oitiva das testemunhas. </t>
    </r>
    <r>
      <rPr>
        <b/>
        <sz val="9"/>
        <color rgb="FF000000"/>
        <rFont val="Avenir Next LT Pro"/>
        <family val="2"/>
      </rPr>
      <t>O processo encontra-se suspenso em razão do Recurso Extraordinário com repercussão geral nº 1389.</t>
    </r>
  </si>
  <si>
    <r>
      <t xml:space="preserve">Audiência una realizada em 08/10/2024. Sentença proferida em 18/10/2024 julgou improcedente a ação. Os embargos de declaração opostos pela reclamante foram rejeitados. A reclamante interpôs recurso ordinário, com contrarrazões apresentadas pela reclamada. Em 19/05/2025 foi publicado acórdão negando provimento ao recurso da reclamante. Em 05/06/2025, a reclamante interpôs recurso de revista, tendo sido apresentadas contrarrazões. O recurso da reclamante foi recebido, mas teve seguimento denegado, aguardando manifestação da parte. Posteriormente, foi interposto agravo de instrumento pela reclamante, com intimação da parte contrária para apresentação de contraminuta. O processo foi distribuído no TST e aguarda julgamento. Prolatada decisão pelo TST, a qual negou provimento ao agravo de instrumento da reclamante. </t>
    </r>
    <r>
      <rPr>
        <b/>
        <sz val="9"/>
        <color rgb="FF000000"/>
        <rFont val="Avenir Next LT Pro"/>
        <family val="2"/>
      </rPr>
      <t>Pende a possibilidade de oposição de embargos de declaração ou de interposição de agravo interno.</t>
    </r>
  </si>
  <si>
    <r>
      <rPr>
        <sz val="9"/>
        <color rgb="FF000000"/>
        <rFont val="Avenir Next LT Pro"/>
        <family val="2"/>
      </rPr>
      <t>Audiência Una presencial designada para 15/10/2025 às 13:40</t>
    </r>
    <r>
      <rPr>
        <b/>
        <sz val="9"/>
        <color rgb="FF000000"/>
        <rFont val="Avenir Next LT Pro"/>
        <family val="2"/>
      </rPr>
      <t>. Acordo realizado pela 1a Reclamada, no valor de R$ 35.000,00, em 14 parcelas , até 03/2027, sem exclusão da BUSER.</t>
    </r>
  </si>
  <si>
    <r>
      <rPr>
        <sz val="9"/>
        <color theme="1"/>
        <rFont val="Avenir Next LT Pro"/>
        <family val="2"/>
      </rPr>
      <t xml:space="preserve">Audiência de conciliação (fase de conhecimento) por videoconferência designada para 17/11/2025, às 14h05. </t>
    </r>
    <r>
      <rPr>
        <b/>
        <sz val="9"/>
        <color theme="1"/>
        <rFont val="Avenir Next LT Pro"/>
        <family val="2"/>
      </rPr>
      <t>Em audiência, as partes não chegaram a acordo e, em razão do Tema 1.389 do STF, o processo foi sobrestado.</t>
    </r>
  </si>
  <si>
    <r>
      <rPr>
        <sz val="9"/>
        <color theme="1"/>
        <rFont val="Avenir Next LT Pro"/>
        <family val="2"/>
      </rPr>
      <t xml:space="preserve">A audiência inicial foi realizada em 01/07/2025, ocasião em que a conciliação foi recusada e a defesa apresentada. A audiência de instrução ficou designada para 21/01/2026, às 11h. </t>
    </r>
    <r>
      <rPr>
        <b/>
        <sz val="9"/>
        <color theme="1"/>
        <rFont val="Avenir Next LT Pro"/>
        <family val="2"/>
      </rPr>
      <t>Posteriormente, foi celebrado acordo entre o reclamante e a empresa Braslectra Locações, com a previsão de exclusão das demais reclamadas após a quitação integral do ajuste.</t>
    </r>
  </si>
  <si>
    <r>
      <t xml:space="preserve">Audiência inicial realizada em 04/12/2024, a 1ª reclamada (CATARINENSE) requereu o adiamento da sessão, uma vez que sua testemunha Edilson Sousa Santos, não compareceu. Audiência una realizada em 20/03/2025, com oitiva do reclamante, devido ao adiantado da hora, redesignada audiência de instrução para 28/04/2025 às 15:20. Realizada audiencia, na ocasião a audiencia foi redesignada para oitiva das testemunhas, audiencia de instrução agendada para 26/06/2025 às 10:30. </t>
    </r>
    <r>
      <rPr>
        <b/>
        <sz val="9"/>
        <color rgb="FF000000"/>
        <rFont val="Avenir Next LT Pro"/>
        <family val="2"/>
      </rPr>
      <t>Audiência realizada em 26/06/2025, não houve acordo e o processo foi suspendo diante do Tema 1389</t>
    </r>
    <r>
      <rPr>
        <sz val="9"/>
        <color rgb="FF000000"/>
        <rFont val="Avenir Next LT Pro"/>
        <family val="2"/>
      </rPr>
      <t>.</t>
    </r>
  </si>
  <si>
    <r>
      <t xml:space="preserve">A audiência una foi designada para 02/04/2025, às 11h, em caráter presencial. Na ocasião, o juízo declarou a incompetência da Justiça do Trabalho e determinou a remessa dos autos à Justiça Comum. A reclamante interpôs recurso ordinário, que aguarda admissão e julgamento. </t>
    </r>
    <r>
      <rPr>
        <b/>
        <sz val="9"/>
        <color rgb="FF000000"/>
        <rFont val="Avenir Next LT Pro"/>
        <family val="2"/>
      </rPr>
      <t>O processo encontra-se suspenso em razão do Recurso Extraordinário com repercussão geral nº 1389.</t>
    </r>
  </si>
  <si>
    <r>
      <t>A audiência una foi realizada em 30/10/2024, com oitiva das partes e testemunhas. Em 22/01/2025 foi proferida sentença julgando improcedentes os pedidos. A autora interpôs recurso ordinário, tendo a reclamada apresentado contrarrazões, e o processo aguardou julgamento. Em 13/08/2025, foi proferido acórdão dando provimento parcial ao recurso da reclamante, apenas para declarar a nulidade quanto à produção de provas, determinando a remessa dos autos à Vara de origem. Conclusos, sobreveio nova sentença que novamente julgou improcedentes os pedidos da reclamante. Interposto recurso ordinário, foram apresentadas contrarrazões e, posteriormente, memoriais pela reclamada.</t>
    </r>
    <r>
      <rPr>
        <b/>
        <sz val="9"/>
        <color rgb="FF000000"/>
        <rFont val="Avenir Next LT Pro"/>
        <family val="2"/>
      </rPr>
      <t xml:space="preserve"> Foi proferido acórdão que negou provimento ao recurso ordinário interposto pelo reclamante. Em seguida, o reclamante interpôs recurso de revista.</t>
    </r>
  </si>
  <si>
    <r>
      <t xml:space="preserve">Audiência una designada para 26/02/2025 adiada por férias do magistrado. Em audiência realizada em 08/07/2025 , o reclamante desistiu do pedido de insalubridade, com concordância da reclamada. Recebida a Defesa. Audiência de instrução designada para 12/08/2025 às 14:45. Audiência infrutífera, redesignada audiência de instrução para 11/11/2025, às 14:00. </t>
    </r>
    <r>
      <rPr>
        <b/>
        <sz val="9"/>
        <color rgb="FF000000"/>
        <rFont val="Avenir Next LT Pro"/>
        <family val="2"/>
      </rPr>
      <t>Audiência redesignada novamente para 21/05/2026, às 08:00h, na modalidade presencial.</t>
    </r>
  </si>
  <si>
    <r>
      <rPr>
        <sz val="9"/>
        <color theme="1"/>
        <rFont val="Avenir Next LT Pro"/>
        <family val="2"/>
      </rPr>
      <t xml:space="preserve">Audiência una designada para 13/10/2025, às 10h10. Em audiência, foi celebrado acordo no valor líquido de R$ 30.000,00, parcelado em 12 prestações de R$ 2.500,00, com última parcela prevista para 14/12/2026. Os dados bancários do patrono foram informados nos autos. </t>
    </r>
    <r>
      <rPr>
        <b/>
        <sz val="9"/>
        <color theme="1"/>
        <rFont val="Avenir Next LT Pro"/>
        <family val="2"/>
      </rPr>
      <t>Considerando o descumprimento do acordo pela 1ª reclamada, o reclamante requereu a designação de nova audiência, marcada para 30/04/2026, às 10h00.</t>
    </r>
  </si>
  <si>
    <r>
      <rPr>
        <sz val="9"/>
        <color theme="1"/>
        <rFont val="Avenir Next LT Pro"/>
        <family val="2"/>
      </rPr>
      <t>A audiência una foi designada para 26/08/2025, às 10h30, na Sala Principal da 60ª Vara do Trabalho do Rio de Janeiro. Na ocasião, a audiência foi realizada, com requerimento formulado com base no Tema 1389 do STF, permanecendo o processo aguardando decisão e manifestação do reclamante diante da contestação. Posteriormente, foi designada audiência de instrução para 23/03/2026, às 11h15, a qual foi realizada com a oitiva das partes. Ao final, foi proferida sentença julgando improcedentes os pedidos formulados pelo reclamante</t>
    </r>
    <r>
      <rPr>
        <b/>
        <sz val="9"/>
        <color theme="1"/>
        <rFont val="Avenir Next LT Pro"/>
        <family val="2"/>
      </rPr>
      <t>. Interposto recurso ordinário pelo reclamante.</t>
    </r>
  </si>
  <si>
    <r>
      <t xml:space="preserve">Audiência Una realizada em 15/05/2025 , no qual homologou-se acordo no valor de R$ 25.000,00, entre o reclmante e 1ª reclamada em 12x . Suspenso o processo por homologação de acordo. Audiência de instrução designada 20/10/2025 às 11:40. </t>
    </r>
    <r>
      <rPr>
        <b/>
        <sz val="9"/>
        <color theme="1"/>
        <rFont val="Avenir Next LT Pro"/>
        <family val="2"/>
      </rPr>
      <t>Reclamante e a 1ª reclamada manifestaram quanto a manutenção do acordo realizado em audiência, aguardando cumprimento integral do acordo.</t>
    </r>
  </si>
  <si>
    <r>
      <t xml:space="preserve">Audiência una realizada em 29/08/2024. Em 08/10/2024 foi apresentado laudo pericial desfavorável. A audiência de instrução ocorreu em 09/12/2024, com posterior apresentação de razões finais pelas partes. Em 14/02/2025 foi proferida sentença julgando a ação improcedente. O reclamante interpôs recurso ordinário, tendo as reclamadas apresentado contrarrazões. O acórdão negou provimento ao recurso. Em seguida, foram opostos embargos de declaração, que foram conhecidos, mas rejeitados. O processo aguardava a interposição de recurso de revista; contudo, diante da ausência de recurso por ambas as partes, ocorreu o trânsito em julgado da ação, </t>
    </r>
    <r>
      <rPr>
        <b/>
        <sz val="9"/>
        <color rgb="FF000000"/>
        <rFont val="Avenir Next LT Pro"/>
        <family val="2"/>
      </rPr>
      <t>encontrando-se o feito em fase de execução.</t>
    </r>
  </si>
  <si>
    <r>
      <t xml:space="preserve">Em razão da emenda à inicial, foi excluída do polo passivo a 1ª reclamada (Transportes Santa Maria) e incluída a reclamada Santa Maria Turismo. Aguarda-se a citação da 1ª reclamada para designação de audiência. Audiência de instrução realizada em 08/07/2025 determinou o sobrestamento do processo com fundamento no Tema 1389 do STF (repercussão geral), relativo à matéria de pejotização. </t>
    </r>
    <r>
      <rPr>
        <b/>
        <sz val="9"/>
        <color rgb="FF000000"/>
        <rFont val="Avenir Next LT Pro"/>
        <family val="2"/>
      </rPr>
      <t>Processo suspenso até julgamento definitivo do referido tema.</t>
    </r>
  </si>
  <si>
    <r>
      <t xml:space="preserve">A audiência una foi designada para 03/09/2025, às 09h40, e realizada sem conciliação. Em seguida, foi marcada audiência de instrução para 22/10/2025, às 12h, posteriormente redesignada para 10/12/2025, no mesmo horário. Diante da ausência da testemunha do reclamante, foi designada nova audiência de instrução presencial para 25/02/2026, às 11h20. A instrução foi realizada com a oitiva das partes, e o processo passou a aguardar sentença. Na sequência, foi proferida decisão julgando parcialmente procedentes os pedidos formulados pelo reclamante. </t>
    </r>
    <r>
      <rPr>
        <b/>
        <sz val="9"/>
        <color theme="1"/>
        <rFont val="Avenir Next LT Pro"/>
        <family val="2"/>
      </rPr>
      <t>As partes opuseram embargos de declaração, que permanecem pendentes de julgamento.</t>
    </r>
  </si>
  <si>
    <r>
      <rPr>
        <sz val="9"/>
        <color rgb="FF000000"/>
        <rFont val="Avenir Next LT Pro"/>
        <family val="2"/>
      </rPr>
      <t>Audiência una designada para 16/09/2025, às 15h15. A audiência foi realizada sem conciliação, sendo redesignada para 10/12/2025, às 14h40, em razão da ausência de testemunha. Na nova audiência, as partes permaneceram inconciliadas e foi aberto prazo para apresentação de razões finais. Após, os autos foram conclusos para julgamento.</t>
    </r>
    <r>
      <rPr>
        <b/>
        <sz val="9"/>
        <color rgb="FF000000"/>
        <rFont val="Avenir Next LT Pro"/>
        <family val="2"/>
      </rPr>
      <t xml:space="preserve"> Foi proferida sentença que julgou improcedentes os pedidos formulados pelo reclamante.</t>
    </r>
  </si>
  <si>
    <r>
      <rPr>
        <sz val="9"/>
        <color theme="1"/>
        <rFont val="Avenir Next LT Pro"/>
        <family val="2"/>
      </rPr>
      <t>Audiência una designada para 19/08/2025 às 10:45. Audiência realizada, com agendamento de perícia técnica em razão do pedido de insalubridade e periculosidade, tendo sido apresentados os quesitos. Perícia designada para 01/09/2025 às 7:00. Audiência de instrução para 05/11/2025 às 09:00, apresentado quesitos e assistentes técnicos. Audiência redesignada para 26/11/2025, às 15:25h, na modalidade presencial.</t>
    </r>
    <r>
      <rPr>
        <b/>
        <sz val="9"/>
        <color theme="1"/>
        <rFont val="Avenir Next LT Pro"/>
        <family val="2"/>
      </rPr>
      <t>Em audiência, houve conciliação homologada entre o reclamante e a 1ª reclamada, no valor de R$ 34.000,00 em 17 parcelas, finalizando em 10/05/2027. O feito esta suspenso em relação as demais rés.</t>
    </r>
  </si>
  <si>
    <r>
      <t xml:space="preserve">Audiência una realizada em 03/02/2025, ocasião em que foi celebrado acordo entre o reclamante e a 1ª reclamada (Primar), no valor de R$ 18.000,00, parcelado em 9 prestações. O processo foi suspenso em relação à Buser. Em 25/08/2025, o reclamante apresentou manifestação requerendo a continuidade do feito em face da 4ª reclamada (Buser). Foi designada audiência una para 07/10/2025, às 13h55, com o processo retomando a fase de conhecimento. As partes apresentaram razões finais e, em sentença, os pedidos foram julgados parcialmente procedentes em relação à 1ª, 2ª e 3ª reclamadas, reconhecendo-se a ausência de responsabilidade subsidiária da Buser. O reclamante interpôs recurso ordinário, tendo a Buser apresentado contrarrazões. Em acórdão, foi dado provimento ao recurso para condenar subsidiariamente a Buser. </t>
    </r>
    <r>
      <rPr>
        <b/>
        <sz val="9"/>
        <color rgb="FF000000"/>
        <rFont val="Avenir Next LT Pro"/>
        <family val="2"/>
      </rPr>
      <t>Foram opostos embargos de declaração pela Buser, ainda pendentes de julgamento.</t>
    </r>
  </si>
  <si>
    <r>
      <t>Audiência una designada para 19/02/2025 às 14:50 adiada por ausência de citação da 1ª Reclamada. Audiência una realizada em 25/03/2025.</t>
    </r>
    <r>
      <rPr>
        <b/>
        <sz val="9"/>
        <color rgb="FF000000"/>
        <rFont val="Avenir Next LT Pro"/>
        <family val="2"/>
      </rPr>
      <t xml:space="preserve"> </t>
    </r>
    <r>
      <rPr>
        <sz val="9"/>
        <color rgb="FF000000"/>
        <rFont val="Avenir Next LT Pro"/>
        <family val="2"/>
      </rPr>
      <t xml:space="preserve">Audiência una realizada em 21/05/2025 às 15:50, presencial, onde se redesignou a audiência de instrução para 10/07/2025 às 16:30. </t>
    </r>
    <r>
      <rPr>
        <b/>
        <sz val="9"/>
        <color rgb="FF000000"/>
        <rFont val="Avenir Next LT Pro"/>
        <family val="2"/>
      </rPr>
      <t>Audiência realizada em 10/07/2025, colhidos os depoimentos. Suspenso o processo por Recurso Extraordinário com repercussão geral nº 1389</t>
    </r>
  </si>
  <si>
    <r>
      <rPr>
        <sz val="9"/>
        <color rgb="FF000000"/>
        <rFont val="Avenir Next LT Pro"/>
        <family val="2"/>
      </rPr>
      <t xml:space="preserve">Foi solicitada a habilitação no processo, estando designada audiência una virtual para 05/02/2026, às 13h05. Na audiência, as partes permaneceram inconciliadas. </t>
    </r>
    <r>
      <rPr>
        <b/>
        <sz val="9"/>
        <color rgb="FF000000"/>
        <rFont val="Avenir Next LT Pro"/>
        <family val="2"/>
      </rPr>
      <t>Em seguida, foi marcada audiência de instrução para 30/04/2026, às 13h35.</t>
    </r>
  </si>
  <si>
    <r>
      <rPr>
        <sz val="9"/>
        <color rgb="FF000000"/>
        <rFont val="Avenir Next LT Pro"/>
        <family val="2"/>
      </rPr>
      <t xml:space="preserve">Aguardando intimação para posterior habilitação no processo. </t>
    </r>
    <r>
      <rPr>
        <b/>
        <sz val="9"/>
        <color rgb="FF000000"/>
        <rFont val="Avenir Next LT Pro"/>
        <family val="2"/>
      </rPr>
      <t>Audiência una virtual designada para 22/04/2027, às 15h00.</t>
    </r>
  </si>
  <si>
    <r>
      <rPr>
        <sz val="9"/>
        <color rgb="FF000000"/>
        <rFont val="Avenir Next LT Pro"/>
        <family val="2"/>
      </rPr>
      <t xml:space="preserve">Audiência inicial designada para 26/01/2026, às 11h50. As partes permaneceram inconciliadas. Foi designada audiência de instrução para 25/03/2026, às 10h20. Na audiência, houve conciliação entre o reclamante e a 1ª reclamada, ocasião em que também foi acordada a exclusão da Buser do polo passivo. </t>
    </r>
    <r>
      <rPr>
        <b/>
        <sz val="9"/>
        <color rgb="FF000000"/>
        <rFont val="Avenir Next LT Pro"/>
        <family val="2"/>
      </rPr>
      <t>O processo aguarda a efetivação da exclusão para posterior arquivamento.</t>
    </r>
  </si>
  <si>
    <r>
      <rPr>
        <sz val="9"/>
        <color theme="1"/>
        <rFont val="Avenir Next LT Pro"/>
        <family val="2"/>
      </rPr>
      <t xml:space="preserve">Audiência una designada para 03/03/2026, às 11h20. A audiência de instrução foi realizada com a oitiva das partes. </t>
    </r>
    <r>
      <rPr>
        <b/>
        <sz val="9"/>
        <color theme="1"/>
        <rFont val="Avenir Next LT Pro"/>
        <family val="2"/>
      </rPr>
      <t>Foram apresentadas as razões finais e os autos ficaram conclusos para julgamento.</t>
    </r>
  </si>
  <si>
    <r>
      <rPr>
        <sz val="9"/>
        <color theme="1"/>
        <rFont val="Avenir Next LT Pro"/>
        <family val="2"/>
      </rPr>
      <t>Audiência una designada para 23/03/2026, às 15h40. Foi realizada audiência de instrução, com a oitiva das partes.</t>
    </r>
    <r>
      <rPr>
        <b/>
        <sz val="9"/>
        <color theme="1"/>
        <rFont val="Avenir Next LT Pro"/>
        <family val="2"/>
      </rPr>
      <t xml:space="preserve"> As razões finais foram apresentadas pelas partes e o processo aguarda a prolação da sentença.</t>
    </r>
  </si>
  <si>
    <r>
      <rPr>
        <sz val="9"/>
        <color theme="1"/>
        <rFont val="Avenir Next LT Pro"/>
        <family val="2"/>
      </rPr>
      <t>Audiência una designada para 26/03/2026, às 11h30.</t>
    </r>
    <r>
      <rPr>
        <b/>
        <sz val="9"/>
        <color theme="1"/>
        <rFont val="Avenir Next LT Pro"/>
        <family val="2"/>
      </rPr>
      <t xml:space="preserve"> A audiência inaugural foi realizada e, diante da ausência de acordo entre as partes, foi designada audiência de instrução para 10/06/2026, às 14h20.</t>
    </r>
  </si>
  <si>
    <r>
      <t>A audiência de instrução foi realizada com a oitiva das partes, tendo sido apresentadas as razões finais. Em seguida, foi proferida sentença julgando totalmente improcedente a ação. O reclamante opôs embargos de declaração, que não foram acolhidos. Posteriormente, interpôs recurso ordinário, estando o processo no aguardo da apresentação das contrarrazões.</t>
    </r>
    <r>
      <rPr>
        <b/>
        <sz val="9"/>
        <color theme="1"/>
        <rFont val="Avenir Next LT Pro"/>
        <family val="2"/>
      </rPr>
      <t xml:space="preserve"> </t>
    </r>
    <r>
      <rPr>
        <sz val="9"/>
        <color theme="1"/>
        <rFont val="Avenir Next LT Pro"/>
        <family val="2"/>
      </rPr>
      <t>O feito foi distribuído no TRT, sob a relatoria da Desembargadora Sônia Aparecida Costa Mascaro Nascimento, na 9ª Turma.</t>
    </r>
    <r>
      <rPr>
        <b/>
        <sz val="9"/>
        <color theme="1"/>
        <rFont val="Avenir Next LT Pro"/>
        <family val="2"/>
      </rPr>
      <t xml:space="preserve"> Suspenso o processo por Recurso Extraordinário com repercussão geral nº 1389</t>
    </r>
  </si>
  <si>
    <r>
      <t xml:space="preserve">O reclamante apresentou seus cálculos, aguardando-se a manifestação das reclamadas. Após a apresentação dos cálculos pela 1ª ré, </t>
    </r>
    <r>
      <rPr>
        <b/>
        <sz val="9"/>
        <color theme="1"/>
        <rFont val="Avenir Next LT Pro"/>
        <family val="2"/>
      </rPr>
      <t>foi proferida decisão homologatória, a qual acolheu os valores indicados pelo reclamante e intimou a primeira reclamada para efetuar o pagamento no prazo de 15 dias.</t>
    </r>
  </si>
  <si>
    <t>BUSER • Relatório Contencioso Jurídico • Base: Abril/2026 • Confidencial</t>
  </si>
  <si>
    <t>48 de 61 processos ativos</t>
  </si>
  <si>
    <t>PROCEDIMENTO ADMINISTRATIVO - ABRIL/2026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</si>
</sst>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R$&quot;\ #,##0.00;[Red]\-&quot;R$&quot;\ #,##0.00"/>
    <numFmt numFmtId="164" formatCode="\$#,##0.00"/>
    <numFmt numFmtId="165" formatCode="[$R$ -416]#,##0.00"/>
    <numFmt numFmtId="166" formatCode="&quot;R$&quot;\ #,##0.00"/>
    <numFmt numFmtId="167" formatCode="&quot;R$&quot;\ #,##0"/>
    <numFmt numFmtId="168" formatCode="[$-1010416]General"/>
  </numFmts>
  <fonts count="37">
    <font>
      <sz val="10"/>
      <color rgb="FF000000"/>
      <name val="Arial"/>
      <scheme val="minor"/>
    </font>
    <font>
      <sz val="9"/>
      <color rgb="FF1C2140"/>
      <name val="Avenir"/>
    </font>
    <font>
      <b/>
      <sz val="18"/>
      <color rgb="FFFFFFFF"/>
      <name val="Avenir"/>
    </font>
    <font>
      <sz val="10"/>
      <name val="Arial"/>
    </font>
    <font>
      <b/>
      <sz val="8"/>
      <color rgb="FF8A9DC0"/>
      <name val="Avenir"/>
    </font>
    <font>
      <b/>
      <sz val="8"/>
      <color rgb="FFD4A0B0"/>
      <name val="Avenir"/>
    </font>
    <font>
      <b/>
      <sz val="28"/>
      <color rgb="FFFFFFFF"/>
      <name val="Avenir"/>
    </font>
    <font>
      <b/>
      <sz val="22"/>
      <color rgb="FFFFFFFF"/>
      <name val="Avenir"/>
    </font>
    <font>
      <sz val="8"/>
      <color rgb="FF8A9DC0"/>
      <name val="Avenir"/>
    </font>
    <font>
      <sz val="8"/>
      <color rgb="FFD4A0B0"/>
      <name val="Avenir"/>
    </font>
    <font>
      <b/>
      <sz val="12"/>
      <color rgb="FF1C2140"/>
      <name val="Avenir"/>
    </font>
    <font>
      <b/>
      <sz val="9"/>
      <color rgb="FFFFFFFF"/>
      <name val="Avenir"/>
    </font>
    <font>
      <sz val="7"/>
      <color rgb="FF1C2140"/>
      <name val="Avenir"/>
    </font>
    <font>
      <sz val="8"/>
      <color rgb="FF1C2140"/>
      <name val="Avenir"/>
    </font>
    <font>
      <b/>
      <sz val="9"/>
      <color rgb="FFC0392B"/>
      <name val="Avenir"/>
    </font>
    <font>
      <b/>
      <sz val="9"/>
      <color rgb="FF1C2140"/>
      <name val="Avenir"/>
    </font>
    <font>
      <b/>
      <sz val="9"/>
      <color rgb="FFE67E22"/>
      <name val="Avenir"/>
    </font>
    <font>
      <b/>
      <sz val="9"/>
      <color rgb="FF27AE60"/>
      <name val="Avenir"/>
    </font>
    <font>
      <sz val="8"/>
      <color rgb="FF999999"/>
      <name val="Avenir"/>
    </font>
    <font>
      <b/>
      <sz val="14"/>
      <color rgb="FF1C2140"/>
      <name val="Avenir"/>
    </font>
    <font>
      <sz val="9"/>
      <color rgb="FF777777"/>
      <name val="Avenir"/>
    </font>
    <font>
      <b/>
      <sz val="14"/>
      <color rgb="FFE67E22"/>
      <name val="Avenir"/>
    </font>
    <font>
      <b/>
      <sz val="9"/>
      <color rgb="FF6B1D3A"/>
      <name val="Avenir"/>
    </font>
    <font>
      <sz val="9"/>
      <color rgb="FF27AE60"/>
      <name val="Avenir"/>
    </font>
    <font>
      <sz val="9"/>
      <color rgb="FFE67E22"/>
      <name val="Avenir"/>
    </font>
    <font>
      <b/>
      <sz val="9"/>
      <color rgb="FF2980B9"/>
      <name val="Avenir"/>
    </font>
    <font>
      <sz val="9"/>
      <color rgb="FF2980B9"/>
      <name val="Avenir"/>
    </font>
    <font>
      <sz val="9"/>
      <color rgb="FFC0392B"/>
      <name val="Avenir"/>
    </font>
    <font>
      <b/>
      <sz val="9"/>
      <color rgb="FF777777"/>
      <name val="Avenir"/>
    </font>
    <font>
      <i/>
      <sz val="8"/>
      <color rgb="FF999999"/>
      <name val="Avenir"/>
    </font>
    <font>
      <b/>
      <sz val="9"/>
      <color rgb="FF000000"/>
      <name val="Avenir Next LT Pro"/>
      <family val="2"/>
    </font>
    <font>
      <sz val="9"/>
      <color rgb="FF000000"/>
      <name val="Avenir Next LT Pro"/>
      <family val="2"/>
    </font>
    <font>
      <sz val="9"/>
      <color theme="1"/>
      <name val="Avenir Next LT Pro"/>
      <family val="2"/>
    </font>
    <font>
      <sz val="9"/>
      <color rgb="FF3B3F4A"/>
      <name val="Avenir Next LT Pro"/>
      <family val="2"/>
    </font>
    <font>
      <b/>
      <sz val="9"/>
      <color theme="1"/>
      <name val="Avenir Next LT Pro"/>
      <family val="2"/>
    </font>
    <font>
      <b/>
      <sz val="9"/>
      <color rgb="FFFFFFFF"/>
      <name val="Avenir Next LT Pro"/>
      <family val="2"/>
    </font>
    <font>
      <u/>
      <sz val="9"/>
      <color theme="10"/>
      <name val="Avenir Next LT Pro"/>
      <family val="2"/>
    </font>
  </fonts>
  <fills count="13">
    <fill>
      <patternFill patternType="none"/>
    </fill>
    <fill>
      <patternFill patternType="gray125"/>
    </fill>
    <fill>
      <patternFill patternType="solid">
        <fgColor rgb="FFFFFFFF"/>
        <bgColor rgb="FFFFFFFF"/>
      </patternFill>
    </fill>
    <fill>
      <patternFill patternType="solid">
        <fgColor rgb="FF1C2140"/>
        <bgColor rgb="FF1C2140"/>
      </patternFill>
    </fill>
    <fill>
      <patternFill patternType="solid">
        <fgColor rgb="FF6B1D3A"/>
        <bgColor rgb="FF6B1D3A"/>
      </patternFill>
    </fill>
    <fill>
      <patternFill patternType="solid">
        <fgColor rgb="FFF7F7FA"/>
        <bgColor rgb="FFF7F7FA"/>
      </patternFill>
    </fill>
    <fill>
      <patternFill patternType="solid">
        <fgColor rgb="FFD9D9D9"/>
        <bgColor rgb="FFD9D9D9"/>
      </patternFill>
    </fill>
    <fill>
      <patternFill patternType="solid">
        <fgColor theme="0"/>
        <bgColor theme="0"/>
      </patternFill>
    </fill>
    <fill>
      <patternFill patternType="solid">
        <fgColor rgb="FF800000"/>
        <bgColor rgb="FF800000"/>
      </patternFill>
    </fill>
    <fill>
      <patternFill patternType="solid">
        <fgColor rgb="FFFFFF00"/>
        <bgColor rgb="FFFFFF00"/>
      </patternFill>
    </fill>
    <fill>
      <patternFill patternType="solid">
        <fgColor rgb="FFF7F7FA"/>
        <bgColor indexed="64"/>
      </patternFill>
    </fill>
    <fill>
      <patternFill patternType="solid">
        <fgColor rgb="FFFFFFFF"/>
        <bgColor indexed="64"/>
      </patternFill>
    </fill>
    <fill>
      <patternFill patternType="solid">
        <fgColor theme="0"/>
        <bgColor indexed="64"/>
      </patternFill>
    </fill>
  </fills>
  <borders count="15">
    <border>
      <left/>
      <right/>
      <top/>
      <bottom/>
      <diagonal/>
    </border>
    <border>
      <left/>
      <right/>
      <top/>
      <bottom/>
      <diagonal/>
    </border>
    <border>
      <left/>
      <right/>
      <top/>
      <bottom/>
      <diagonal/>
    </border>
    <border>
      <left/>
      <right/>
      <top/>
      <bottom/>
      <diagonal/>
    </border>
    <border>
      <left/>
      <right/>
      <top/>
      <bottom style="medium">
        <color rgb="FF6B1D3A"/>
      </bottom>
      <diagonal/>
    </border>
    <border>
      <left/>
      <right/>
      <top/>
      <bottom style="thin">
        <color rgb="FF1C2140"/>
      </bottom>
      <diagonal/>
    </border>
    <border>
      <left/>
      <right/>
      <top/>
      <bottom style="dotted">
        <color rgb="FFE0E0E0"/>
      </bottom>
      <diagonal/>
    </border>
    <border>
      <left/>
      <right/>
      <top/>
      <bottom style="thin">
        <color rgb="FFE0E0E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2">
    <xf numFmtId="0" fontId="0" fillId="0" borderId="0" xfId="0"/>
    <xf numFmtId="0" fontId="1" fillId="2" borderId="1" xfId="0" applyFont="1" applyFill="1" applyBorder="1"/>
    <xf numFmtId="0" fontId="1" fillId="4" borderId="1" xfId="0" applyFont="1" applyFill="1" applyBorder="1"/>
    <xf numFmtId="0" fontId="10" fillId="2" borderId="4" xfId="0" applyFont="1" applyFill="1" applyBorder="1"/>
    <xf numFmtId="0" fontId="1" fillId="2" borderId="4" xfId="0" applyFont="1" applyFill="1" applyBorder="1"/>
    <xf numFmtId="0" fontId="11" fillId="3" borderId="1" xfId="0" applyFont="1" applyFill="1" applyBorder="1" applyAlignment="1">
      <alignment horizontal="center"/>
    </xf>
    <xf numFmtId="0" fontId="12" fillId="2" borderId="1" xfId="0" applyFont="1" applyFill="1" applyBorder="1" applyAlignment="1">
      <alignment horizontal="center"/>
    </xf>
    <xf numFmtId="0" fontId="13" fillId="2" borderId="1" xfId="0" applyFont="1" applyFill="1" applyBorder="1"/>
    <xf numFmtId="164" fontId="13" fillId="2" borderId="1" xfId="0" applyNumberFormat="1" applyFont="1" applyFill="1" applyBorder="1" applyAlignment="1">
      <alignment horizontal="right"/>
    </xf>
    <xf numFmtId="165" fontId="13" fillId="2" borderId="1" xfId="0" applyNumberFormat="1" applyFont="1" applyFill="1" applyBorder="1" applyAlignment="1">
      <alignment horizontal="center"/>
    </xf>
    <xf numFmtId="0" fontId="13" fillId="2" borderId="1" xfId="0" applyFont="1" applyFill="1" applyBorder="1" applyAlignment="1">
      <alignment horizontal="center"/>
    </xf>
    <xf numFmtId="0" fontId="14" fillId="2" borderId="1" xfId="0" applyFont="1" applyFill="1" applyBorder="1"/>
    <xf numFmtId="0" fontId="1" fillId="2" borderId="1" xfId="0" applyFont="1" applyFill="1" applyBorder="1" applyAlignment="1">
      <alignment horizontal="center"/>
    </xf>
    <xf numFmtId="3" fontId="1" fillId="2" borderId="1" xfId="0" applyNumberFormat="1" applyFont="1" applyFill="1" applyBorder="1" applyAlignment="1">
      <alignment horizontal="right"/>
    </xf>
    <xf numFmtId="9" fontId="15" fillId="2" borderId="1" xfId="0" applyNumberFormat="1" applyFont="1" applyFill="1" applyBorder="1" applyAlignment="1">
      <alignment horizontal="center"/>
    </xf>
    <xf numFmtId="0" fontId="12" fillId="5" borderId="1" xfId="0" applyFont="1" applyFill="1" applyBorder="1" applyAlignment="1">
      <alignment horizontal="center"/>
    </xf>
    <xf numFmtId="0" fontId="13" fillId="5" borderId="1" xfId="0" applyFont="1" applyFill="1" applyBorder="1"/>
    <xf numFmtId="164" fontId="13" fillId="5" borderId="1" xfId="0" applyNumberFormat="1" applyFont="1" applyFill="1" applyBorder="1" applyAlignment="1">
      <alignment horizontal="right"/>
    </xf>
    <xf numFmtId="166" fontId="13" fillId="5" borderId="1" xfId="0" applyNumberFormat="1" applyFont="1" applyFill="1" applyBorder="1" applyAlignment="1">
      <alignment horizontal="center"/>
    </xf>
    <xf numFmtId="0" fontId="13" fillId="5" borderId="1" xfId="0" applyFont="1" applyFill="1" applyBorder="1" applyAlignment="1">
      <alignment horizontal="center"/>
    </xf>
    <xf numFmtId="0" fontId="16" fillId="5" borderId="1" xfId="0" applyFont="1" applyFill="1" applyBorder="1"/>
    <xf numFmtId="0" fontId="1" fillId="5" borderId="1" xfId="0" applyFont="1" applyFill="1" applyBorder="1" applyAlignment="1">
      <alignment horizontal="center"/>
    </xf>
    <xf numFmtId="3" fontId="1" fillId="5" borderId="1" xfId="0" applyNumberFormat="1" applyFont="1" applyFill="1" applyBorder="1" applyAlignment="1">
      <alignment horizontal="right"/>
    </xf>
    <xf numFmtId="9" fontId="15" fillId="5" borderId="1" xfId="0" applyNumberFormat="1" applyFont="1" applyFill="1" applyBorder="1" applyAlignment="1">
      <alignment horizontal="center"/>
    </xf>
    <xf numFmtId="166" fontId="13" fillId="2" borderId="1" xfId="0" applyNumberFormat="1" applyFont="1" applyFill="1" applyBorder="1" applyAlignment="1">
      <alignment horizontal="center"/>
    </xf>
    <xf numFmtId="0" fontId="17" fillId="2" borderId="1" xfId="0" applyFont="1" applyFill="1" applyBorder="1"/>
    <xf numFmtId="0" fontId="11" fillId="3" borderId="5" xfId="0" applyFont="1" applyFill="1" applyBorder="1"/>
    <xf numFmtId="0" fontId="11" fillId="3" borderId="5" xfId="0" applyFont="1" applyFill="1" applyBorder="1" applyAlignment="1">
      <alignment horizontal="center"/>
    </xf>
    <xf numFmtId="3" fontId="11" fillId="3" borderId="5" xfId="0" applyNumberFormat="1" applyFont="1" applyFill="1" applyBorder="1" applyAlignment="1">
      <alignment horizontal="right"/>
    </xf>
    <xf numFmtId="9" fontId="11" fillId="3" borderId="5" xfId="0" applyNumberFormat="1" applyFont="1" applyFill="1" applyBorder="1" applyAlignment="1">
      <alignment horizontal="center"/>
    </xf>
    <xf numFmtId="0" fontId="12" fillId="5" borderId="5" xfId="0" applyFont="1" applyFill="1" applyBorder="1" applyAlignment="1">
      <alignment horizontal="center"/>
    </xf>
    <xf numFmtId="0" fontId="13" fillId="5" borderId="5" xfId="0" applyFont="1" applyFill="1" applyBorder="1"/>
    <xf numFmtId="164" fontId="13" fillId="5" borderId="5" xfId="0" applyNumberFormat="1" applyFont="1" applyFill="1" applyBorder="1" applyAlignment="1">
      <alignment horizontal="right"/>
    </xf>
    <xf numFmtId="166" fontId="13" fillId="5" borderId="5" xfId="0" applyNumberFormat="1" applyFont="1" applyFill="1" applyBorder="1" applyAlignment="1">
      <alignment horizontal="center"/>
    </xf>
    <xf numFmtId="0" fontId="13" fillId="5" borderId="5" xfId="0" applyFont="1" applyFill="1" applyBorder="1" applyAlignment="1">
      <alignment horizontal="center"/>
    </xf>
    <xf numFmtId="0" fontId="18" fillId="2" borderId="1" xfId="0" applyFont="1" applyFill="1" applyBorder="1"/>
    <xf numFmtId="0" fontId="13" fillId="2" borderId="1" xfId="0" applyFont="1" applyFill="1" applyBorder="1" applyAlignment="1">
      <alignment horizontal="right"/>
    </xf>
    <xf numFmtId="0" fontId="19" fillId="2" borderId="6" xfId="0" applyFont="1" applyFill="1" applyBorder="1"/>
    <xf numFmtId="0" fontId="20" fillId="2" borderId="6" xfId="0" applyFont="1" applyFill="1" applyBorder="1"/>
    <xf numFmtId="0" fontId="1" fillId="2" borderId="6" xfId="0" applyFont="1" applyFill="1" applyBorder="1"/>
    <xf numFmtId="8" fontId="13" fillId="5" borderId="1" xfId="0" applyNumberFormat="1" applyFont="1" applyFill="1" applyBorder="1" applyAlignment="1">
      <alignment horizontal="right"/>
    </xf>
    <xf numFmtId="8" fontId="13" fillId="2" borderId="1" xfId="0" applyNumberFormat="1" applyFont="1" applyFill="1" applyBorder="1" applyAlignment="1">
      <alignment horizontal="right"/>
    </xf>
    <xf numFmtId="165" fontId="13" fillId="5" borderId="1" xfId="0" applyNumberFormat="1" applyFont="1" applyFill="1" applyBorder="1" applyAlignment="1">
      <alignment horizontal="right"/>
    </xf>
    <xf numFmtId="167" fontId="19" fillId="2" borderId="6" xfId="0" applyNumberFormat="1" applyFont="1" applyFill="1" applyBorder="1"/>
    <xf numFmtId="0" fontId="13" fillId="5" borderId="1" xfId="0" applyFont="1" applyFill="1" applyBorder="1" applyAlignment="1">
      <alignment horizontal="right"/>
    </xf>
    <xf numFmtId="0" fontId="11" fillId="3" borderId="1" xfId="0" applyFont="1" applyFill="1" applyBorder="1"/>
    <xf numFmtId="0" fontId="11" fillId="3" borderId="1" xfId="0" applyFont="1" applyFill="1" applyBorder="1" applyAlignment="1">
      <alignment horizontal="right"/>
    </xf>
    <xf numFmtId="0" fontId="21" fillId="2" borderId="6" xfId="0" applyFont="1" applyFill="1" applyBorder="1"/>
    <xf numFmtId="0" fontId="22" fillId="2" borderId="1" xfId="0" applyFont="1" applyFill="1" applyBorder="1" applyAlignment="1">
      <alignment horizontal="center"/>
    </xf>
    <xf numFmtId="0" fontId="1" fillId="5" borderId="1" xfId="0" applyFont="1" applyFill="1" applyBorder="1"/>
    <xf numFmtId="0" fontId="22" fillId="5" borderId="1" xfId="0" applyFont="1" applyFill="1" applyBorder="1" applyAlignment="1">
      <alignment horizontal="center"/>
    </xf>
    <xf numFmtId="0" fontId="1" fillId="5" borderId="5" xfId="0" applyFont="1" applyFill="1" applyBorder="1"/>
    <xf numFmtId="0" fontId="22" fillId="5" borderId="5" xfId="0" applyFont="1" applyFill="1" applyBorder="1" applyAlignment="1">
      <alignment horizontal="center"/>
    </xf>
    <xf numFmtId="9" fontId="15" fillId="5" borderId="5" xfId="0" applyNumberFormat="1" applyFont="1" applyFill="1" applyBorder="1" applyAlignment="1">
      <alignment horizontal="center"/>
    </xf>
    <xf numFmtId="0" fontId="1" fillId="5" borderId="5" xfId="0" applyFont="1" applyFill="1" applyBorder="1" applyAlignment="1">
      <alignment horizontal="center"/>
    </xf>
    <xf numFmtId="0" fontId="15" fillId="2" borderId="1" xfId="0" applyFont="1" applyFill="1" applyBorder="1"/>
    <xf numFmtId="0" fontId="17" fillId="2" borderId="1" xfId="0" applyFont="1" applyFill="1" applyBorder="1" applyAlignment="1">
      <alignment horizontal="center"/>
    </xf>
    <xf numFmtId="0" fontId="14" fillId="2" borderId="1" xfId="0" applyFont="1" applyFill="1" applyBorder="1" applyAlignment="1">
      <alignment horizontal="center"/>
    </xf>
    <xf numFmtId="0" fontId="15" fillId="2" borderId="1" xfId="0" applyFont="1" applyFill="1" applyBorder="1" applyAlignment="1">
      <alignment horizontal="center"/>
    </xf>
    <xf numFmtId="9" fontId="1" fillId="2" borderId="1" xfId="0" applyNumberFormat="1" applyFont="1" applyFill="1" applyBorder="1" applyAlignment="1">
      <alignment horizontal="center"/>
    </xf>
    <xf numFmtId="0" fontId="23" fillId="2" borderId="1" xfId="0" applyFont="1" applyFill="1" applyBorder="1" applyAlignment="1">
      <alignment horizontal="center"/>
    </xf>
    <xf numFmtId="0" fontId="15" fillId="5" borderId="1" xfId="0" applyFont="1" applyFill="1" applyBorder="1"/>
    <xf numFmtId="0" fontId="17" fillId="5" borderId="1" xfId="0" applyFont="1" applyFill="1" applyBorder="1" applyAlignment="1">
      <alignment horizontal="center"/>
    </xf>
    <xf numFmtId="0" fontId="14" fillId="5" borderId="1" xfId="0" applyFont="1" applyFill="1" applyBorder="1" applyAlignment="1">
      <alignment horizontal="center"/>
    </xf>
    <xf numFmtId="0" fontId="15" fillId="5" borderId="1" xfId="0" applyFont="1" applyFill="1" applyBorder="1" applyAlignment="1">
      <alignment horizontal="center"/>
    </xf>
    <xf numFmtId="9" fontId="1" fillId="5" borderId="1" xfId="0" applyNumberFormat="1" applyFont="1" applyFill="1" applyBorder="1" applyAlignment="1">
      <alignment horizontal="center"/>
    </xf>
    <xf numFmtId="0" fontId="24" fillId="5" borderId="1" xfId="0" applyFont="1" applyFill="1" applyBorder="1" applyAlignment="1">
      <alignment horizontal="center"/>
    </xf>
    <xf numFmtId="0" fontId="25" fillId="2" borderId="1" xfId="0" applyFont="1" applyFill="1" applyBorder="1"/>
    <xf numFmtId="0" fontId="26" fillId="2" borderId="1" xfId="0" applyFont="1" applyFill="1" applyBorder="1" applyAlignment="1">
      <alignment horizontal="center"/>
    </xf>
    <xf numFmtId="0" fontId="14" fillId="5" borderId="1" xfId="0" applyFont="1" applyFill="1" applyBorder="1"/>
    <xf numFmtId="0" fontId="27" fillId="5" borderId="1" xfId="0" applyFont="1" applyFill="1" applyBorder="1" applyAlignment="1">
      <alignment horizontal="center"/>
    </xf>
    <xf numFmtId="0" fontId="28" fillId="2" borderId="1" xfId="0" applyFont="1" applyFill="1" applyBorder="1"/>
    <xf numFmtId="0" fontId="20" fillId="2" borderId="1" xfId="0" applyFont="1" applyFill="1" applyBorder="1" applyAlignment="1">
      <alignment horizontal="center"/>
    </xf>
    <xf numFmtId="9" fontId="11" fillId="3" borderId="1" xfId="0" applyNumberFormat="1" applyFont="1" applyFill="1" applyBorder="1" applyAlignment="1">
      <alignment horizontal="center"/>
    </xf>
    <xf numFmtId="0" fontId="1" fillId="2" borderId="7" xfId="0" applyFont="1" applyFill="1" applyBorder="1"/>
    <xf numFmtId="0" fontId="5" fillId="4" borderId="2" xfId="0" applyFont="1" applyFill="1" applyBorder="1" applyAlignment="1">
      <alignment horizontal="center"/>
    </xf>
    <xf numFmtId="0" fontId="3" fillId="0" borderId="3" xfId="0" applyFont="1" applyBorder="1"/>
    <xf numFmtId="0" fontId="6" fillId="4" borderId="2" xfId="0" applyFont="1" applyFill="1" applyBorder="1" applyAlignment="1">
      <alignment horizontal="center" vertical="center"/>
    </xf>
    <xf numFmtId="0" fontId="7" fillId="4" borderId="2" xfId="0" applyFont="1" applyFill="1" applyBorder="1" applyAlignment="1">
      <alignment horizontal="center" vertical="center"/>
    </xf>
    <xf numFmtId="0" fontId="9" fillId="4" borderId="2" xfId="0" applyFont="1" applyFill="1" applyBorder="1" applyAlignment="1">
      <alignment horizontal="center" vertical="top"/>
    </xf>
    <xf numFmtId="0" fontId="8" fillId="3" borderId="2" xfId="0" applyFont="1" applyFill="1" applyBorder="1" applyAlignment="1">
      <alignment horizontal="center" vertical="top"/>
    </xf>
    <xf numFmtId="0" fontId="2" fillId="3" borderId="2" xfId="0" applyFont="1" applyFill="1" applyBorder="1" applyAlignment="1">
      <alignment horizontal="center" vertical="center"/>
    </xf>
    <xf numFmtId="0" fontId="4" fillId="3" borderId="2" xfId="0" applyFont="1" applyFill="1" applyBorder="1" applyAlignment="1">
      <alignment horizontal="center"/>
    </xf>
    <xf numFmtId="0" fontId="6" fillId="3" borderId="2" xfId="0" applyFont="1" applyFill="1" applyBorder="1" applyAlignment="1">
      <alignment horizontal="center" vertical="center"/>
    </xf>
    <xf numFmtId="0" fontId="29" fillId="2" borderId="2" xfId="0" applyFont="1" applyFill="1" applyBorder="1" applyAlignment="1">
      <alignment horizontal="center"/>
    </xf>
    <xf numFmtId="0" fontId="30" fillId="6" borderId="8" xfId="0" applyFont="1" applyFill="1" applyBorder="1" applyAlignment="1">
      <alignment horizontal="center" vertical="center" wrapText="1"/>
    </xf>
    <xf numFmtId="0" fontId="31" fillId="0" borderId="0" xfId="0" applyFont="1" applyAlignment="1">
      <alignment horizontal="center" vertical="center" wrapText="1"/>
    </xf>
    <xf numFmtId="14" fontId="32" fillId="2" borderId="8" xfId="0" applyNumberFormat="1" applyFont="1" applyFill="1" applyBorder="1" applyAlignment="1">
      <alignment horizontal="center" vertical="center" wrapText="1"/>
    </xf>
    <xf numFmtId="0" fontId="32" fillId="2" borderId="8" xfId="0" applyFont="1" applyFill="1" applyBorder="1" applyAlignment="1">
      <alignment horizontal="center" vertical="center" wrapText="1"/>
    </xf>
    <xf numFmtId="168" fontId="31" fillId="2" borderId="8" xfId="0" applyNumberFormat="1" applyFont="1" applyFill="1" applyBorder="1" applyAlignment="1">
      <alignment horizontal="center" vertical="center" wrapText="1" readingOrder="1"/>
    </xf>
    <xf numFmtId="0" fontId="31" fillId="2" borderId="8" xfId="0" applyFont="1" applyFill="1" applyBorder="1" applyAlignment="1">
      <alignment horizontal="center" vertical="center" wrapText="1"/>
    </xf>
    <xf numFmtId="0" fontId="32" fillId="0" borderId="8" xfId="0" applyFont="1" applyBorder="1" applyAlignment="1">
      <alignment horizontal="center" vertical="center" wrapText="1"/>
    </xf>
    <xf numFmtId="166" fontId="32" fillId="2" borderId="8" xfId="0" applyNumberFormat="1" applyFont="1" applyFill="1" applyBorder="1" applyAlignment="1">
      <alignment horizontal="center" vertical="center" wrapText="1"/>
    </xf>
    <xf numFmtId="168" fontId="31" fillId="0" borderId="8" xfId="0" applyNumberFormat="1" applyFont="1" applyBorder="1" applyAlignment="1">
      <alignment horizontal="center" vertical="center" wrapText="1" readingOrder="1"/>
    </xf>
    <xf numFmtId="0" fontId="31" fillId="0" borderId="8" xfId="0" applyFont="1" applyBorder="1" applyAlignment="1">
      <alignment horizontal="center" vertical="center" wrapText="1"/>
    </xf>
    <xf numFmtId="8" fontId="31" fillId="0" borderId="8" xfId="0" applyNumberFormat="1" applyFont="1" applyBorder="1" applyAlignment="1">
      <alignment horizontal="center" vertical="center" wrapText="1"/>
    </xf>
    <xf numFmtId="166" fontId="32" fillId="0" borderId="8" xfId="0" applyNumberFormat="1" applyFont="1" applyBorder="1" applyAlignment="1">
      <alignment horizontal="center" vertical="center" wrapText="1"/>
    </xf>
    <xf numFmtId="8" fontId="32" fillId="0" borderId="8" xfId="0" applyNumberFormat="1" applyFont="1" applyBorder="1" applyAlignment="1">
      <alignment horizontal="center" vertical="center" wrapText="1"/>
    </xf>
    <xf numFmtId="165" fontId="32" fillId="0" borderId="8" xfId="0" applyNumberFormat="1" applyFont="1" applyBorder="1" applyAlignment="1">
      <alignment horizontal="center" vertical="center" wrapText="1"/>
    </xf>
    <xf numFmtId="168" fontId="32" fillId="2" borderId="8" xfId="0" applyNumberFormat="1" applyFont="1" applyFill="1" applyBorder="1" applyAlignment="1">
      <alignment horizontal="center" vertical="center" wrapText="1"/>
    </xf>
    <xf numFmtId="168" fontId="32" fillId="2" borderId="8" xfId="0" applyNumberFormat="1" applyFont="1" applyFill="1" applyBorder="1" applyAlignment="1">
      <alignment horizontal="center" vertical="center" wrapText="1" readingOrder="1"/>
    </xf>
    <xf numFmtId="166" fontId="32" fillId="2" borderId="8" xfId="0" applyNumberFormat="1" applyFont="1" applyFill="1" applyBorder="1" applyAlignment="1">
      <alignment horizontal="center" vertical="center" wrapText="1" readingOrder="1"/>
    </xf>
    <xf numFmtId="8" fontId="31" fillId="2" borderId="8" xfId="0" applyNumberFormat="1" applyFont="1" applyFill="1" applyBorder="1" applyAlignment="1">
      <alignment horizontal="center" vertical="center" wrapText="1"/>
    </xf>
    <xf numFmtId="166" fontId="31" fillId="2" borderId="8" xfId="0" applyNumberFormat="1" applyFont="1" applyFill="1" applyBorder="1" applyAlignment="1">
      <alignment horizontal="center" vertical="center" wrapText="1"/>
    </xf>
    <xf numFmtId="14" fontId="31" fillId="2" borderId="9" xfId="0" applyNumberFormat="1" applyFont="1" applyFill="1" applyBorder="1" applyAlignment="1">
      <alignment horizontal="center" vertical="center" wrapText="1"/>
    </xf>
    <xf numFmtId="0" fontId="32" fillId="2" borderId="10" xfId="0" applyFont="1" applyFill="1" applyBorder="1" applyAlignment="1">
      <alignment horizontal="center" vertical="center" wrapText="1"/>
    </xf>
    <xf numFmtId="168" fontId="32" fillId="2" borderId="10" xfId="0" applyNumberFormat="1" applyFont="1" applyFill="1" applyBorder="1" applyAlignment="1">
      <alignment horizontal="center" vertical="center" wrapText="1"/>
    </xf>
    <xf numFmtId="168" fontId="31" fillId="2" borderId="10" xfId="0" applyNumberFormat="1" applyFont="1" applyFill="1" applyBorder="1" applyAlignment="1">
      <alignment horizontal="center" vertical="center" wrapText="1" readingOrder="1"/>
    </xf>
    <xf numFmtId="0" fontId="31" fillId="2" borderId="10" xfId="0" applyFont="1" applyFill="1" applyBorder="1" applyAlignment="1">
      <alignment horizontal="center" vertical="center" wrapText="1"/>
    </xf>
    <xf numFmtId="166" fontId="32" fillId="2" borderId="10" xfId="0" applyNumberFormat="1" applyFont="1" applyFill="1" applyBorder="1" applyAlignment="1">
      <alignment horizontal="center" vertical="center" wrapText="1"/>
    </xf>
    <xf numFmtId="14" fontId="31" fillId="2" borderId="8" xfId="0" applyNumberFormat="1" applyFont="1" applyFill="1" applyBorder="1" applyAlignment="1">
      <alignment horizontal="center" vertical="center" wrapText="1"/>
    </xf>
    <xf numFmtId="14" fontId="31" fillId="2" borderId="11" xfId="0" applyNumberFormat="1" applyFont="1" applyFill="1" applyBorder="1" applyAlignment="1">
      <alignment horizontal="center" vertical="center" wrapText="1"/>
    </xf>
    <xf numFmtId="166" fontId="31" fillId="2" borderId="8" xfId="0" applyNumberFormat="1" applyFont="1" applyFill="1" applyBorder="1" applyAlignment="1">
      <alignment horizontal="center" vertical="center" wrapText="1" readingOrder="1"/>
    </xf>
    <xf numFmtId="14" fontId="31" fillId="0" borderId="8" xfId="0" applyNumberFormat="1" applyFont="1" applyBorder="1" applyAlignment="1">
      <alignment horizontal="center" vertical="center" wrapText="1"/>
    </xf>
    <xf numFmtId="0" fontId="32" fillId="0" borderId="12" xfId="0" applyFont="1" applyBorder="1" applyAlignment="1">
      <alignment horizontal="center" vertical="center" wrapText="1"/>
    </xf>
    <xf numFmtId="166" fontId="32" fillId="7" borderId="8" xfId="0" applyNumberFormat="1" applyFont="1" applyFill="1" applyBorder="1" applyAlignment="1">
      <alignment horizontal="center" vertical="center" wrapText="1"/>
    </xf>
    <xf numFmtId="4" fontId="31" fillId="2" borderId="8" xfId="0" applyNumberFormat="1" applyFont="1" applyFill="1" applyBorder="1" applyAlignment="1">
      <alignment horizontal="center" vertical="center" wrapText="1"/>
    </xf>
    <xf numFmtId="0" fontId="32" fillId="2" borderId="13" xfId="0" applyFont="1" applyFill="1" applyBorder="1" applyAlignment="1">
      <alignment horizontal="center" vertical="center" wrapText="1"/>
    </xf>
    <xf numFmtId="165" fontId="32" fillId="2" borderId="8" xfId="0" applyNumberFormat="1" applyFont="1" applyFill="1" applyBorder="1" applyAlignment="1">
      <alignment horizontal="center" vertical="center" wrapText="1"/>
    </xf>
    <xf numFmtId="0" fontId="32" fillId="2" borderId="1" xfId="0" applyFont="1" applyFill="1" applyBorder="1" applyAlignment="1">
      <alignment horizontal="center" vertical="center" wrapText="1"/>
    </xf>
    <xf numFmtId="4" fontId="32" fillId="2" borderId="8" xfId="0" applyNumberFormat="1" applyFont="1" applyFill="1" applyBorder="1" applyAlignment="1">
      <alignment horizontal="center" vertical="center" wrapText="1"/>
    </xf>
    <xf numFmtId="165" fontId="31" fillId="2" borderId="8" xfId="0" applyNumberFormat="1" applyFont="1" applyFill="1" applyBorder="1" applyAlignment="1">
      <alignment horizontal="center" vertical="center" wrapText="1"/>
    </xf>
    <xf numFmtId="165" fontId="31" fillId="0" borderId="8" xfId="0" applyNumberFormat="1" applyFont="1" applyBorder="1" applyAlignment="1">
      <alignment horizontal="center" vertical="center" wrapText="1"/>
    </xf>
    <xf numFmtId="166" fontId="31" fillId="0" borderId="8" xfId="0" applyNumberFormat="1" applyFont="1" applyBorder="1" applyAlignment="1">
      <alignment horizontal="center" vertical="center" wrapText="1"/>
    </xf>
    <xf numFmtId="168" fontId="31" fillId="0" borderId="8" xfId="0" applyNumberFormat="1" applyFont="1" applyBorder="1" applyAlignment="1">
      <alignment horizontal="center" vertical="center" wrapText="1"/>
    </xf>
    <xf numFmtId="0" fontId="30" fillId="0" borderId="8" xfId="0" applyFont="1" applyBorder="1" applyAlignment="1">
      <alignment horizontal="center" vertical="center" wrapText="1"/>
    </xf>
    <xf numFmtId="14" fontId="32" fillId="0" borderId="8" xfId="0" applyNumberFormat="1" applyFont="1" applyBorder="1" applyAlignment="1">
      <alignment horizontal="center" vertical="center" wrapText="1"/>
    </xf>
    <xf numFmtId="168" fontId="32" fillId="0" borderId="8" xfId="0" applyNumberFormat="1" applyFont="1" applyBorder="1" applyAlignment="1">
      <alignment horizontal="center" vertical="center" wrapText="1"/>
    </xf>
    <xf numFmtId="0" fontId="33" fillId="0" borderId="0" xfId="0" applyFont="1" applyAlignment="1">
      <alignment horizontal="center" vertical="center" wrapText="1"/>
    </xf>
    <xf numFmtId="0" fontId="34" fillId="0" borderId="8" xfId="0" applyFont="1" applyBorder="1" applyAlignment="1">
      <alignment horizontal="center" vertical="center" wrapText="1"/>
    </xf>
    <xf numFmtId="14" fontId="31" fillId="7" borderId="8" xfId="0" applyNumberFormat="1" applyFont="1" applyFill="1" applyBorder="1" applyAlignment="1">
      <alignment horizontal="center" vertical="center" wrapText="1"/>
    </xf>
    <xf numFmtId="0" fontId="31" fillId="7" borderId="8" xfId="0" applyFont="1" applyFill="1" applyBorder="1" applyAlignment="1">
      <alignment horizontal="center" vertical="center" wrapText="1"/>
    </xf>
    <xf numFmtId="168" fontId="31" fillId="7" borderId="8" xfId="0" applyNumberFormat="1" applyFont="1" applyFill="1" applyBorder="1" applyAlignment="1">
      <alignment horizontal="center" vertical="center" wrapText="1" readingOrder="1"/>
    </xf>
    <xf numFmtId="0" fontId="31" fillId="7" borderId="1" xfId="0" applyFont="1" applyFill="1" applyBorder="1" applyAlignment="1">
      <alignment horizontal="center" vertical="center" wrapText="1"/>
    </xf>
    <xf numFmtId="165" fontId="31" fillId="7" borderId="8" xfId="0" applyNumberFormat="1" applyFont="1" applyFill="1" applyBorder="1" applyAlignment="1">
      <alignment horizontal="center" vertical="center" wrapText="1"/>
    </xf>
    <xf numFmtId="166" fontId="31" fillId="7" borderId="8" xfId="0" applyNumberFormat="1" applyFont="1" applyFill="1" applyBorder="1" applyAlignment="1">
      <alignment horizontal="center" vertical="center" wrapText="1"/>
    </xf>
    <xf numFmtId="14" fontId="32" fillId="7" borderId="8" xfId="0" applyNumberFormat="1" applyFont="1" applyFill="1" applyBorder="1" applyAlignment="1">
      <alignment horizontal="center" vertical="center" wrapText="1"/>
    </xf>
    <xf numFmtId="0" fontId="32" fillId="7" borderId="8" xfId="0" applyFont="1" applyFill="1" applyBorder="1" applyAlignment="1">
      <alignment horizontal="center" vertical="center" wrapText="1"/>
    </xf>
    <xf numFmtId="168" fontId="32" fillId="7" borderId="8" xfId="0" applyNumberFormat="1" applyFont="1" applyFill="1" applyBorder="1" applyAlignment="1">
      <alignment horizontal="center" vertical="center" wrapText="1"/>
    </xf>
    <xf numFmtId="0" fontId="34" fillId="7" borderId="8" xfId="0" applyFont="1" applyFill="1" applyBorder="1" applyAlignment="1">
      <alignment horizontal="center" vertical="center" wrapText="1"/>
    </xf>
    <xf numFmtId="165" fontId="32" fillId="7" borderId="8" xfId="0" applyNumberFormat="1" applyFont="1" applyFill="1" applyBorder="1" applyAlignment="1">
      <alignment horizontal="center" vertical="center" wrapText="1"/>
    </xf>
    <xf numFmtId="4" fontId="32" fillId="7" borderId="8" xfId="0" applyNumberFormat="1" applyFont="1" applyFill="1" applyBorder="1" applyAlignment="1">
      <alignment horizontal="center" vertical="center" wrapText="1"/>
    </xf>
    <xf numFmtId="14" fontId="32" fillId="9" borderId="8" xfId="0" applyNumberFormat="1" applyFont="1" applyFill="1" applyBorder="1" applyAlignment="1">
      <alignment horizontal="center" vertical="center" wrapText="1"/>
    </xf>
    <xf numFmtId="0" fontId="32" fillId="9" borderId="8" xfId="0" applyFont="1" applyFill="1" applyBorder="1" applyAlignment="1">
      <alignment horizontal="center" vertical="center" wrapText="1"/>
    </xf>
    <xf numFmtId="0" fontId="31" fillId="9" borderId="8" xfId="0" applyFont="1" applyFill="1" applyBorder="1" applyAlignment="1">
      <alignment horizontal="center" vertical="center" wrapText="1"/>
    </xf>
    <xf numFmtId="165" fontId="32" fillId="9" borderId="8" xfId="0" applyNumberFormat="1" applyFont="1" applyFill="1" applyBorder="1" applyAlignment="1">
      <alignment horizontal="center" vertical="center" wrapText="1"/>
    </xf>
    <xf numFmtId="4" fontId="32" fillId="9" borderId="8" xfId="0" applyNumberFormat="1" applyFont="1" applyFill="1" applyBorder="1" applyAlignment="1">
      <alignment horizontal="center" vertical="center" wrapText="1"/>
    </xf>
    <xf numFmtId="165" fontId="31" fillId="9" borderId="8" xfId="0" applyNumberFormat="1" applyFont="1" applyFill="1" applyBorder="1" applyAlignment="1">
      <alignment horizontal="center" vertical="center" wrapText="1"/>
    </xf>
    <xf numFmtId="166" fontId="31" fillId="9" borderId="8" xfId="0" applyNumberFormat="1" applyFont="1" applyFill="1" applyBorder="1" applyAlignment="1">
      <alignment horizontal="center" vertical="center" wrapText="1"/>
    </xf>
    <xf numFmtId="164" fontId="31" fillId="2" borderId="8" xfId="0" applyNumberFormat="1" applyFont="1" applyFill="1" applyBorder="1" applyAlignment="1">
      <alignment horizontal="center" vertical="center" wrapText="1"/>
    </xf>
    <xf numFmtId="168" fontId="31" fillId="2" borderId="8" xfId="0" applyNumberFormat="1" applyFont="1" applyFill="1" applyBorder="1" applyAlignment="1">
      <alignment horizontal="center" vertical="center" wrapText="1"/>
    </xf>
    <xf numFmtId="164" fontId="31" fillId="2" borderId="8" xfId="0" applyNumberFormat="1" applyFont="1" applyFill="1" applyBorder="1" applyAlignment="1">
      <alignment horizontal="center" vertical="center" wrapText="1" readingOrder="1"/>
    </xf>
    <xf numFmtId="0" fontId="34" fillId="2" borderId="8" xfId="0" applyFont="1" applyFill="1" applyBorder="1" applyAlignment="1">
      <alignment horizontal="center" vertical="center" wrapText="1"/>
    </xf>
    <xf numFmtId="164" fontId="32" fillId="2" borderId="8" xfId="0" applyNumberFormat="1" applyFont="1" applyFill="1" applyBorder="1" applyAlignment="1">
      <alignment horizontal="center" vertical="center" wrapText="1"/>
    </xf>
    <xf numFmtId="0" fontId="30" fillId="0" borderId="14" xfId="0" applyFont="1" applyBorder="1" applyAlignment="1">
      <alignment horizontal="center" vertical="center"/>
    </xf>
    <xf numFmtId="0" fontId="31" fillId="0" borderId="14" xfId="0" applyFont="1" applyBorder="1" applyAlignment="1">
      <alignment horizontal="center" vertical="center"/>
    </xf>
    <xf numFmtId="0" fontId="31" fillId="0" borderId="14" xfId="0" applyFont="1" applyBorder="1" applyAlignment="1">
      <alignment horizontal="center" vertical="center"/>
    </xf>
    <xf numFmtId="0" fontId="35" fillId="8" borderId="14" xfId="0" applyFont="1" applyFill="1" applyBorder="1" applyAlignment="1">
      <alignment horizontal="center" vertical="center"/>
    </xf>
    <xf numFmtId="0" fontId="35" fillId="8" borderId="14" xfId="0" applyFont="1" applyFill="1" applyBorder="1" applyAlignment="1">
      <alignment horizontal="center" vertical="center" wrapText="1"/>
    </xf>
    <xf numFmtId="0" fontId="31" fillId="0" borderId="14" xfId="0" applyFont="1" applyBorder="1" applyAlignment="1">
      <alignment horizontal="center" vertical="center" wrapText="1"/>
    </xf>
    <xf numFmtId="0" fontId="32" fillId="7" borderId="14" xfId="0" applyFont="1" applyFill="1" applyBorder="1" applyAlignment="1">
      <alignment horizontal="center" vertical="center" wrapText="1"/>
    </xf>
    <xf numFmtId="14" fontId="30" fillId="6" borderId="8" xfId="0" applyNumberFormat="1" applyFont="1" applyFill="1" applyBorder="1" applyAlignment="1">
      <alignment horizontal="center" vertical="center" wrapText="1"/>
    </xf>
    <xf numFmtId="165" fontId="30" fillId="6" borderId="8" xfId="0" applyNumberFormat="1" applyFont="1" applyFill="1" applyBorder="1" applyAlignment="1">
      <alignment horizontal="center" vertical="center" wrapText="1"/>
    </xf>
    <xf numFmtId="0" fontId="1" fillId="2" borderId="3" xfId="0" applyFont="1" applyFill="1" applyBorder="1"/>
    <xf numFmtId="0" fontId="12" fillId="10" borderId="3" xfId="0" applyFont="1" applyFill="1" applyBorder="1" applyAlignment="1">
      <alignment horizontal="center"/>
    </xf>
    <xf numFmtId="0" fontId="13" fillId="10" borderId="3" xfId="0" applyFont="1" applyFill="1" applyBorder="1"/>
    <xf numFmtId="0" fontId="13" fillId="10" borderId="3" xfId="0" applyFont="1" applyFill="1" applyBorder="1" applyAlignment="1">
      <alignment horizontal="center"/>
    </xf>
    <xf numFmtId="0" fontId="12" fillId="11" borderId="3" xfId="0" applyFont="1" applyFill="1" applyBorder="1" applyAlignment="1">
      <alignment horizontal="center"/>
    </xf>
    <xf numFmtId="0" fontId="13" fillId="11" borderId="3" xfId="0" applyFont="1" applyFill="1" applyBorder="1"/>
    <xf numFmtId="0" fontId="13" fillId="11" borderId="3" xfId="0" applyFont="1" applyFill="1" applyBorder="1" applyAlignment="1">
      <alignment horizontal="center"/>
    </xf>
    <xf numFmtId="0" fontId="30" fillId="7" borderId="8" xfId="0" applyFont="1" applyFill="1" applyBorder="1" applyAlignment="1">
      <alignment horizontal="center" vertical="center" wrapText="1"/>
    </xf>
    <xf numFmtId="164" fontId="31" fillId="7" borderId="8" xfId="0" applyNumberFormat="1" applyFont="1" applyFill="1" applyBorder="1" applyAlignment="1">
      <alignment horizontal="center" vertical="center" wrapText="1"/>
    </xf>
    <xf numFmtId="0" fontId="31" fillId="12" borderId="0" xfId="0" applyFont="1" applyFill="1" applyAlignment="1">
      <alignment horizontal="center" vertical="center" wrapText="1"/>
    </xf>
    <xf numFmtId="164" fontId="32" fillId="7" borderId="8" xfId="0" applyNumberFormat="1" applyFont="1" applyFill="1" applyBorder="1" applyAlignment="1">
      <alignment horizontal="center" vertical="center" wrapText="1"/>
    </xf>
    <xf numFmtId="168" fontId="31" fillId="7" borderId="8" xfId="0" applyNumberFormat="1" applyFont="1" applyFill="1" applyBorder="1" applyAlignment="1">
      <alignment horizontal="center" vertical="center" wrapText="1"/>
    </xf>
    <xf numFmtId="8" fontId="31" fillId="7" borderId="8" xfId="0" applyNumberFormat="1" applyFont="1" applyFill="1" applyBorder="1" applyAlignment="1">
      <alignment horizontal="center" vertical="center" wrapText="1"/>
    </xf>
    <xf numFmtId="164" fontId="31" fillId="7" borderId="8" xfId="0" applyNumberFormat="1" applyFont="1" applyFill="1" applyBorder="1" applyAlignment="1">
      <alignment horizontal="center" vertical="center" wrapText="1" readingOrder="1"/>
    </xf>
    <xf numFmtId="165" fontId="31" fillId="7" borderId="8" xfId="0" applyNumberFormat="1" applyFont="1" applyFill="1" applyBorder="1" applyAlignment="1">
      <alignment horizontal="center" vertical="center" wrapText="1" readingOrder="1"/>
    </xf>
    <xf numFmtId="4" fontId="31" fillId="7" borderId="8" xfId="0" applyNumberFormat="1" applyFont="1" applyFill="1" applyBorder="1" applyAlignment="1">
      <alignment horizontal="center" vertical="center" wrapText="1"/>
    </xf>
    <xf numFmtId="14" fontId="32" fillId="12" borderId="8" xfId="0" applyNumberFormat="1" applyFont="1" applyFill="1" applyBorder="1" applyAlignment="1">
      <alignment horizontal="center" vertical="center" wrapText="1"/>
    </xf>
    <xf numFmtId="0" fontId="32" fillId="12" borderId="8" xfId="0" applyFont="1" applyFill="1" applyBorder="1" applyAlignment="1">
      <alignment horizontal="center" vertical="center" wrapText="1"/>
    </xf>
    <xf numFmtId="165" fontId="32" fillId="12" borderId="8" xfId="0" applyNumberFormat="1" applyFont="1" applyFill="1" applyBorder="1" applyAlignment="1">
      <alignment horizontal="center" vertical="center" wrapText="1"/>
    </xf>
  </cellXfs>
  <cellStyles count="1">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customschemas.google.com/relationships/workbookmetadata" Target="metadata"/><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a:lstStyle/>
          <a:p>
            <a:pPr lvl="0">
              <a:defRPr sz="1000" b="1" i="0">
                <a:solidFill>
                  <a:srgbClr val="1C2140"/>
                </a:solidFill>
                <a:latin typeface="+mn-lt"/>
              </a:defRPr>
            </a:pPr>
            <a:r>
              <a:rPr lang="pt-BR" sz="1000" b="1" i="0">
                <a:solidFill>
                  <a:srgbClr val="1C2140"/>
                </a:solidFill>
                <a:latin typeface="+mn-lt"/>
              </a:rPr>
              <a:t>Decisões Favoráveis vs Desfavoráveis por Instância</a:t>
            </a:r>
          </a:p>
        </c:rich>
      </c:tx>
      <c:overlay val="0"/>
    </c:title>
    <c:autoTitleDeleted val="0"/>
    <c:plotArea>
      <c:layout/>
      <c:barChart>
        <c:barDir val="bar"/>
        <c:grouping val="clustered"/>
        <c:varyColors val="1"/>
        <c:ser>
          <c:idx val="0"/>
          <c:order val="0"/>
          <c:tx>
            <c:v>FAVORÁVEL</c:v>
          </c:tx>
          <c:spPr>
            <a:solidFill>
              <a:srgbClr val="27AE60"/>
            </a:solidFill>
            <a:ln cmpd="sng">
              <a:solidFill>
                <a:srgbClr val="000000"/>
              </a:solidFill>
            </a:ln>
          </c:spPr>
          <c:invertIfNegative val="1"/>
          <c:cat>
            <c:strRef>
              <c:f>DASHBOARD!$B$52:$B$53</c:f>
              <c:strCache>
                <c:ptCount val="2"/>
                <c:pt idx="0">
                  <c:v>1º Grau</c:v>
                </c:pt>
                <c:pt idx="1">
                  <c:v>2º Grau</c:v>
                </c:pt>
              </c:strCache>
            </c:strRef>
          </c:cat>
          <c:val>
            <c:numRef>
              <c:f>DASHBOARD!$C$52:$C$53</c:f>
              <c:numCache>
                <c:formatCode>General</c:formatCode>
                <c:ptCount val="2"/>
                <c:pt idx="0">
                  <c:v>30</c:v>
                </c:pt>
                <c:pt idx="1">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001-4C2B-BB04-C74EFF6B2D3B}"/>
            </c:ext>
          </c:extLst>
        </c:ser>
        <c:ser>
          <c:idx val="1"/>
          <c:order val="1"/>
          <c:tx>
            <c:v>DESFAVORÁVEL</c:v>
          </c:tx>
          <c:spPr>
            <a:solidFill>
              <a:srgbClr val="C0392B"/>
            </a:solidFill>
            <a:ln cmpd="sng">
              <a:solidFill>
                <a:srgbClr val="000000"/>
              </a:solidFill>
            </a:ln>
          </c:spPr>
          <c:invertIfNegative val="1"/>
          <c:cat>
            <c:strRef>
              <c:f>DASHBOARD!$B$52:$B$53</c:f>
              <c:strCache>
                <c:ptCount val="2"/>
                <c:pt idx="0">
                  <c:v>1º Grau</c:v>
                </c:pt>
                <c:pt idx="1">
                  <c:v>2º Grau</c:v>
                </c:pt>
              </c:strCache>
            </c:strRef>
          </c:cat>
          <c:val>
            <c:numRef>
              <c:f>DASHBOARD!$D$52:$D$53</c:f>
              <c:numCache>
                <c:formatCode>General</c:formatCode>
                <c:ptCount val="2"/>
                <c:pt idx="0">
                  <c:v>13</c:v>
                </c:pt>
                <c:pt idx="1">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6001-4C2B-BB04-C74EFF6B2D3B}"/>
            </c:ext>
          </c:extLst>
        </c:ser>
        <c:dLbls>
          <c:showLegendKey val="0"/>
          <c:showVal val="0"/>
          <c:showCatName val="0"/>
          <c:showSerName val="0"/>
          <c:showPercent val="0"/>
          <c:showBubbleSize val="0"/>
        </c:dLbls>
        <c:gapWidth val="150"/>
        <c:axId val="1423431920"/>
        <c:axId val="877867965"/>
      </c:barChart>
      <c:catAx>
        <c:axId val="1423431920"/>
        <c:scaling>
          <c:orientation val="maxMin"/>
        </c:scaling>
        <c:delete val="0"/>
        <c:axPos val="l"/>
        <c:title>
          <c:tx>
            <c:rich>
              <a:bodyPr/>
              <a:lstStyle/>
              <a:p>
                <a:pPr lvl="0">
                  <a:defRPr b="0">
                    <a:solidFill>
                      <a:srgbClr val="000000"/>
                    </a:solidFill>
                    <a:latin typeface="+mn-lt"/>
                  </a:defRPr>
                </a:pPr>
                <a:endParaRPr lang="pt-B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pt-BR"/>
          </a:p>
        </c:txPr>
        <c:crossAx val="877867965"/>
        <c:crosses val="autoZero"/>
        <c:auto val="1"/>
        <c:lblAlgn val="ctr"/>
        <c:lblOffset val="100"/>
        <c:noMultiLvlLbl val="1"/>
      </c:catAx>
      <c:valAx>
        <c:axId val="877867965"/>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pt-B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pt-BR"/>
          </a:p>
        </c:txPr>
        <c:crossAx val="1423431920"/>
        <c:crosses val="max"/>
        <c:crossBetween val="between"/>
      </c:valAx>
      <c:spPr>
        <a:solidFill>
          <a:srgbClr val="FFFFFF"/>
        </a:solidFill>
      </c:spPr>
    </c:plotArea>
    <c:legend>
      <c:legendPos val="b"/>
      <c:overlay val="0"/>
      <c:txPr>
        <a:bodyPr/>
        <a:lstStyle/>
        <a:p>
          <a:pPr lvl="0">
            <a:defRPr sz="800" b="0" i="0">
              <a:solidFill>
                <a:srgbClr val="1A1A1A"/>
              </a:solidFill>
              <a:latin typeface="+mn-lt"/>
            </a:defRPr>
          </a:pPr>
          <a:endParaRPr lang="pt-BR"/>
        </a:p>
      </c:txPr>
    </c:legend>
    <c:plotVisOnly val="1"/>
    <c:dispBlanksAs val="zero"/>
    <c:showDLblsOverMax val="1"/>
  </c:chart>
  <c:spPr>
    <a:solidFill>
      <a:srgbClr val="FFFFFF"/>
    </a:solidFill>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a:lstStyle/>
          <a:p>
            <a:pPr lvl="0">
              <a:defRPr sz="1000" b="1" i="0">
                <a:solidFill>
                  <a:srgbClr val="1C2140"/>
                </a:solidFill>
                <a:latin typeface="+mn-lt"/>
              </a:defRPr>
            </a:pPr>
            <a:r>
              <a:rPr lang="pt-BR" sz="1000" b="1" i="0">
                <a:solidFill>
                  <a:srgbClr val="1C2140"/>
                </a:solidFill>
                <a:latin typeface="+mn-lt"/>
              </a:rPr>
              <a:t>Evolução Processual — Distribuição por Status</a:t>
            </a:r>
          </a:p>
        </c:rich>
      </c:tx>
      <c:overlay val="0"/>
    </c:title>
    <c:autoTitleDeleted val="0"/>
    <c:plotArea>
      <c:layout/>
      <c:pieChart>
        <c:varyColors val="1"/>
        <c:ser>
          <c:idx val="0"/>
          <c:order val="0"/>
          <c:tx>
            <c:strRef>
              <c:f>DASHBOARD!$J$51</c:f>
              <c:strCache>
                <c:ptCount val="1"/>
                <c:pt idx="0">
                  <c:v>QTD</c:v>
                </c:pt>
              </c:strCache>
            </c:strRef>
          </c:tx>
          <c:dPt>
            <c:idx val="0"/>
            <c:bubble3D val="0"/>
            <c:spPr>
              <a:solidFill>
                <a:srgbClr val="27AE60"/>
              </a:solidFill>
            </c:spPr>
            <c:extLst>
              <c:ext xmlns:c16="http://schemas.microsoft.com/office/drawing/2014/chart" uri="{C3380CC4-5D6E-409C-BE32-E72D297353CC}">
                <c16:uniqueId val="{00000001-5922-4C3E-905B-DCF648659D66}"/>
              </c:ext>
            </c:extLst>
          </c:dPt>
          <c:dPt>
            <c:idx val="1"/>
            <c:bubble3D val="0"/>
            <c:spPr>
              <a:solidFill>
                <a:srgbClr val="E67E22"/>
              </a:solidFill>
            </c:spPr>
            <c:extLst>
              <c:ext xmlns:c16="http://schemas.microsoft.com/office/drawing/2014/chart" uri="{C3380CC4-5D6E-409C-BE32-E72D297353CC}">
                <c16:uniqueId val="{00000003-5922-4C3E-905B-DCF648659D66}"/>
              </c:ext>
            </c:extLst>
          </c:dPt>
          <c:dPt>
            <c:idx val="2"/>
            <c:bubble3D val="0"/>
            <c:spPr>
              <a:solidFill>
                <a:srgbClr val="2980B9"/>
              </a:solidFill>
            </c:spPr>
            <c:extLst>
              <c:ext xmlns:c16="http://schemas.microsoft.com/office/drawing/2014/chart" uri="{C3380CC4-5D6E-409C-BE32-E72D297353CC}">
                <c16:uniqueId val="{00000005-5922-4C3E-905B-DCF648659D66}"/>
              </c:ext>
            </c:extLst>
          </c:dPt>
          <c:dPt>
            <c:idx val="3"/>
            <c:bubble3D val="0"/>
            <c:spPr>
              <a:solidFill>
                <a:srgbClr val="C0392B"/>
              </a:solidFill>
            </c:spPr>
            <c:extLst>
              <c:ext xmlns:c16="http://schemas.microsoft.com/office/drawing/2014/chart" uri="{C3380CC4-5D6E-409C-BE32-E72D297353CC}">
                <c16:uniqueId val="{00000007-5922-4C3E-905B-DCF648659D66}"/>
              </c:ext>
            </c:extLst>
          </c:dPt>
          <c:dPt>
            <c:idx val="4"/>
            <c:bubble3D val="0"/>
            <c:spPr>
              <a:solidFill>
                <a:srgbClr val="999999"/>
              </a:solidFill>
            </c:spPr>
            <c:extLst>
              <c:ext xmlns:c16="http://schemas.microsoft.com/office/drawing/2014/chart" uri="{C3380CC4-5D6E-409C-BE32-E72D297353CC}">
                <c16:uniqueId val="{00000009-5922-4C3E-905B-DCF648659D66}"/>
              </c:ext>
            </c:extLst>
          </c:dPt>
          <c:cat>
            <c:strRef>
              <c:f>DASHBOARD!$I$52:$I$56</c:f>
              <c:strCache>
                <c:ptCount val="5"/>
                <c:pt idx="0">
                  <c:v>Improcedência</c:v>
                </c:pt>
                <c:pt idx="1">
                  <c:v>Acordo</c:v>
                </c:pt>
                <c:pt idx="2">
                  <c:v>Em Andamento</c:v>
                </c:pt>
                <c:pt idx="3">
                  <c:v>Condenação</c:v>
                </c:pt>
                <c:pt idx="4">
                  <c:v>Outros (Desist./Excl.)</c:v>
                </c:pt>
              </c:strCache>
            </c:strRef>
          </c:cat>
          <c:val>
            <c:numRef>
              <c:f>DASHBOARD!$J$52:$J$56</c:f>
              <c:numCache>
                <c:formatCode>General</c:formatCode>
                <c:ptCount val="5"/>
                <c:pt idx="0">
                  <c:v>4</c:v>
                </c:pt>
                <c:pt idx="1">
                  <c:v>43</c:v>
                </c:pt>
                <c:pt idx="2">
                  <c:v>61</c:v>
                </c:pt>
                <c:pt idx="3">
                  <c:v>5</c:v>
                </c:pt>
                <c:pt idx="4">
                  <c:v>63</c:v>
                </c:pt>
              </c:numCache>
            </c:numRef>
          </c:val>
          <c:extLst>
            <c:ext xmlns:c16="http://schemas.microsoft.com/office/drawing/2014/chart" uri="{C3380CC4-5D6E-409C-BE32-E72D297353CC}">
              <c16:uniqueId val="{0000000A-5922-4C3E-905B-DCF648659D66}"/>
            </c:ext>
          </c:extLst>
        </c:ser>
        <c:dLbls>
          <c:showLegendKey val="0"/>
          <c:showVal val="0"/>
          <c:showCatName val="0"/>
          <c:showSerName val="0"/>
          <c:showPercent val="0"/>
          <c:showBubbleSize val="0"/>
          <c:showLeaderLines val="1"/>
        </c:dLbls>
        <c:firstSliceAng val="0"/>
      </c:pieChart>
      <c:spPr>
        <a:solidFill>
          <a:srgbClr val="FFFFFF"/>
        </a:solidFill>
      </c:spPr>
    </c:plotArea>
    <c:legend>
      <c:legendPos val="b"/>
      <c:overlay val="0"/>
      <c:txPr>
        <a:bodyPr/>
        <a:lstStyle/>
        <a:p>
          <a:pPr lvl="0">
            <a:defRPr sz="800" b="0" i="0">
              <a:solidFill>
                <a:srgbClr val="1A1A1A"/>
              </a:solidFill>
              <a:latin typeface="+mn-lt"/>
            </a:defRPr>
          </a:pPr>
          <a:endParaRPr lang="pt-BR"/>
        </a:p>
      </c:txPr>
    </c:legend>
    <c:plotVisOnly val="1"/>
    <c:dispBlanksAs val="zero"/>
    <c:showDLblsOverMax val="1"/>
  </c:chart>
  <c:spPr>
    <a:solidFill>
      <a:srgbClr val="FFFFFF"/>
    </a:solidFill>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1</xdr:col>
      <xdr:colOff>0</xdr:colOff>
      <xdr:row>58</xdr:row>
      <xdr:rowOff>0</xdr:rowOff>
    </xdr:from>
    <xdr:ext cx="12277725" cy="2590800"/>
    <xdr:graphicFrame macro="">
      <xdr:nvGraphicFramePr>
        <xdr:cNvPr id="180488088" name="Chart 1">
          <a:extLst>
            <a:ext uri="{FF2B5EF4-FFF2-40B4-BE49-F238E27FC236}">
              <a16:creationId xmlns:a16="http://schemas.microsoft.com/office/drawing/2014/main" id="{00000000-0008-0000-0000-00009807C2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8</xdr:col>
      <xdr:colOff>0</xdr:colOff>
      <xdr:row>58</xdr:row>
      <xdr:rowOff>0</xdr:rowOff>
    </xdr:from>
    <xdr:ext cx="11287125" cy="2590800"/>
    <xdr:graphicFrame macro="">
      <xdr:nvGraphicFramePr>
        <xdr:cNvPr id="633438037" name="Chart 2">
          <a:extLst>
            <a:ext uri="{FF2B5EF4-FFF2-40B4-BE49-F238E27FC236}">
              <a16:creationId xmlns:a16="http://schemas.microsoft.com/office/drawing/2014/main" id="{00000000-0008-0000-0000-0000557FC1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295275</xdr:colOff>
      <xdr:row>0</xdr:row>
      <xdr:rowOff>114300</xdr:rowOff>
    </xdr:from>
    <xdr:ext cx="933450" cy="533400"/>
    <xdr:pic>
      <xdr:nvPicPr>
        <xdr:cNvPr id="2" name="image1.png" title="Imagem">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904875" cy="476250"/>
    <xdr:pic>
      <xdr:nvPicPr>
        <xdr:cNvPr id="2" name="image2.png" title="Imagem">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237A65F-DFD8-4B8D-8B45-F286AAEA6B1B}">
  <we:reference id="wa200009404" version="1.0.0.8" store="pt-BR" storeType="OMEX"/>
  <we:alternateReferences>
    <we:reference id="wa200009404" version="1.0.0.8" store="" storeType="OMEX"/>
  </we:alternateReferences>
  <we:properties>
    <we:property name="claude.fileId" value="&quot;353e8ba8-d532-4853-8a7c-91045e3dc52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04"/>
  <sheetViews>
    <sheetView showGridLines="0" tabSelected="1" zoomScale="70" zoomScaleNormal="70" workbookViewId="0"/>
  </sheetViews>
  <sheetFormatPr defaultColWidth="12.5703125" defaultRowHeight="15" customHeight="1"/>
  <cols>
    <col min="1" max="1" width="3.85546875" customWidth="1"/>
    <col min="2" max="2" width="63" customWidth="1"/>
    <col min="3" max="3" width="34.85546875" customWidth="1"/>
    <col min="4" max="4" width="23.5703125" customWidth="1"/>
    <col min="5" max="5" width="21.28515625" customWidth="1"/>
    <col min="6" max="6" width="18.42578125" customWidth="1"/>
    <col min="7" max="8" width="2.85546875" customWidth="1"/>
    <col min="9" max="9" width="42.28515625" customWidth="1"/>
    <col min="10" max="10" width="32.28515625" customWidth="1"/>
    <col min="11" max="11" width="36.5703125" customWidth="1"/>
    <col min="12" max="12" width="18" customWidth="1"/>
    <col min="13" max="13" width="19" customWidth="1"/>
    <col min="14" max="15" width="4" customWidth="1"/>
    <col min="16" max="17" width="24" customWidth="1"/>
    <col min="18" max="26" width="8.5703125" customWidth="1"/>
  </cols>
  <sheetData>
    <row r="1" spans="1:17" ht="9" customHeight="1">
      <c r="A1" s="1"/>
      <c r="B1" s="1"/>
      <c r="C1" s="1"/>
      <c r="D1" s="1"/>
      <c r="E1" s="1"/>
      <c r="F1" s="1"/>
      <c r="G1" s="1"/>
      <c r="H1" s="1"/>
      <c r="I1" s="1"/>
      <c r="J1" s="1"/>
      <c r="K1" s="1"/>
      <c r="L1" s="1"/>
      <c r="M1" s="1"/>
      <c r="N1" s="1"/>
      <c r="O1" s="1"/>
      <c r="P1" s="1"/>
      <c r="Q1" s="1"/>
    </row>
    <row r="2" spans="1:17" ht="45" customHeight="1">
      <c r="A2" s="1"/>
      <c r="B2" s="81" t="s">
        <v>0</v>
      </c>
      <c r="C2" s="76"/>
      <c r="D2" s="76"/>
      <c r="E2" s="76"/>
      <c r="F2" s="76"/>
      <c r="G2" s="76"/>
      <c r="H2" s="76"/>
      <c r="I2" s="76"/>
      <c r="J2" s="76"/>
      <c r="K2" s="76"/>
      <c r="L2" s="76"/>
      <c r="M2" s="76"/>
      <c r="N2" s="1"/>
      <c r="O2" s="1"/>
      <c r="P2" s="1"/>
      <c r="Q2" s="1"/>
    </row>
    <row r="3" spans="1:17" ht="4.5" customHeight="1">
      <c r="A3" s="1"/>
      <c r="B3" s="2"/>
      <c r="C3" s="2"/>
      <c r="D3" s="2"/>
      <c r="E3" s="2"/>
      <c r="F3" s="2"/>
      <c r="G3" s="2"/>
      <c r="H3" s="2"/>
      <c r="I3" s="2"/>
      <c r="J3" s="2"/>
      <c r="K3" s="2"/>
      <c r="L3" s="2"/>
      <c r="M3" s="2"/>
      <c r="N3" s="1"/>
      <c r="O3" s="1"/>
      <c r="P3" s="1"/>
      <c r="Q3" s="1"/>
    </row>
    <row r="4" spans="1:17" ht="12" customHeight="1">
      <c r="A4" s="1"/>
      <c r="B4" s="1"/>
      <c r="C4" s="1"/>
      <c r="D4" s="1"/>
      <c r="E4" s="1"/>
      <c r="F4" s="1"/>
      <c r="G4" s="1"/>
      <c r="H4" s="1"/>
      <c r="I4" s="1"/>
      <c r="J4" s="1"/>
      <c r="K4" s="1"/>
      <c r="L4" s="1"/>
      <c r="M4" s="1"/>
      <c r="N4" s="1"/>
      <c r="O4" s="1"/>
      <c r="P4" s="1"/>
      <c r="Q4" s="1"/>
    </row>
    <row r="5" spans="1:17" ht="15.75" customHeight="1">
      <c r="A5" s="1"/>
      <c r="B5" s="82" t="s">
        <v>1</v>
      </c>
      <c r="C5" s="76"/>
      <c r="D5" s="1"/>
      <c r="E5" s="75" t="s">
        <v>2</v>
      </c>
      <c r="F5" s="76"/>
      <c r="G5" s="76"/>
      <c r="H5" s="1"/>
      <c r="I5" s="82" t="s">
        <v>3</v>
      </c>
      <c r="J5" s="76"/>
      <c r="K5" s="1"/>
      <c r="L5" s="75" t="s">
        <v>4</v>
      </c>
      <c r="M5" s="76"/>
      <c r="N5" s="1"/>
      <c r="O5" s="1"/>
      <c r="P5" s="1"/>
      <c r="Q5" s="1"/>
    </row>
    <row r="6" spans="1:17" ht="42" customHeight="1">
      <c r="A6" s="1"/>
      <c r="B6" s="83">
        <f>COUNTA(Judiciais!J2:J62)</f>
        <v>61</v>
      </c>
      <c r="C6" s="76"/>
      <c r="D6" s="1"/>
      <c r="E6" s="78" t="str">
        <f>TEXT(SUM(Judiciais!AC2:AC62),"R$ #.##0")</f>
        <v>R$ 10.012.085</v>
      </c>
      <c r="F6" s="76"/>
      <c r="G6" s="76"/>
      <c r="H6" s="1"/>
      <c r="I6" s="83">
        <f>COUNTA(Arquivados!I2:I116)</f>
        <v>115</v>
      </c>
      <c r="J6" s="76"/>
      <c r="K6" s="1"/>
      <c r="L6" s="77" t="str">
        <f>TEXT((COUNTIFS(Arquivados!Z2:Z116,"Acordo*")+COUNTIFS(Arquivados!Z2:Z116,"Improcedência*")+COUNTIFS(Arquivados!Z2:Z116,"Desistência*")+COUNTIFS(Arquivados!Z2:Z116,"Exclu*"))/COUNTA(Arquivados!I2:I116),"0%")</f>
        <v>45%</v>
      </c>
      <c r="M6" s="76"/>
      <c r="N6" s="1"/>
      <c r="O6" s="1"/>
      <c r="P6" s="1"/>
      <c r="Q6" s="1"/>
    </row>
    <row r="7" spans="1:17" ht="15.75" customHeight="1">
      <c r="A7" s="1"/>
      <c r="B7" s="80" t="s">
        <v>5</v>
      </c>
      <c r="C7" s="76"/>
      <c r="D7" s="1"/>
      <c r="E7" s="79" t="s">
        <v>6</v>
      </c>
      <c r="F7" s="76"/>
      <c r="G7" s="76"/>
      <c r="H7" s="1"/>
      <c r="I7" s="80" t="s">
        <v>7</v>
      </c>
      <c r="J7" s="76"/>
      <c r="K7" s="1"/>
      <c r="L7" s="79" t="s">
        <v>8</v>
      </c>
      <c r="M7" s="76"/>
      <c r="N7" s="1"/>
      <c r="O7" s="1"/>
      <c r="P7" s="1"/>
      <c r="Q7" s="1"/>
    </row>
    <row r="8" spans="1:17" ht="15" customHeight="1">
      <c r="A8" s="1"/>
      <c r="B8" s="1"/>
      <c r="C8" s="1"/>
      <c r="D8" s="1"/>
      <c r="E8" s="1"/>
      <c r="F8" s="1"/>
      <c r="G8" s="1"/>
      <c r="H8" s="1"/>
      <c r="I8" s="1"/>
      <c r="J8" s="1"/>
      <c r="K8" s="1"/>
      <c r="L8" s="1"/>
      <c r="M8" s="1"/>
      <c r="N8" s="1"/>
      <c r="O8" s="1"/>
      <c r="P8" s="1"/>
      <c r="Q8" s="1"/>
    </row>
    <row r="9" spans="1:17" ht="21.75" customHeight="1">
      <c r="A9" s="1"/>
      <c r="B9" s="3" t="s">
        <v>9</v>
      </c>
      <c r="C9" s="4"/>
      <c r="D9" s="4"/>
      <c r="E9" s="4"/>
      <c r="F9" s="4"/>
      <c r="G9" s="1"/>
      <c r="H9" s="1"/>
      <c r="I9" s="3" t="s">
        <v>10</v>
      </c>
      <c r="J9" s="4"/>
      <c r="K9" s="4"/>
      <c r="L9" s="4"/>
      <c r="M9" s="1"/>
      <c r="N9" s="1"/>
      <c r="O9" s="1"/>
      <c r="P9" s="1"/>
      <c r="Q9" s="1"/>
    </row>
    <row r="10" spans="1:17" ht="19.5" customHeight="1">
      <c r="A10" s="1"/>
      <c r="B10" s="5" t="s">
        <v>11</v>
      </c>
      <c r="C10" s="5" t="s">
        <v>12</v>
      </c>
      <c r="D10" s="5" t="s">
        <v>13</v>
      </c>
      <c r="E10" s="5" t="s">
        <v>14</v>
      </c>
      <c r="F10" s="5" t="s">
        <v>15</v>
      </c>
      <c r="G10" s="1"/>
      <c r="H10" s="1"/>
      <c r="I10" s="5" t="s">
        <v>16</v>
      </c>
      <c r="J10" s="5" t="s">
        <v>17</v>
      </c>
      <c r="K10" s="5" t="s">
        <v>13</v>
      </c>
      <c r="L10" s="5" t="s">
        <v>18</v>
      </c>
      <c r="M10" s="1"/>
      <c r="N10" s="1"/>
      <c r="O10" s="1"/>
      <c r="P10" s="1"/>
      <c r="Q10" s="1"/>
    </row>
    <row r="11" spans="1:17" ht="12.75" customHeight="1">
      <c r="A11" s="1"/>
      <c r="B11" s="6" t="str">
        <f>Judiciais!J2</f>
        <v>0010754-66.2025.5.03.0179</v>
      </c>
      <c r="C11" s="7" t="str">
        <f>Judiciais!L2</f>
        <v>ADRIANA FERREIRA DOS SANTOS </v>
      </c>
      <c r="D11" s="8" t="str">
        <f>Judiciais!AC2</f>
        <v>R$ 69.742,09</v>
      </c>
      <c r="E11" s="9" t="str">
        <f>Judiciais!AH2</f>
        <v>Possível</v>
      </c>
      <c r="F11" s="10" t="str">
        <f>Judiciais!AA2</f>
        <v>Audiência</v>
      </c>
      <c r="G11" s="1"/>
      <c r="H11" s="1"/>
      <c r="I11" s="11" t="s">
        <v>19</v>
      </c>
      <c r="J11" s="12">
        <f>COUNTIF(Judiciais!AH2:AH62,"Provável")</f>
        <v>10</v>
      </c>
      <c r="K11" s="13" cm="1">
        <f t="array" ref="K11">SUMPRODUCT((Judiciais!AH2:AH62="Provável")*IF(ISNUMBER(Judiciais!AC2:AC62),Judiciais!AC2:AC62,0))</f>
        <v>1026969.2100000002</v>
      </c>
      <c r="L11" s="14">
        <f>IFERROR(J11/J14,0)</f>
        <v>0.16393442622950818</v>
      </c>
      <c r="M11" s="1"/>
      <c r="N11" s="1"/>
      <c r="O11" s="1"/>
      <c r="P11" s="1"/>
      <c r="Q11" s="1"/>
    </row>
    <row r="12" spans="1:17" ht="12.75" customHeight="1">
      <c r="A12" s="1"/>
      <c r="B12" s="15" t="str">
        <f>Judiciais!J3</f>
        <v>0011009-02.2023.5.03.0112</v>
      </c>
      <c r="C12" s="16" t="str">
        <f>Judiciais!L3</f>
        <v>ADRIANO RODRIGUES SILVA</v>
      </c>
      <c r="D12" s="17" t="str">
        <f>Judiciais!AC3</f>
        <v>R$ 117.438,00</v>
      </c>
      <c r="E12" s="18" t="str">
        <f>Judiciais!AH3</f>
        <v>Provável</v>
      </c>
      <c r="F12" s="19" t="str">
        <f>Judiciais!AA3</f>
        <v>Sobrestado</v>
      </c>
      <c r="G12" s="1"/>
      <c r="H12" s="1"/>
      <c r="I12" s="20" t="s">
        <v>20</v>
      </c>
      <c r="J12" s="21">
        <f>COUNTIF(Judiciais!AH2:AH62,"Possível")</f>
        <v>48</v>
      </c>
      <c r="K12" s="22" cm="1">
        <f t="array" ref="K12">SUMPRODUCT((Judiciais!AH2:AH62="Possível")*IF(ISNUMBER(Judiciais!AC2:AC62),Judiciais!AC2:AC62,0))</f>
        <v>8634176.9000000004</v>
      </c>
      <c r="L12" s="23">
        <f>IFERROR(J12/J14,0)</f>
        <v>0.78688524590163933</v>
      </c>
      <c r="M12" s="1"/>
      <c r="N12" s="1"/>
      <c r="O12" s="1"/>
      <c r="P12" s="1"/>
      <c r="Q12" s="1"/>
    </row>
    <row r="13" spans="1:17" ht="12.75" customHeight="1">
      <c r="A13" s="1"/>
      <c r="B13" s="6" t="str">
        <f>Judiciais!J4</f>
        <v>0010876-27.2024.5.15.0132</v>
      </c>
      <c r="C13" s="7" t="str">
        <f>Judiciais!L4</f>
        <v>ALEXANDRA DOMENICA NOGUEIRA NESE</v>
      </c>
      <c r="D13" s="8" t="str">
        <f>Judiciais!AC4</f>
        <v>R$ 230.054,00</v>
      </c>
      <c r="E13" s="24" t="str">
        <f>Judiciais!AH4</f>
        <v>Possível</v>
      </c>
      <c r="F13" s="10" t="str">
        <f>Judiciais!AA4</f>
        <v>Sobrestado</v>
      </c>
      <c r="G13" s="1"/>
      <c r="H13" s="1"/>
      <c r="I13" s="25" t="s">
        <v>21</v>
      </c>
      <c r="J13" s="12">
        <f>COUNTIF(Judiciais!AH2:AH62,"Remoto")</f>
        <v>3</v>
      </c>
      <c r="K13" s="13" cm="1">
        <f t="array" ref="K13">SUMPRODUCT((Judiciais!AH2:AH62="Remoto")*IF(ISNUMBER(Judiciais!AC2:AC62),Judiciais!AC2:AC62,0))</f>
        <v>350938.4</v>
      </c>
      <c r="L13" s="14">
        <f>IFERROR(J13/J14,0)</f>
        <v>4.9180327868852458E-2</v>
      </c>
      <c r="M13" s="1"/>
      <c r="N13" s="1"/>
      <c r="O13" s="1"/>
      <c r="P13" s="1"/>
      <c r="Q13" s="1"/>
    </row>
    <row r="14" spans="1:17" ht="12.75" customHeight="1">
      <c r="A14" s="1"/>
      <c r="B14" s="15" t="str">
        <f>Judiciais!J5</f>
        <v>1000897-21.2025.5.02.0077</v>
      </c>
      <c r="C14" s="16" t="str">
        <f>Judiciais!L5</f>
        <v>ANDERSON DOS REIS FERREIRA</v>
      </c>
      <c r="D14" s="17">
        <f>Judiciais!AC5</f>
        <v>187309.39</v>
      </c>
      <c r="E14" s="18" t="str">
        <f>Judiciais!AH5</f>
        <v>Possível</v>
      </c>
      <c r="F14" s="19" t="str">
        <f>Judiciais!AA5</f>
        <v>Recursal</v>
      </c>
      <c r="G14" s="1"/>
      <c r="H14" s="1"/>
      <c r="I14" s="26" t="s">
        <v>22</v>
      </c>
      <c r="J14" s="27">
        <f t="shared" ref="J14:L14" si="0">SUM(J11:J13)</f>
        <v>61</v>
      </c>
      <c r="K14" s="28">
        <f t="shared" si="0"/>
        <v>10012084.510000002</v>
      </c>
      <c r="L14" s="29">
        <f t="shared" si="0"/>
        <v>1</v>
      </c>
      <c r="M14" s="1"/>
      <c r="N14" s="1"/>
      <c r="O14" s="1"/>
      <c r="P14" s="1"/>
      <c r="Q14" s="1"/>
    </row>
    <row r="15" spans="1:17" ht="12.75" customHeight="1">
      <c r="A15" s="1"/>
      <c r="B15" s="6" t="str">
        <f>Judiciais!J6</f>
        <v>0100214-14.2023.5.01.0301</v>
      </c>
      <c r="C15" s="7" t="str">
        <f>Judiciais!L6</f>
        <v>ANTONIO CARLOS LOPES CORREA</v>
      </c>
      <c r="D15" s="8">
        <f>Judiciais!AC6</f>
        <v>439263.14</v>
      </c>
      <c r="E15" s="24" t="str">
        <f>Judiciais!AH6</f>
        <v>Provável</v>
      </c>
      <c r="F15" s="10" t="str">
        <f>Judiciais!AA6</f>
        <v>Recurso</v>
      </c>
      <c r="G15" s="1"/>
      <c r="H15" s="1"/>
      <c r="I15" s="1"/>
      <c r="J15" s="1"/>
      <c r="K15" s="1"/>
      <c r="L15" s="1"/>
      <c r="M15" s="1"/>
      <c r="N15" s="1"/>
      <c r="O15" s="1"/>
      <c r="P15" s="1"/>
      <c r="Q15" s="1"/>
    </row>
    <row r="16" spans="1:17" ht="12.75" customHeight="1">
      <c r="A16" s="1"/>
      <c r="B16" s="30" t="str">
        <f>Judiciais!J7</f>
        <v>0011020-37.2023.5.03.0110</v>
      </c>
      <c r="C16" s="31" t="str">
        <f>Judiciais!L7</f>
        <v>CLÓVIS CESÁRIO</v>
      </c>
      <c r="D16" s="32" t="str">
        <f>Judiciais!AC7</f>
        <v>R$ 150.710,00</v>
      </c>
      <c r="E16" s="33" t="str">
        <f>Judiciais!AH7</f>
        <v>Possível</v>
      </c>
      <c r="F16" s="34" t="str">
        <f>Judiciais!AA7</f>
        <v>Recurso</v>
      </c>
      <c r="G16" s="1"/>
      <c r="H16" s="1"/>
      <c r="I16" s="1"/>
      <c r="J16" s="1"/>
      <c r="K16" s="1"/>
      <c r="L16" s="1"/>
      <c r="M16" s="1"/>
      <c r="N16" s="1"/>
      <c r="O16" s="1"/>
      <c r="P16" s="1"/>
      <c r="Q16" s="1"/>
    </row>
    <row r="17" spans="1:17" ht="15" customHeight="1">
      <c r="A17" s="1"/>
      <c r="B17" s="1"/>
      <c r="C17" s="1"/>
      <c r="D17" s="1"/>
      <c r="E17" s="1"/>
      <c r="F17" s="1"/>
      <c r="G17" s="1"/>
      <c r="H17" s="1"/>
      <c r="I17" s="1"/>
      <c r="J17" s="1"/>
      <c r="K17" s="1"/>
      <c r="L17" s="1"/>
      <c r="M17" s="1"/>
      <c r="N17" s="1"/>
      <c r="O17" s="1"/>
      <c r="P17" s="1"/>
      <c r="Q17" s="1"/>
    </row>
    <row r="18" spans="1:17" ht="21.75" customHeight="1">
      <c r="A18" s="1"/>
      <c r="B18" s="3" t="s">
        <v>23</v>
      </c>
      <c r="C18" s="4"/>
      <c r="D18" s="4"/>
      <c r="E18" s="4"/>
      <c r="F18" s="1"/>
      <c r="G18" s="1"/>
      <c r="H18" s="1"/>
      <c r="I18" s="1"/>
      <c r="J18" s="1"/>
      <c r="K18" s="1"/>
      <c r="L18" s="1"/>
      <c r="M18" s="1"/>
      <c r="N18" s="1"/>
      <c r="O18" s="1"/>
      <c r="P18" s="1"/>
      <c r="Q18" s="1"/>
    </row>
    <row r="19" spans="1:17" ht="19.5" customHeight="1">
      <c r="A19" s="1"/>
      <c r="B19" s="5" t="s">
        <v>11</v>
      </c>
      <c r="C19" s="5" t="s">
        <v>24</v>
      </c>
      <c r="D19" s="5" t="s">
        <v>25</v>
      </c>
      <c r="E19" s="5" t="s">
        <v>26</v>
      </c>
      <c r="F19" s="1"/>
      <c r="G19" s="1"/>
      <c r="H19" s="1"/>
      <c r="I19" s="1"/>
      <c r="J19" s="1"/>
      <c r="K19" s="1"/>
      <c r="L19" s="1"/>
      <c r="M19" s="1"/>
      <c r="N19" s="1"/>
      <c r="O19" s="1"/>
      <c r="P19" s="1"/>
      <c r="Q19" s="1"/>
    </row>
    <row r="20" spans="1:17" ht="12.75" customHeight="1">
      <c r="A20" s="1"/>
      <c r="B20" s="6" t="str">
        <f>'PROCEDIMENTO ADMINISTRATIVO'!A3</f>
        <v>14152.010876/2026-82</v>
      </c>
      <c r="C20" s="7" t="str">
        <f>'PROCEDIMENTO ADMINISTRATIVO'!B3</f>
        <v>Auto de Infração</v>
      </c>
      <c r="D20" s="10" t="str">
        <f>'PROCEDIMENTO ADMINISTRATIVO'!D3</f>
        <v>SIM</v>
      </c>
      <c r="E20" s="10" t="str">
        <f>'PROCEDIMENTO ADMINISTRATIVO'!E3</f>
        <v>Apresentado a defesa</v>
      </c>
      <c r="F20" s="1"/>
      <c r="G20" s="1"/>
      <c r="H20" s="1"/>
      <c r="I20" s="1"/>
      <c r="J20" s="1"/>
      <c r="K20" s="1"/>
      <c r="L20" s="1"/>
      <c r="M20" s="1"/>
      <c r="N20" s="1"/>
      <c r="O20" s="1"/>
      <c r="P20" s="1"/>
      <c r="Q20" s="1"/>
    </row>
    <row r="21" spans="1:17" ht="12.75" customHeight="1">
      <c r="A21" s="1"/>
      <c r="B21" s="15" t="str">
        <f>'PROCEDIMENTO ADMINISTRATIVO'!A4</f>
        <v>14152.011112/2026-12</v>
      </c>
      <c r="C21" s="16" t="str">
        <f>'PROCEDIMENTO ADMINISTRATIVO'!B4</f>
        <v>Auto de Infração</v>
      </c>
      <c r="D21" s="19" t="str">
        <f>'PROCEDIMENTO ADMINISTRATIVO'!D4</f>
        <v>SIM</v>
      </c>
      <c r="E21" s="19" t="str">
        <f>'PROCEDIMENTO ADMINISTRATIVO'!E4</f>
        <v>Apresentado a defesa</v>
      </c>
      <c r="F21" s="1"/>
      <c r="G21" s="1"/>
      <c r="H21" s="1"/>
      <c r="I21" s="1"/>
      <c r="J21" s="1"/>
      <c r="K21" s="1"/>
      <c r="L21" s="1"/>
      <c r="M21" s="1"/>
      <c r="N21" s="1"/>
      <c r="O21" s="1"/>
      <c r="P21" s="1"/>
      <c r="Q21" s="1"/>
    </row>
    <row r="22" spans="1:17" ht="12.75" customHeight="1">
      <c r="A22" s="1"/>
      <c r="B22" s="6" t="str">
        <f>'PROCEDIMENTO ADMINISTRATIVO'!A5</f>
        <v>14152.011812/2026-07</v>
      </c>
      <c r="C22" s="7" t="str">
        <f>'PROCEDIMENTO ADMINISTRATIVO'!B5</f>
        <v>Auto de Infração</v>
      </c>
      <c r="D22" s="10" t="str">
        <f>'PROCEDIMENTO ADMINISTRATIVO'!D5</f>
        <v>SIM</v>
      </c>
      <c r="E22" s="10" t="str">
        <f>'PROCEDIMENTO ADMINISTRATIVO'!E5</f>
        <v>Apresentado a defesa</v>
      </c>
      <c r="F22" s="1"/>
      <c r="G22" s="1"/>
      <c r="H22" s="1"/>
      <c r="I22" s="1"/>
      <c r="J22" s="1"/>
      <c r="K22" s="1"/>
      <c r="L22" s="1"/>
      <c r="M22" s="1"/>
      <c r="N22" s="1"/>
      <c r="O22" s="1"/>
      <c r="P22" s="1"/>
      <c r="Q22" s="1"/>
    </row>
    <row r="23" spans="1:17" ht="12.75" customHeight="1">
      <c r="A23" s="1"/>
      <c r="B23" s="30" t="str">
        <f>'PROCEDIMENTO ADMINISTRATIVO'!A6</f>
        <v>14152.011844/2026-02</v>
      </c>
      <c r="C23" s="31" t="str">
        <f>'PROCEDIMENTO ADMINISTRATIVO'!B6</f>
        <v>Auto de Infração</v>
      </c>
      <c r="D23" s="34" t="str">
        <f>'PROCEDIMENTO ADMINISTRATIVO'!D6</f>
        <v>SIM</v>
      </c>
      <c r="E23" s="34" t="str">
        <f>'PROCEDIMENTO ADMINISTRATIVO'!E6</f>
        <v>Apresentado a defesa</v>
      </c>
      <c r="F23" s="1"/>
      <c r="G23" s="1"/>
      <c r="H23" s="1"/>
      <c r="I23" s="1"/>
      <c r="J23" s="1"/>
      <c r="K23" s="1"/>
      <c r="L23" s="1"/>
      <c r="M23" s="1"/>
      <c r="N23" s="1"/>
      <c r="O23" s="1"/>
      <c r="P23" s="1"/>
      <c r="Q23" s="1"/>
    </row>
    <row r="24" spans="1:17" ht="12.75" customHeight="1">
      <c r="A24" s="163"/>
      <c r="B24" s="164" t="str">
        <f>'PROCEDIMENTO ADMINISTRATIVO'!A7</f>
        <v>14152.011872/2026-11</v>
      </c>
      <c r="C24" s="165" t="str">
        <f>'PROCEDIMENTO ADMINISTRATIVO'!B7</f>
        <v>Auto de Infração</v>
      </c>
      <c r="D24" s="166" t="str">
        <f>'PROCEDIMENTO ADMINISTRATIVO'!D7</f>
        <v>SIM</v>
      </c>
      <c r="E24" s="166" t="str">
        <f>'PROCEDIMENTO ADMINISTRATIVO'!E7</f>
        <v>Apresentado a defesa</v>
      </c>
      <c r="F24" s="163"/>
      <c r="G24" s="163"/>
      <c r="H24" s="163"/>
      <c r="I24" s="163"/>
      <c r="J24" s="163"/>
      <c r="K24" s="163"/>
      <c r="L24" s="163"/>
      <c r="M24" s="163"/>
      <c r="N24" s="163"/>
      <c r="O24" s="163"/>
      <c r="P24" s="163"/>
      <c r="Q24" s="163"/>
    </row>
    <row r="25" spans="1:17" ht="12.75" customHeight="1">
      <c r="A25" s="163"/>
      <c r="B25" s="167" t="str">
        <f>'PROCEDIMENTO ADMINISTRATIVO'!A8</f>
        <v>14152.011866/2026-64</v>
      </c>
      <c r="C25" s="168" t="str">
        <f>'PROCEDIMENTO ADMINISTRATIVO'!B8</f>
        <v>Auto de Infração</v>
      </c>
      <c r="D25" s="169" t="str">
        <f>'PROCEDIMENTO ADMINISTRATIVO'!D8</f>
        <v>SIM</v>
      </c>
      <c r="E25" s="169" t="str">
        <f>'PROCEDIMENTO ADMINISTRATIVO'!E8</f>
        <v>Apresentado a defesa</v>
      </c>
      <c r="F25" s="163"/>
      <c r="G25" s="163"/>
      <c r="H25" s="163"/>
      <c r="I25" s="163"/>
      <c r="J25" s="163"/>
      <c r="K25" s="163"/>
      <c r="L25" s="163"/>
      <c r="M25" s="163"/>
      <c r="N25" s="163"/>
      <c r="O25" s="163"/>
      <c r="P25" s="163"/>
      <c r="Q25" s="163"/>
    </row>
    <row r="26" spans="1:17" ht="12.75" customHeight="1">
      <c r="A26" s="163"/>
      <c r="B26" s="164" t="str">
        <f>'PROCEDIMENTO ADMINISTRATIVO'!A9</f>
        <v>14152.009635/2026-91</v>
      </c>
      <c r="C26" s="165" t="str">
        <f>'PROCEDIMENTO ADMINISTRATIVO'!B9</f>
        <v>Auto de Infração</v>
      </c>
      <c r="D26" s="166" t="str">
        <f>'PROCEDIMENTO ADMINISTRATIVO'!D9</f>
        <v>SIM</v>
      </c>
      <c r="E26" s="166" t="str">
        <f>'PROCEDIMENTO ADMINISTRATIVO'!E9</f>
        <v>Apresentado a defesa</v>
      </c>
      <c r="F26" s="163"/>
      <c r="G26" s="163"/>
      <c r="H26" s="163"/>
      <c r="I26" s="163"/>
      <c r="J26" s="163"/>
      <c r="K26" s="163"/>
      <c r="L26" s="163"/>
      <c r="M26" s="163"/>
      <c r="N26" s="163"/>
      <c r="O26" s="163"/>
      <c r="P26" s="163"/>
      <c r="Q26" s="163"/>
    </row>
    <row r="27" spans="1:17" ht="12.75" customHeight="1">
      <c r="A27" s="163"/>
      <c r="B27" s="167" t="str">
        <f>'PROCEDIMENTO ADMINISTRATIVO'!A10</f>
        <v>14152.019450/2026-94</v>
      </c>
      <c r="C27" s="168" t="str">
        <f>'PROCEDIMENTO ADMINISTRATIVO'!B10</f>
        <v>Auto de Infração</v>
      </c>
      <c r="D27" s="169" t="str">
        <f>'PROCEDIMENTO ADMINISTRATIVO'!D10</f>
        <v>SIM</v>
      </c>
      <c r="E27" s="169" t="str">
        <f>'PROCEDIMENTO ADMINISTRATIVO'!E10</f>
        <v>Apresentado a defesa</v>
      </c>
      <c r="F27" s="163"/>
      <c r="G27" s="163"/>
      <c r="H27" s="163"/>
      <c r="I27" s="163"/>
      <c r="J27" s="163"/>
      <c r="K27" s="163"/>
      <c r="L27" s="163"/>
      <c r="M27" s="163"/>
      <c r="N27" s="163"/>
      <c r="O27" s="163"/>
      <c r="P27" s="163"/>
      <c r="Q27" s="163"/>
    </row>
    <row r="28" spans="1:17" ht="15" customHeight="1">
      <c r="A28" s="1"/>
      <c r="B28" s="1"/>
      <c r="C28" s="1"/>
      <c r="D28" s="1"/>
      <c r="E28" s="1"/>
      <c r="F28" s="1"/>
      <c r="G28" s="1"/>
      <c r="H28" s="1"/>
      <c r="I28" s="1"/>
      <c r="J28" s="1"/>
      <c r="K28" s="1"/>
      <c r="L28" s="1"/>
      <c r="M28" s="1"/>
      <c r="N28" s="1"/>
      <c r="O28" s="1"/>
      <c r="P28" s="1"/>
      <c r="Q28" s="1"/>
    </row>
    <row r="29" spans="1:17" ht="21.75" customHeight="1">
      <c r="A29" s="1"/>
      <c r="B29" s="3" t="s">
        <v>27</v>
      </c>
      <c r="C29" s="4"/>
      <c r="D29" s="4"/>
      <c r="E29" s="4"/>
      <c r="F29" s="1"/>
      <c r="G29" s="1"/>
      <c r="H29" s="1"/>
      <c r="I29" s="3" t="s">
        <v>28</v>
      </c>
      <c r="J29" s="4"/>
      <c r="K29" s="4"/>
      <c r="L29" s="4"/>
      <c r="M29" s="1"/>
      <c r="N29" s="1"/>
      <c r="O29" s="1"/>
      <c r="P29" s="1"/>
      <c r="Q29" s="1"/>
    </row>
    <row r="30" spans="1:17" ht="19.5" customHeight="1">
      <c r="A30" s="1"/>
      <c r="B30" s="5" t="s">
        <v>11</v>
      </c>
      <c r="C30" s="5" t="s">
        <v>12</v>
      </c>
      <c r="D30" s="5" t="s">
        <v>29</v>
      </c>
      <c r="E30" s="5" t="s">
        <v>30</v>
      </c>
      <c r="F30" s="1"/>
      <c r="G30" s="1"/>
      <c r="H30" s="1"/>
      <c r="I30" s="35" t="s">
        <v>31</v>
      </c>
      <c r="J30" s="1"/>
      <c r="K30" s="1"/>
      <c r="L30" s="1"/>
      <c r="M30" s="1"/>
      <c r="N30" s="1"/>
      <c r="O30" s="1"/>
      <c r="P30" s="1"/>
      <c r="Q30" s="1"/>
    </row>
    <row r="31" spans="1:17" ht="12.75" customHeight="1">
      <c r="A31" s="1"/>
      <c r="B31" s="6" t="str">
        <f>Arquivados!I2</f>
        <v>0010293-82.2023.5.03.0044</v>
      </c>
      <c r="C31" s="7" t="str">
        <f>Arquivados!K2</f>
        <v xml:space="preserve">MARCO ANTONIO FERREIRA COSTA </v>
      </c>
      <c r="D31" s="10" t="str">
        <f>Arquivados!Z2</f>
        <v>N/C</v>
      </c>
      <c r="E31" s="36" t="str">
        <f>Arquivados!AB2</f>
        <v>R$ 26.064,63</v>
      </c>
      <c r="F31" s="1"/>
      <c r="G31" s="1"/>
      <c r="H31" s="1"/>
      <c r="I31" s="37">
        <f>COUNTA(Judiciais!J2:J62)+COUNTA(Arquivados!I2:I116)</f>
        <v>176</v>
      </c>
      <c r="J31" s="38" t="s">
        <v>32</v>
      </c>
      <c r="K31" s="39"/>
      <c r="L31" s="39"/>
      <c r="M31" s="1"/>
      <c r="N31" s="1"/>
      <c r="O31" s="1"/>
      <c r="P31" s="1"/>
      <c r="Q31" s="1"/>
    </row>
    <row r="32" spans="1:17" ht="12.75" customHeight="1">
      <c r="A32" s="1"/>
      <c r="B32" s="15" t="str">
        <f>Arquivados!I3</f>
        <v>1000424-44.2023.5.02.0711</v>
      </c>
      <c r="C32" s="16" t="str">
        <f>Arquivados!K3</f>
        <v>JOSE EDSON MARTINS DOS SANTOS</v>
      </c>
      <c r="D32" s="19" t="str">
        <f>Arquivados!Z3</f>
        <v>Acordo com exclusão de polo</v>
      </c>
      <c r="E32" s="40">
        <f>Arquivados!AB3</f>
        <v>87638.97</v>
      </c>
      <c r="F32" s="1"/>
      <c r="G32" s="1"/>
      <c r="H32" s="1"/>
      <c r="I32" s="1"/>
      <c r="J32" s="1"/>
      <c r="K32" s="1"/>
      <c r="L32" s="1"/>
      <c r="M32" s="1"/>
      <c r="N32" s="1"/>
      <c r="O32" s="1"/>
      <c r="P32" s="1"/>
      <c r="Q32" s="1"/>
    </row>
    <row r="33" spans="1:17" ht="12.75" customHeight="1">
      <c r="A33" s="1"/>
      <c r="B33" s="6" t="str">
        <f>Arquivados!I4</f>
        <v>0010079-44.2023.5.15.0081</v>
      </c>
      <c r="C33" s="7" t="str">
        <f>Arquivados!K4</f>
        <v>WERITON MARCIEL SANTANA SIMIONI</v>
      </c>
      <c r="D33" s="10" t="str">
        <f>Arquivados!Z4</f>
        <v xml:space="preserve">Arquivado </v>
      </c>
      <c r="E33" s="41">
        <f>Arquivados!AB4</f>
        <v>24111.73</v>
      </c>
      <c r="F33" s="1"/>
      <c r="G33" s="1"/>
      <c r="H33" s="1"/>
      <c r="I33" s="35" t="s">
        <v>33</v>
      </c>
      <c r="J33" s="1"/>
      <c r="K33" s="1"/>
      <c r="L33" s="1"/>
      <c r="M33" s="1"/>
      <c r="N33" s="1"/>
      <c r="O33" s="1"/>
      <c r="P33" s="1"/>
      <c r="Q33" s="1"/>
    </row>
    <row r="34" spans="1:17" ht="12.75" customHeight="1">
      <c r="A34" s="1"/>
      <c r="B34" s="15" t="str">
        <f>Arquivados!I5</f>
        <v xml:space="preserve"> 0010014-04.2023.5.03.0010</v>
      </c>
      <c r="C34" s="16" t="str">
        <f>Arquivados!K5</f>
        <v>CARLOS ANTONIO DOS SANTOS</v>
      </c>
      <c r="D34" s="19" t="str">
        <f>Arquivados!Z5</f>
        <v xml:space="preserve">Arquivado </v>
      </c>
      <c r="E34" s="42">
        <f>Arquivados!AB5</f>
        <v>44583.14</v>
      </c>
      <c r="F34" s="1"/>
      <c r="G34" s="1"/>
      <c r="H34" s="1"/>
      <c r="I34" s="43" cm="1">
        <f t="array" ref="I34">SUMPRODUCT((LEFT(Arquivados!Z2:Z116,6)="Acordo")*IF(ISNUMBER(Arquivados!AB2:AB116),Arquivados!AB2:AB116,0))</f>
        <v>2466713.5299999998</v>
      </c>
      <c r="J34" s="38" t="s">
        <v>34</v>
      </c>
      <c r="K34" s="39"/>
      <c r="L34" s="39"/>
      <c r="M34" s="1"/>
      <c r="N34" s="1"/>
      <c r="O34" s="1"/>
      <c r="P34" s="1"/>
      <c r="Q34" s="1"/>
    </row>
    <row r="35" spans="1:17" ht="12.75" customHeight="1">
      <c r="A35" s="1"/>
      <c r="B35" s="6" t="str">
        <f>Arquivados!I6</f>
        <v>0010274-94.2023.5.03.0135</v>
      </c>
      <c r="C35" s="7" t="str">
        <f>Arquivados!K6</f>
        <v>JOSE RICARDO BATISTA DE AGUILAR</v>
      </c>
      <c r="D35" s="10" t="str">
        <f>Arquivados!Z6</f>
        <v>Acordo sem exclusão</v>
      </c>
      <c r="E35" s="41" t="str">
        <f>Arquivados!AB6</f>
        <v>R$ 23.845,07</v>
      </c>
      <c r="F35" s="1"/>
      <c r="G35" s="1"/>
      <c r="H35" s="1"/>
      <c r="I35" s="1"/>
      <c r="J35" s="1"/>
      <c r="K35" s="1"/>
      <c r="L35" s="1"/>
      <c r="M35" s="1"/>
      <c r="N35" s="1"/>
      <c r="O35" s="1"/>
      <c r="P35" s="1"/>
      <c r="Q35" s="1"/>
    </row>
    <row r="36" spans="1:17" ht="12.75" customHeight="1">
      <c r="A36" s="1"/>
      <c r="B36" s="15" t="str">
        <f>Arquivados!I7</f>
        <v>0011519-85.2022.5.15.0089</v>
      </c>
      <c r="C36" s="16" t="str">
        <f>Arquivados!K7</f>
        <v>FABIO HENRIQUE DERONZI</v>
      </c>
      <c r="D36" s="19" t="str">
        <f>Arquivados!Z7</f>
        <v xml:space="preserve">Arquivado </v>
      </c>
      <c r="E36" s="44" t="str">
        <f>Arquivados!AB7</f>
        <v>R$ 64.726,00</v>
      </c>
      <c r="F36" s="1"/>
      <c r="G36" s="1"/>
      <c r="H36" s="1"/>
      <c r="I36" s="35" t="s">
        <v>35</v>
      </c>
      <c r="J36" s="1"/>
      <c r="K36" s="1"/>
      <c r="L36" s="1"/>
      <c r="M36" s="1"/>
      <c r="N36" s="1"/>
      <c r="O36" s="1"/>
      <c r="P36" s="1"/>
      <c r="Q36" s="1"/>
    </row>
    <row r="37" spans="1:17" ht="12.75" customHeight="1">
      <c r="A37" s="1"/>
      <c r="B37" s="45" t="s">
        <v>36</v>
      </c>
      <c r="C37" s="45"/>
      <c r="D37" s="45"/>
      <c r="E37" s="46">
        <f>SUM(Arquivados!AB2:AB116)</f>
        <v>6112187.0399999991</v>
      </c>
      <c r="F37" s="1"/>
      <c r="G37" s="1"/>
      <c r="H37" s="1"/>
      <c r="I37" s="47" t="s">
        <v>20</v>
      </c>
      <c r="J37" s="38" t="s">
        <v>1362</v>
      </c>
      <c r="K37" s="39"/>
      <c r="L37" s="39"/>
      <c r="M37" s="1"/>
      <c r="N37" s="1"/>
      <c r="O37" s="1"/>
      <c r="P37" s="1"/>
      <c r="Q37" s="1"/>
    </row>
    <row r="38" spans="1:17" ht="15" customHeight="1">
      <c r="A38" s="1"/>
      <c r="B38" s="1"/>
      <c r="C38" s="1"/>
      <c r="D38" s="1"/>
      <c r="E38" s="1"/>
      <c r="F38" s="1"/>
      <c r="G38" s="1"/>
      <c r="H38" s="1"/>
      <c r="I38" s="1"/>
      <c r="J38" s="1"/>
      <c r="K38" s="1"/>
      <c r="L38" s="1"/>
      <c r="M38" s="1"/>
      <c r="N38" s="1"/>
      <c r="O38" s="1"/>
      <c r="P38" s="1"/>
      <c r="Q38" s="1"/>
    </row>
    <row r="39" spans="1:17" ht="21.75" customHeight="1">
      <c r="A39" s="1"/>
      <c r="B39" s="3" t="s">
        <v>37</v>
      </c>
      <c r="C39" s="4"/>
      <c r="D39" s="4"/>
      <c r="E39" s="1"/>
      <c r="F39" s="1"/>
      <c r="G39" s="1"/>
      <c r="H39" s="1"/>
      <c r="I39" s="3" t="s">
        <v>38</v>
      </c>
      <c r="J39" s="4"/>
      <c r="K39" s="4"/>
      <c r="L39" s="1"/>
      <c r="M39" s="1"/>
      <c r="N39" s="1"/>
      <c r="O39" s="1"/>
      <c r="P39" s="1"/>
      <c r="Q39" s="1"/>
    </row>
    <row r="40" spans="1:17" ht="19.5" customHeight="1">
      <c r="A40" s="1"/>
      <c r="B40" s="45" t="s">
        <v>39</v>
      </c>
      <c r="C40" s="5" t="s">
        <v>40</v>
      </c>
      <c r="D40" s="5" t="s">
        <v>41</v>
      </c>
      <c r="E40" s="1"/>
      <c r="F40" s="1"/>
      <c r="G40" s="1"/>
      <c r="H40" s="1"/>
      <c r="I40" s="5"/>
      <c r="J40" s="5" t="s">
        <v>11</v>
      </c>
      <c r="K40" s="5" t="s">
        <v>42</v>
      </c>
      <c r="L40" s="1"/>
      <c r="M40" s="1"/>
      <c r="N40" s="1"/>
      <c r="O40" s="1"/>
      <c r="P40" s="1"/>
      <c r="Q40" s="1"/>
    </row>
    <row r="41" spans="1:17" ht="12.75" customHeight="1">
      <c r="A41" s="1"/>
      <c r="B41" s="1" t="s">
        <v>43</v>
      </c>
      <c r="C41" s="48">
        <f>COUNTIF(Judiciais!K2:K62,"*horas extras*")</f>
        <v>55</v>
      </c>
      <c r="D41" s="14">
        <f>IFERROR(C41/COUNTA(Judiciais!J2:J62),0)</f>
        <v>0.90163934426229508</v>
      </c>
      <c r="E41" s="1"/>
      <c r="F41" s="1"/>
      <c r="G41" s="1"/>
      <c r="H41" s="1"/>
      <c r="I41" s="12" t="s">
        <v>44</v>
      </c>
      <c r="J41" s="6" t="str">
        <f>LEFT(Judiciais!J2,20)&amp;"..."</f>
        <v>0010754-66.2025.5.03...</v>
      </c>
      <c r="K41" s="7" t="str">
        <f>Judiciais!AB2</f>
        <v>Aguardando audiência</v>
      </c>
      <c r="L41" s="1"/>
      <c r="M41" s="1"/>
      <c r="N41" s="1"/>
      <c r="O41" s="1"/>
      <c r="P41" s="1"/>
      <c r="Q41" s="1"/>
    </row>
    <row r="42" spans="1:17" ht="12.75" customHeight="1">
      <c r="A42" s="1"/>
      <c r="B42" s="49" t="s">
        <v>45</v>
      </c>
      <c r="C42" s="50">
        <f>COUNTIF(Judiciais!K2:K62,"*responsabilidade subsidi*")</f>
        <v>30</v>
      </c>
      <c r="D42" s="23">
        <f>IFERROR(C42/COUNTA(Judiciais!J2:J62),0)</f>
        <v>0.49180327868852458</v>
      </c>
      <c r="E42" s="1"/>
      <c r="F42" s="1"/>
      <c r="G42" s="1"/>
      <c r="H42" s="1"/>
      <c r="I42" s="21" t="s">
        <v>44</v>
      </c>
      <c r="J42" s="15" t="str">
        <f>LEFT(Judiciais!J3,20)&amp;"..."</f>
        <v>0011009-02.2023.5.03...</v>
      </c>
      <c r="K42" s="16" t="str">
        <f>Judiciais!AB3</f>
        <v>Decisão TST</v>
      </c>
      <c r="L42" s="1"/>
      <c r="M42" s="1"/>
      <c r="N42" s="1"/>
      <c r="O42" s="1"/>
      <c r="P42" s="1"/>
      <c r="Q42" s="1"/>
    </row>
    <row r="43" spans="1:17" ht="12.75" customHeight="1">
      <c r="A43" s="1"/>
      <c r="B43" s="1" t="s">
        <v>46</v>
      </c>
      <c r="C43" s="48">
        <f>COUNTIF(Judiciais!K2:K62,"*dano moral*")+COUNTIF(Judiciais!K2:K62,"*danos morais*")-COUNTIF(Judiciais!K2:K62,"*dano moral*danos morais*")-COUNTIF(Judiciais!K2:K62,"*danos morais*dano moral*")</f>
        <v>40</v>
      </c>
      <c r="D43" s="14">
        <f>IFERROR(C43/COUNTA(Judiciais!J2:J62),0)</f>
        <v>0.65573770491803274</v>
      </c>
      <c r="E43" s="1"/>
      <c r="F43" s="1"/>
      <c r="G43" s="1"/>
      <c r="H43" s="1"/>
      <c r="I43" s="12" t="s">
        <v>44</v>
      </c>
      <c r="J43" s="6" t="str">
        <f>LEFT(Judiciais!J4,20)&amp;"..."</f>
        <v>0010876-27.2024.5.15...</v>
      </c>
      <c r="K43" s="7" t="str">
        <f>Judiciais!AB4</f>
        <v>Julgamento do Tema TST</v>
      </c>
      <c r="L43" s="1"/>
      <c r="M43" s="1"/>
      <c r="N43" s="1"/>
      <c r="O43" s="1"/>
      <c r="P43" s="1"/>
      <c r="Q43" s="1"/>
    </row>
    <row r="44" spans="1:17" ht="12.75" customHeight="1">
      <c r="A44" s="1"/>
      <c r="B44" s="49" t="s">
        <v>47</v>
      </c>
      <c r="C44" s="50">
        <f>COUNTIF(Judiciais!K2:K62,"*adicional noturno*")</f>
        <v>36</v>
      </c>
      <c r="D44" s="23">
        <f>IFERROR(C44/COUNTA(Judiciais!J2:J62),0)</f>
        <v>0.5901639344262295</v>
      </c>
      <c r="E44" s="1"/>
      <c r="F44" s="1"/>
      <c r="G44" s="1"/>
      <c r="H44" s="1"/>
      <c r="I44" s="21" t="s">
        <v>44</v>
      </c>
      <c r="J44" s="15" t="str">
        <f>LEFT(Judiciais!J5,20)&amp;"..."</f>
        <v>1000897-21.2025.5.02...</v>
      </c>
      <c r="K44" s="16" t="str">
        <f>Judiciais!AB5</f>
        <v>Decisão</v>
      </c>
      <c r="L44" s="1"/>
      <c r="M44" s="1"/>
      <c r="N44" s="1"/>
      <c r="O44" s="1"/>
      <c r="P44" s="1"/>
      <c r="Q44" s="1"/>
    </row>
    <row r="45" spans="1:17" ht="12.75" customHeight="1">
      <c r="A45" s="1"/>
      <c r="B45" s="1" t="s">
        <v>48</v>
      </c>
      <c r="C45" s="48">
        <f>COUNTIF(Judiciais!K2:K62,"*intrajornada*")</f>
        <v>32</v>
      </c>
      <c r="D45" s="14">
        <f>IFERROR(C45/COUNTA(Judiciais!J2:J62),0)</f>
        <v>0.52459016393442626</v>
      </c>
      <c r="E45" s="1"/>
      <c r="F45" s="1"/>
      <c r="G45" s="1"/>
      <c r="H45" s="1"/>
      <c r="I45" s="12" t="s">
        <v>44</v>
      </c>
      <c r="J45" s="6" t="str">
        <f>LEFT(Judiciais!J6,20)&amp;"..."</f>
        <v>0100214-14.2023.5.01...</v>
      </c>
      <c r="K45" s="7" t="str">
        <f>Judiciais!AB6</f>
        <v>Acórdão</v>
      </c>
      <c r="L45" s="1"/>
      <c r="M45" s="1"/>
      <c r="N45" s="1"/>
      <c r="O45" s="1"/>
      <c r="P45" s="1"/>
      <c r="Q45" s="1"/>
    </row>
    <row r="46" spans="1:17" ht="12.75" customHeight="1">
      <c r="A46" s="1"/>
      <c r="B46" s="49" t="s">
        <v>49</v>
      </c>
      <c r="C46" s="50">
        <f>COUNTIF(Judiciais!K2:K62,"*verbas rescis*")</f>
        <v>31</v>
      </c>
      <c r="D46" s="23">
        <f>IFERROR(C46/COUNTA(Judiciais!J2:J62),0)</f>
        <v>0.50819672131147542</v>
      </c>
      <c r="E46" s="1"/>
      <c r="F46" s="1"/>
      <c r="G46" s="1"/>
      <c r="H46" s="1"/>
      <c r="I46" s="21" t="s">
        <v>50</v>
      </c>
      <c r="J46" s="15" t="str">
        <f>LEFT(Arquivados!I2,20)&amp;"..."</f>
        <v>0010293-82.2023.5.03...</v>
      </c>
      <c r="K46" s="16" t="s">
        <v>51</v>
      </c>
      <c r="L46" s="1"/>
      <c r="M46" s="1"/>
      <c r="N46" s="1"/>
      <c r="O46" s="1"/>
      <c r="P46" s="1"/>
      <c r="Q46" s="1"/>
    </row>
    <row r="47" spans="1:17" ht="12.75" customHeight="1">
      <c r="A47" s="1"/>
      <c r="B47" s="1" t="s">
        <v>52</v>
      </c>
      <c r="C47" s="48">
        <f>COUNTIF(Judiciais!K2:K62,"*insalubridade*")</f>
        <v>16</v>
      </c>
      <c r="D47" s="14">
        <f>IFERROR(C47/COUNTA(Judiciais!J2:J62),0)</f>
        <v>0.26229508196721313</v>
      </c>
      <c r="E47" s="1"/>
      <c r="F47" s="1"/>
      <c r="G47" s="1"/>
      <c r="H47" s="1"/>
      <c r="I47" s="12" t="s">
        <v>50</v>
      </c>
      <c r="J47" s="6" t="str">
        <f>LEFT(Arquivados!I3,20)&amp;"..."</f>
        <v>1000424-44.2023.5.02...</v>
      </c>
      <c r="K47" s="7" t="s">
        <v>51</v>
      </c>
      <c r="L47" s="1"/>
      <c r="M47" s="1"/>
      <c r="N47" s="1"/>
      <c r="O47" s="1"/>
      <c r="P47" s="1"/>
      <c r="Q47" s="1"/>
    </row>
    <row r="48" spans="1:17" ht="12.75" customHeight="1">
      <c r="A48" s="1"/>
      <c r="B48" s="51" t="s">
        <v>53</v>
      </c>
      <c r="C48" s="52">
        <f>COUNTIF(Judiciais!K2:K62,"*honorários*")</f>
        <v>33</v>
      </c>
      <c r="D48" s="53">
        <f>IFERROR(C48/COUNTA(Judiciais!J2:J62),0)</f>
        <v>0.54098360655737709</v>
      </c>
      <c r="E48" s="1"/>
      <c r="F48" s="1"/>
      <c r="G48" s="1"/>
      <c r="H48" s="1"/>
      <c r="I48" s="54" t="s">
        <v>50</v>
      </c>
      <c r="J48" s="30" t="str">
        <f>LEFT(Arquivados!I4,20)&amp;"..."</f>
        <v>0010079-44.2023.5.15...</v>
      </c>
      <c r="K48" s="31" t="s">
        <v>51</v>
      </c>
      <c r="L48" s="1"/>
      <c r="M48" s="1"/>
      <c r="N48" s="1"/>
      <c r="O48" s="1"/>
      <c r="P48" s="1"/>
      <c r="Q48" s="1"/>
    </row>
    <row r="49" spans="1:17" ht="15" customHeight="1">
      <c r="A49" s="1"/>
      <c r="B49" s="1"/>
      <c r="C49" s="1"/>
      <c r="D49" s="1"/>
      <c r="E49" s="1"/>
      <c r="F49" s="1"/>
      <c r="G49" s="1"/>
      <c r="H49" s="1"/>
      <c r="I49" s="1"/>
      <c r="J49" s="1"/>
      <c r="K49" s="1"/>
      <c r="L49" s="1"/>
      <c r="M49" s="1"/>
      <c r="N49" s="1"/>
      <c r="O49" s="1"/>
      <c r="P49" s="1"/>
      <c r="Q49" s="1"/>
    </row>
    <row r="50" spans="1:17" ht="21.75" customHeight="1">
      <c r="A50" s="1"/>
      <c r="B50" s="3" t="s">
        <v>54</v>
      </c>
      <c r="C50" s="4"/>
      <c r="D50" s="4"/>
      <c r="E50" s="4"/>
      <c r="F50" s="1"/>
      <c r="G50" s="1"/>
      <c r="H50" s="1"/>
      <c r="I50" s="3" t="s">
        <v>55</v>
      </c>
      <c r="J50" s="4"/>
      <c r="K50" s="4"/>
      <c r="L50" s="4"/>
      <c r="M50" s="1"/>
      <c r="N50" s="1"/>
      <c r="O50" s="1"/>
      <c r="P50" s="1"/>
      <c r="Q50" s="1"/>
    </row>
    <row r="51" spans="1:17" ht="19.5" customHeight="1">
      <c r="A51" s="1"/>
      <c r="B51" s="5" t="s">
        <v>56</v>
      </c>
      <c r="C51" s="5" t="s">
        <v>57</v>
      </c>
      <c r="D51" s="5" t="s">
        <v>58</v>
      </c>
      <c r="E51" s="5" t="s">
        <v>22</v>
      </c>
      <c r="F51" s="1"/>
      <c r="G51" s="1"/>
      <c r="H51" s="1"/>
      <c r="I51" s="5" t="s">
        <v>26</v>
      </c>
      <c r="J51" s="5" t="s">
        <v>17</v>
      </c>
      <c r="K51" s="5" t="s">
        <v>18</v>
      </c>
      <c r="L51" s="5" t="s">
        <v>29</v>
      </c>
      <c r="M51" s="1"/>
      <c r="N51" s="1"/>
      <c r="O51" s="1"/>
      <c r="P51" s="1"/>
      <c r="Q51" s="1"/>
    </row>
    <row r="52" spans="1:17" ht="12.75" customHeight="1">
      <c r="A52" s="1"/>
      <c r="B52" s="55" t="s">
        <v>59</v>
      </c>
      <c r="C52" s="56">
        <f>COUNTIF(Judiciais!S2:S62,"*IMPROCEDENTE*")+COUNTIF(Judiciais!S2:S62,"*FAVORÁVEL*")-COUNTIF(Judiciais!S2:S62,"*CONDENANDO*")+COUNTIF(Arquivados!R2:R116,"*IMPROCEDENTE*")+COUNTIF(Arquivados!R2:R116,"*FAVORÁVEL*")-COUNTIF(Arquivados!R2:R116,"*revertido*condenação*")</f>
        <v>30</v>
      </c>
      <c r="D52" s="57">
        <f>COUNTIF(Judiciais!S2:S62,"*PROCEDENTE*")-COUNTIF(Judiciais!S2:S62,"*IMPROCEDENTE*")+COUNTIF(Arquivados!R2:R116,"*PROCEDENTE*")-COUNTIF(Arquivados!R2:R116,"*IMPROCEDENTE*")+COUNTIF(Arquivados!R2:R116,"*revertido*condenação*")</f>
        <v>13</v>
      </c>
      <c r="E52" s="58">
        <f t="shared" ref="E52:E53" si="1">C52+D52</f>
        <v>43</v>
      </c>
      <c r="F52" s="1"/>
      <c r="G52" s="1"/>
      <c r="H52" s="1"/>
      <c r="I52" s="25" t="s">
        <v>60</v>
      </c>
      <c r="J52" s="12">
        <f>COUNTIF(Arquivados!Z2:Z116,"Improcedência*")</f>
        <v>4</v>
      </c>
      <c r="K52" s="59">
        <f>IFERROR(J52/J57,0)</f>
        <v>2.2727272727272728E-2</v>
      </c>
      <c r="L52" s="60" t="s">
        <v>61</v>
      </c>
      <c r="M52" s="1"/>
      <c r="N52" s="1"/>
      <c r="O52" s="1"/>
      <c r="P52" s="1"/>
      <c r="Q52" s="1"/>
    </row>
    <row r="53" spans="1:17" ht="12.75" customHeight="1">
      <c r="A53" s="1"/>
      <c r="B53" s="61" t="s">
        <v>62</v>
      </c>
      <c r="C53" s="62">
        <f>COUNTIF(Arquivados!R2:R116,"*revertido*improcedente*")</f>
        <v>1</v>
      </c>
      <c r="D53" s="63">
        <f>COUNTIF(Arquivados!R2:R116,"*revertido*condenação*")</f>
        <v>1</v>
      </c>
      <c r="E53" s="64">
        <f t="shared" si="1"/>
        <v>2</v>
      </c>
      <c r="F53" s="1"/>
      <c r="G53" s="1"/>
      <c r="H53" s="1"/>
      <c r="I53" s="20" t="s">
        <v>63</v>
      </c>
      <c r="J53" s="21">
        <f>COUNTIF(Arquivados!Z2:Z116,"Acordo*")</f>
        <v>43</v>
      </c>
      <c r="K53" s="65">
        <f>IFERROR(J53/J57,0)</f>
        <v>0.24431818181818182</v>
      </c>
      <c r="L53" s="66" t="s">
        <v>61</v>
      </c>
      <c r="M53" s="1"/>
      <c r="N53" s="1"/>
      <c r="O53" s="1"/>
      <c r="P53" s="1"/>
      <c r="Q53" s="1"/>
    </row>
    <row r="54" spans="1:17" ht="12.75" customHeight="1">
      <c r="A54" s="1"/>
      <c r="B54" s="45" t="s">
        <v>22</v>
      </c>
      <c r="C54" s="5">
        <f t="shared" ref="C54:E54" si="2">SUM(C52:C53)</f>
        <v>31</v>
      </c>
      <c r="D54" s="5">
        <f t="shared" si="2"/>
        <v>14</v>
      </c>
      <c r="E54" s="5">
        <f t="shared" si="2"/>
        <v>45</v>
      </c>
      <c r="F54" s="1"/>
      <c r="G54" s="1"/>
      <c r="H54" s="1"/>
      <c r="I54" s="67" t="s">
        <v>64</v>
      </c>
      <c r="J54" s="12">
        <f>COUNTA(Judiciais!J2:J62)</f>
        <v>61</v>
      </c>
      <c r="K54" s="59">
        <f>IFERROR(J54/J57,0)</f>
        <v>0.34659090909090912</v>
      </c>
      <c r="L54" s="68" t="s">
        <v>65</v>
      </c>
      <c r="M54" s="1"/>
      <c r="N54" s="1"/>
      <c r="O54" s="1"/>
      <c r="P54" s="1"/>
      <c r="Q54" s="1"/>
    </row>
    <row r="55" spans="1:17" ht="12.75" customHeight="1">
      <c r="A55" s="1"/>
      <c r="B55" s="1"/>
      <c r="C55" s="1"/>
      <c r="D55" s="1"/>
      <c r="E55" s="1"/>
      <c r="F55" s="1"/>
      <c r="G55" s="1"/>
      <c r="H55" s="1"/>
      <c r="I55" s="69" t="s">
        <v>66</v>
      </c>
      <c r="J55" s="21">
        <f>COUNTIF(Arquivados!Z2:Z116,"Execução*")+COUNTIF(Arquivados!Z2:Z116,"Impugnação*")+COUNTIF(Arquivados!Z2:Z116,"Cálculos*")+COUNTIF(Arquivados!Z2:Z116,"TST")</f>
        <v>5</v>
      </c>
      <c r="K55" s="65">
        <f>IFERROR(J55/J57,0)</f>
        <v>2.8409090909090908E-2</v>
      </c>
      <c r="L55" s="70" t="s">
        <v>67</v>
      </c>
      <c r="M55" s="1"/>
      <c r="N55" s="1"/>
      <c r="O55" s="1"/>
      <c r="P55" s="1"/>
      <c r="Q55" s="1"/>
    </row>
    <row r="56" spans="1:17" ht="12.75" customHeight="1">
      <c r="A56" s="1"/>
      <c r="B56" s="1"/>
      <c r="C56" s="1"/>
      <c r="D56" s="1"/>
      <c r="E56" s="1"/>
      <c r="F56" s="1"/>
      <c r="G56" s="1"/>
      <c r="H56" s="1"/>
      <c r="I56" s="71" t="s">
        <v>68</v>
      </c>
      <c r="J56" s="12">
        <f>COUNTA(Arquivados!I2:I116)-J52-J53-J55</f>
        <v>63</v>
      </c>
      <c r="K56" s="59">
        <f>IFERROR(J56/J57,0)</f>
        <v>0.35795454545454547</v>
      </c>
      <c r="L56" s="72" t="s">
        <v>69</v>
      </c>
      <c r="M56" s="1"/>
      <c r="N56" s="1"/>
      <c r="O56" s="1"/>
      <c r="P56" s="1"/>
      <c r="Q56" s="1"/>
    </row>
    <row r="57" spans="1:17" ht="12.75" customHeight="1">
      <c r="A57" s="1"/>
      <c r="B57" s="1"/>
      <c r="C57" s="1"/>
      <c r="D57" s="1"/>
      <c r="E57" s="1"/>
      <c r="F57" s="1"/>
      <c r="G57" s="1"/>
      <c r="H57" s="1"/>
      <c r="I57" s="45" t="s">
        <v>22</v>
      </c>
      <c r="J57" s="5">
        <f t="shared" ref="J57:K57" si="3">SUM(J52:J56)</f>
        <v>176</v>
      </c>
      <c r="K57" s="73">
        <f t="shared" si="3"/>
        <v>1</v>
      </c>
      <c r="L57" s="45"/>
      <c r="M57" s="1"/>
      <c r="N57" s="1"/>
      <c r="O57" s="1"/>
      <c r="P57" s="1"/>
      <c r="Q57" s="1"/>
    </row>
    <row r="58" spans="1:17" ht="15" customHeight="1">
      <c r="A58" s="1"/>
      <c r="B58" s="1"/>
      <c r="C58" s="1"/>
      <c r="D58" s="1"/>
      <c r="E58" s="1"/>
      <c r="F58" s="1"/>
      <c r="G58" s="1"/>
      <c r="H58" s="1"/>
      <c r="I58" s="1"/>
      <c r="J58" s="1"/>
      <c r="K58" s="1"/>
      <c r="L58" s="1"/>
      <c r="M58" s="1"/>
      <c r="N58" s="1"/>
      <c r="O58" s="1"/>
      <c r="P58" s="1"/>
      <c r="Q58" s="1"/>
    </row>
    <row r="59" spans="1:17" ht="12.75" customHeight="1">
      <c r="A59" s="1"/>
      <c r="B59" s="1"/>
      <c r="C59" s="1"/>
      <c r="D59" s="1"/>
      <c r="E59" s="1"/>
      <c r="F59" s="1"/>
      <c r="G59" s="1"/>
      <c r="H59" s="1"/>
      <c r="I59" s="1"/>
      <c r="J59" s="1"/>
      <c r="K59" s="1"/>
      <c r="L59" s="1"/>
      <c r="M59" s="1"/>
      <c r="N59" s="1"/>
      <c r="O59" s="1"/>
      <c r="P59" s="1"/>
      <c r="Q59" s="1"/>
    </row>
    <row r="60" spans="1:17" ht="12.75" customHeight="1">
      <c r="A60" s="1"/>
      <c r="B60" s="1"/>
      <c r="C60" s="1"/>
      <c r="D60" s="1"/>
      <c r="E60" s="1"/>
      <c r="F60" s="1"/>
      <c r="G60" s="1"/>
      <c r="H60" s="1"/>
      <c r="I60" s="1"/>
      <c r="J60" s="1"/>
      <c r="K60" s="1"/>
      <c r="L60" s="1"/>
      <c r="M60" s="1"/>
      <c r="N60" s="1"/>
      <c r="O60" s="1"/>
      <c r="P60" s="1"/>
      <c r="Q60" s="1"/>
    </row>
    <row r="61" spans="1:17" ht="12.75" customHeight="1">
      <c r="A61" s="1"/>
      <c r="B61" s="1"/>
      <c r="C61" s="1"/>
      <c r="D61" s="1"/>
      <c r="E61" s="1"/>
      <c r="F61" s="1"/>
      <c r="G61" s="1"/>
      <c r="H61" s="1"/>
      <c r="I61" s="1"/>
      <c r="J61" s="1"/>
      <c r="K61" s="1"/>
      <c r="L61" s="1"/>
      <c r="M61" s="1"/>
      <c r="N61" s="1"/>
      <c r="O61" s="1"/>
      <c r="P61" s="1"/>
      <c r="Q61" s="1"/>
    </row>
    <row r="62" spans="1:17" ht="12.75" customHeight="1">
      <c r="A62" s="1"/>
      <c r="B62" s="1"/>
      <c r="C62" s="1"/>
      <c r="D62" s="1"/>
      <c r="E62" s="1"/>
      <c r="F62" s="1"/>
      <c r="G62" s="1"/>
      <c r="H62" s="1"/>
      <c r="I62" s="1"/>
      <c r="J62" s="1"/>
      <c r="K62" s="1"/>
      <c r="L62" s="1"/>
      <c r="M62" s="1"/>
      <c r="N62" s="1"/>
      <c r="O62" s="1"/>
      <c r="P62" s="1"/>
      <c r="Q62" s="1"/>
    </row>
    <row r="63" spans="1:17" ht="12.75" customHeight="1">
      <c r="A63" s="1"/>
      <c r="B63" s="1"/>
      <c r="C63" s="1"/>
      <c r="D63" s="1"/>
      <c r="E63" s="1"/>
      <c r="F63" s="1"/>
      <c r="G63" s="1"/>
      <c r="H63" s="1"/>
      <c r="I63" s="1"/>
      <c r="J63" s="1"/>
      <c r="K63" s="1"/>
      <c r="L63" s="1"/>
      <c r="M63" s="1"/>
      <c r="N63" s="1"/>
      <c r="O63" s="1"/>
      <c r="P63" s="1"/>
      <c r="Q63" s="1"/>
    </row>
    <row r="64" spans="1:17" ht="12.75" customHeight="1">
      <c r="A64" s="1"/>
      <c r="B64" s="1"/>
      <c r="C64" s="1"/>
      <c r="D64" s="1"/>
      <c r="E64" s="1"/>
      <c r="F64" s="1"/>
      <c r="G64" s="1"/>
      <c r="H64" s="1"/>
      <c r="I64" s="1"/>
      <c r="J64" s="1"/>
      <c r="K64" s="1"/>
      <c r="L64" s="1"/>
      <c r="M64" s="1"/>
      <c r="N64" s="1"/>
      <c r="O64" s="1"/>
      <c r="P64" s="1"/>
      <c r="Q64" s="1"/>
    </row>
    <row r="65" spans="1:17" ht="12.75" customHeight="1">
      <c r="A65" s="1"/>
      <c r="B65" s="1"/>
      <c r="C65" s="1"/>
      <c r="D65" s="1"/>
      <c r="E65" s="1"/>
      <c r="F65" s="1"/>
      <c r="G65" s="1"/>
      <c r="H65" s="1"/>
      <c r="I65" s="1"/>
      <c r="J65" s="1"/>
      <c r="K65" s="1"/>
      <c r="L65" s="1"/>
      <c r="M65" s="1"/>
      <c r="N65" s="1"/>
      <c r="O65" s="1"/>
      <c r="P65" s="1"/>
      <c r="Q65" s="1"/>
    </row>
    <row r="66" spans="1:17" ht="12.75" customHeight="1">
      <c r="A66" s="1"/>
      <c r="B66" s="1"/>
      <c r="C66" s="1"/>
      <c r="D66" s="1"/>
      <c r="E66" s="1"/>
      <c r="F66" s="1"/>
      <c r="G66" s="1"/>
      <c r="H66" s="1"/>
      <c r="I66" s="1"/>
      <c r="J66" s="1"/>
      <c r="K66" s="1"/>
      <c r="L66" s="1"/>
      <c r="M66" s="1"/>
      <c r="N66" s="1"/>
      <c r="O66" s="1"/>
      <c r="P66" s="1"/>
      <c r="Q66" s="1"/>
    </row>
    <row r="67" spans="1:17" ht="12.75" customHeight="1">
      <c r="A67" s="1"/>
      <c r="B67" s="1"/>
      <c r="C67" s="1"/>
      <c r="D67" s="1"/>
      <c r="E67" s="1"/>
      <c r="F67" s="1"/>
      <c r="G67" s="1"/>
      <c r="H67" s="1"/>
      <c r="I67" s="1"/>
      <c r="J67" s="1"/>
      <c r="K67" s="1"/>
      <c r="L67" s="1"/>
      <c r="M67" s="1"/>
      <c r="N67" s="1"/>
      <c r="O67" s="1"/>
      <c r="P67" s="1"/>
      <c r="Q67" s="1"/>
    </row>
    <row r="68" spans="1:17" ht="12.75" customHeight="1">
      <c r="A68" s="1"/>
      <c r="B68" s="1"/>
      <c r="C68" s="1"/>
      <c r="D68" s="1"/>
      <c r="E68" s="1"/>
      <c r="F68" s="1"/>
      <c r="G68" s="1"/>
      <c r="H68" s="1"/>
      <c r="I68" s="1"/>
      <c r="J68" s="1"/>
      <c r="K68" s="1"/>
      <c r="L68" s="1"/>
      <c r="M68" s="1"/>
      <c r="N68" s="1"/>
      <c r="O68" s="1"/>
      <c r="P68" s="1"/>
      <c r="Q68" s="1"/>
    </row>
    <row r="69" spans="1:17" ht="12.75" customHeight="1">
      <c r="A69" s="1"/>
      <c r="B69" s="1"/>
      <c r="C69" s="1"/>
      <c r="D69" s="1"/>
      <c r="E69" s="1"/>
      <c r="F69" s="1"/>
      <c r="G69" s="1"/>
      <c r="H69" s="1"/>
      <c r="I69" s="1"/>
      <c r="J69" s="1"/>
      <c r="K69" s="1"/>
      <c r="L69" s="1"/>
      <c r="M69" s="1"/>
      <c r="N69" s="1"/>
      <c r="O69" s="1"/>
      <c r="P69" s="1"/>
      <c r="Q69" s="1"/>
    </row>
    <row r="70" spans="1:17" ht="12.75" customHeight="1">
      <c r="A70" s="1"/>
      <c r="B70" s="1"/>
      <c r="C70" s="1"/>
      <c r="D70" s="1"/>
      <c r="E70" s="1"/>
      <c r="F70" s="1"/>
      <c r="G70" s="1"/>
      <c r="H70" s="1"/>
      <c r="I70" s="1"/>
      <c r="J70" s="1"/>
      <c r="K70" s="1"/>
      <c r="L70" s="1"/>
      <c r="M70" s="1"/>
      <c r="N70" s="1"/>
      <c r="O70" s="1"/>
      <c r="P70" s="1"/>
      <c r="Q70" s="1"/>
    </row>
    <row r="71" spans="1:17" ht="12.75" customHeight="1">
      <c r="A71" s="1"/>
      <c r="B71" s="1"/>
      <c r="C71" s="1"/>
      <c r="D71" s="1"/>
      <c r="E71" s="1"/>
      <c r="F71" s="1"/>
      <c r="G71" s="1"/>
      <c r="H71" s="1"/>
      <c r="I71" s="1"/>
      <c r="J71" s="1"/>
      <c r="K71" s="1"/>
      <c r="L71" s="1"/>
      <c r="M71" s="1"/>
      <c r="N71" s="1"/>
      <c r="O71" s="1"/>
      <c r="P71" s="1"/>
      <c r="Q71" s="1"/>
    </row>
    <row r="72" spans="1:17" ht="12.75" customHeight="1">
      <c r="A72" s="1"/>
      <c r="B72" s="1"/>
      <c r="C72" s="1"/>
      <c r="D72" s="1"/>
      <c r="E72" s="1"/>
      <c r="F72" s="1"/>
      <c r="G72" s="1"/>
      <c r="H72" s="1"/>
      <c r="I72" s="1"/>
      <c r="J72" s="1"/>
      <c r="K72" s="1"/>
      <c r="L72" s="1"/>
      <c r="M72" s="1"/>
      <c r="N72" s="1"/>
      <c r="O72" s="1"/>
      <c r="P72" s="1"/>
      <c r="Q72" s="1"/>
    </row>
    <row r="73" spans="1:17" ht="12.75" customHeight="1">
      <c r="A73" s="1"/>
      <c r="B73" s="1"/>
      <c r="C73" s="1"/>
      <c r="D73" s="1"/>
      <c r="E73" s="1"/>
      <c r="F73" s="1"/>
      <c r="G73" s="1"/>
      <c r="H73" s="1"/>
      <c r="I73" s="1"/>
      <c r="J73" s="1"/>
      <c r="K73" s="1"/>
      <c r="L73" s="1"/>
      <c r="M73" s="1"/>
      <c r="N73" s="1"/>
      <c r="O73" s="1"/>
      <c r="P73" s="1"/>
      <c r="Q73" s="1"/>
    </row>
    <row r="74" spans="1:17" ht="12.75" customHeight="1">
      <c r="A74" s="1"/>
      <c r="B74" s="1"/>
      <c r="C74" s="1"/>
      <c r="D74" s="1"/>
      <c r="E74" s="1"/>
      <c r="F74" s="1"/>
      <c r="G74" s="1"/>
      <c r="H74" s="1"/>
      <c r="I74" s="1"/>
      <c r="J74" s="1"/>
      <c r="K74" s="1"/>
      <c r="L74" s="1"/>
      <c r="M74" s="1"/>
      <c r="N74" s="1"/>
      <c r="O74" s="1"/>
      <c r="P74" s="1"/>
      <c r="Q74" s="1"/>
    </row>
    <row r="75" spans="1:17" ht="12.75" customHeight="1">
      <c r="A75" s="1"/>
      <c r="B75" s="74"/>
      <c r="C75" s="74"/>
      <c r="D75" s="74"/>
      <c r="E75" s="74"/>
      <c r="F75" s="74"/>
      <c r="G75" s="74"/>
      <c r="H75" s="74"/>
      <c r="I75" s="74"/>
      <c r="J75" s="74"/>
      <c r="K75" s="74"/>
      <c r="L75" s="74"/>
      <c r="M75" s="74"/>
      <c r="N75" s="1"/>
      <c r="O75" s="1"/>
      <c r="P75" s="1"/>
      <c r="Q75" s="1"/>
    </row>
    <row r="76" spans="1:17" ht="24.75" customHeight="1">
      <c r="A76" s="1"/>
      <c r="B76" s="84" t="s">
        <v>1361</v>
      </c>
      <c r="C76" s="76"/>
      <c r="D76" s="76"/>
      <c r="E76" s="76"/>
      <c r="F76" s="76"/>
      <c r="G76" s="76"/>
      <c r="H76" s="76"/>
      <c r="I76" s="76"/>
      <c r="J76" s="76"/>
      <c r="K76" s="76"/>
      <c r="L76" s="76"/>
      <c r="M76" s="76"/>
      <c r="N76" s="1"/>
      <c r="O76" s="1"/>
      <c r="P76" s="1"/>
      <c r="Q76" s="1"/>
    </row>
    <row r="77" spans="1:17" ht="12.75" customHeight="1">
      <c r="A77" s="1"/>
      <c r="B77" s="1"/>
      <c r="C77" s="1"/>
      <c r="D77" s="1"/>
      <c r="E77" s="1"/>
      <c r="F77" s="1"/>
      <c r="G77" s="1"/>
      <c r="H77" s="1"/>
      <c r="I77" s="1"/>
      <c r="J77" s="1"/>
      <c r="K77" s="1"/>
      <c r="L77" s="1"/>
      <c r="M77" s="1"/>
      <c r="N77" s="1"/>
      <c r="O77" s="1"/>
      <c r="P77" s="1"/>
      <c r="Q77" s="1"/>
    </row>
    <row r="78" spans="1:17" ht="12.75" customHeight="1">
      <c r="A78" s="1"/>
      <c r="B78" s="1"/>
      <c r="C78" s="1"/>
      <c r="D78" s="1"/>
      <c r="E78" s="1"/>
      <c r="F78" s="1"/>
      <c r="G78" s="1"/>
      <c r="H78" s="1"/>
      <c r="I78" s="1"/>
      <c r="J78" s="1"/>
      <c r="K78" s="1"/>
      <c r="L78" s="1"/>
      <c r="M78" s="1"/>
      <c r="N78" s="1"/>
      <c r="O78" s="1"/>
      <c r="P78" s="1"/>
      <c r="Q78" s="1"/>
    </row>
    <row r="79" spans="1:17" ht="12.75" customHeight="1">
      <c r="A79" s="1"/>
      <c r="B79" s="1"/>
      <c r="C79" s="1"/>
      <c r="D79" s="1"/>
      <c r="E79" s="1"/>
      <c r="F79" s="1"/>
      <c r="G79" s="1"/>
      <c r="H79" s="1"/>
      <c r="I79" s="1"/>
      <c r="J79" s="1"/>
      <c r="K79" s="1"/>
      <c r="L79" s="1"/>
      <c r="M79" s="1"/>
      <c r="N79" s="1"/>
      <c r="O79" s="1"/>
      <c r="P79" s="1"/>
      <c r="Q79" s="1"/>
    </row>
    <row r="80" spans="1:17" ht="12.75" customHeight="1">
      <c r="A80" s="1"/>
      <c r="B80" s="1"/>
      <c r="C80" s="1"/>
      <c r="D80" s="1"/>
      <c r="E80" s="1"/>
      <c r="F80" s="1"/>
      <c r="G80" s="1"/>
      <c r="H80" s="1"/>
      <c r="I80" s="1"/>
      <c r="J80" s="1"/>
      <c r="K80" s="1"/>
      <c r="L80" s="1"/>
      <c r="M80" s="1"/>
      <c r="N80" s="1"/>
      <c r="O80" s="1"/>
      <c r="P80" s="1"/>
      <c r="Q80" s="1"/>
    </row>
    <row r="81" spans="1:17" ht="12.75" customHeight="1">
      <c r="A81" s="1"/>
      <c r="B81" s="1"/>
      <c r="C81" s="1"/>
      <c r="D81" s="1"/>
      <c r="E81" s="1"/>
      <c r="F81" s="1"/>
      <c r="G81" s="1"/>
      <c r="H81" s="1"/>
      <c r="I81" s="1"/>
      <c r="J81" s="1"/>
      <c r="K81" s="1"/>
      <c r="L81" s="1"/>
      <c r="M81" s="1"/>
      <c r="N81" s="1"/>
      <c r="O81" s="1"/>
      <c r="P81" s="1"/>
      <c r="Q81" s="1"/>
    </row>
    <row r="82" spans="1:17" ht="12.75" customHeight="1">
      <c r="A82" s="1"/>
      <c r="B82" s="1"/>
      <c r="C82" s="1"/>
      <c r="D82" s="1"/>
      <c r="E82" s="1"/>
      <c r="F82" s="1"/>
      <c r="G82" s="1"/>
      <c r="H82" s="1"/>
      <c r="I82" s="1"/>
      <c r="J82" s="1"/>
      <c r="K82" s="1"/>
      <c r="L82" s="1"/>
      <c r="M82" s="1"/>
      <c r="N82" s="1"/>
      <c r="O82" s="1"/>
      <c r="P82" s="1"/>
      <c r="Q82" s="1"/>
    </row>
    <row r="83" spans="1:17" ht="12.75" customHeight="1">
      <c r="A83" s="1"/>
      <c r="B83" s="1"/>
      <c r="C83" s="1"/>
      <c r="D83" s="1"/>
      <c r="E83" s="1"/>
      <c r="F83" s="1"/>
      <c r="G83" s="1"/>
      <c r="H83" s="1"/>
      <c r="I83" s="1"/>
      <c r="J83" s="1"/>
      <c r="K83" s="1"/>
      <c r="L83" s="1"/>
      <c r="M83" s="1"/>
      <c r="N83" s="1"/>
      <c r="O83" s="1"/>
      <c r="P83" s="1"/>
      <c r="Q83" s="1"/>
    </row>
    <row r="84" spans="1:17" ht="12.75" customHeight="1">
      <c r="A84" s="1"/>
      <c r="B84" s="1"/>
      <c r="C84" s="1"/>
      <c r="D84" s="1"/>
      <c r="E84" s="1"/>
      <c r="F84" s="1"/>
      <c r="G84" s="1"/>
      <c r="H84" s="1"/>
      <c r="I84" s="1"/>
      <c r="J84" s="1"/>
      <c r="K84" s="1"/>
      <c r="L84" s="1"/>
      <c r="M84" s="1"/>
      <c r="N84" s="1"/>
      <c r="O84" s="1"/>
      <c r="P84" s="1"/>
      <c r="Q84" s="1"/>
    </row>
    <row r="85" spans="1:17" ht="12.75" customHeight="1">
      <c r="A85" s="1"/>
      <c r="B85" s="1"/>
      <c r="C85" s="1"/>
      <c r="D85" s="1"/>
      <c r="E85" s="1"/>
      <c r="F85" s="1"/>
      <c r="G85" s="1"/>
      <c r="H85" s="1"/>
      <c r="I85" s="1"/>
      <c r="J85" s="1"/>
      <c r="K85" s="1"/>
      <c r="L85" s="1"/>
      <c r="M85" s="1"/>
      <c r="N85" s="1"/>
      <c r="O85" s="1"/>
      <c r="P85" s="1"/>
      <c r="Q85" s="1"/>
    </row>
    <row r="86" spans="1:17" ht="12.75" customHeight="1">
      <c r="A86" s="1"/>
      <c r="B86" s="1"/>
      <c r="C86" s="1"/>
      <c r="D86" s="1"/>
      <c r="E86" s="1"/>
      <c r="F86" s="1"/>
      <c r="G86" s="1"/>
      <c r="H86" s="1"/>
      <c r="I86" s="1"/>
      <c r="J86" s="1"/>
      <c r="K86" s="1"/>
      <c r="L86" s="1"/>
      <c r="M86" s="1"/>
      <c r="N86" s="1"/>
      <c r="O86" s="1"/>
      <c r="P86" s="1"/>
      <c r="Q86" s="1"/>
    </row>
    <row r="87" spans="1:17" ht="12.75" customHeight="1">
      <c r="A87" s="1"/>
      <c r="B87" s="1"/>
      <c r="C87" s="1"/>
      <c r="D87" s="1"/>
      <c r="E87" s="1"/>
      <c r="F87" s="1"/>
      <c r="G87" s="1"/>
      <c r="H87" s="1"/>
      <c r="I87" s="1"/>
      <c r="J87" s="1"/>
      <c r="K87" s="1"/>
      <c r="L87" s="1"/>
      <c r="M87" s="1"/>
      <c r="N87" s="1"/>
      <c r="O87" s="1"/>
      <c r="P87" s="1"/>
      <c r="Q87" s="1"/>
    </row>
    <row r="88" spans="1:17" ht="12.75" customHeight="1">
      <c r="A88" s="1"/>
      <c r="B88" s="1"/>
      <c r="C88" s="1"/>
      <c r="D88" s="1"/>
      <c r="E88" s="1"/>
      <c r="F88" s="1"/>
      <c r="G88" s="1"/>
      <c r="H88" s="1"/>
      <c r="I88" s="1"/>
      <c r="J88" s="1"/>
      <c r="K88" s="1"/>
      <c r="L88" s="1"/>
      <c r="M88" s="1"/>
      <c r="N88" s="1"/>
      <c r="O88" s="1"/>
      <c r="P88" s="1"/>
      <c r="Q88" s="1"/>
    </row>
    <row r="89" spans="1:17" ht="12.75" customHeight="1">
      <c r="A89" s="1"/>
      <c r="B89" s="1"/>
      <c r="C89" s="1"/>
      <c r="D89" s="1"/>
      <c r="E89" s="1"/>
      <c r="F89" s="1"/>
      <c r="G89" s="1"/>
      <c r="H89" s="1"/>
      <c r="I89" s="1"/>
      <c r="J89" s="1"/>
      <c r="K89" s="1"/>
      <c r="L89" s="1"/>
      <c r="M89" s="1"/>
      <c r="N89" s="1"/>
      <c r="O89" s="1"/>
      <c r="P89" s="1"/>
      <c r="Q89" s="1"/>
    </row>
    <row r="90" spans="1:17" ht="12.75" customHeight="1">
      <c r="A90" s="1"/>
      <c r="B90" s="1"/>
      <c r="C90" s="1"/>
      <c r="D90" s="1"/>
      <c r="E90" s="1"/>
      <c r="F90" s="1"/>
      <c r="G90" s="1"/>
      <c r="H90" s="1"/>
      <c r="I90" s="1"/>
      <c r="J90" s="1"/>
      <c r="K90" s="1"/>
      <c r="L90" s="1"/>
      <c r="M90" s="1"/>
      <c r="N90" s="1"/>
      <c r="O90" s="1"/>
      <c r="P90" s="1"/>
      <c r="Q90" s="1"/>
    </row>
    <row r="91" spans="1:17" ht="12.75" customHeight="1">
      <c r="A91" s="1"/>
      <c r="B91" s="1"/>
      <c r="C91" s="1"/>
      <c r="D91" s="1"/>
      <c r="E91" s="1"/>
      <c r="F91" s="1"/>
      <c r="G91" s="1"/>
      <c r="H91" s="1"/>
      <c r="I91" s="1"/>
      <c r="J91" s="1"/>
      <c r="K91" s="1"/>
      <c r="L91" s="1"/>
      <c r="M91" s="1"/>
      <c r="N91" s="1"/>
      <c r="O91" s="1"/>
      <c r="P91" s="1"/>
      <c r="Q91" s="1"/>
    </row>
    <row r="92" spans="1:17" ht="12.75" customHeight="1">
      <c r="A92" s="1"/>
      <c r="B92" s="1"/>
      <c r="C92" s="1"/>
      <c r="D92" s="1"/>
      <c r="E92" s="1"/>
      <c r="F92" s="1"/>
      <c r="G92" s="1"/>
      <c r="H92" s="1"/>
      <c r="I92" s="1"/>
      <c r="J92" s="1"/>
      <c r="K92" s="1"/>
      <c r="L92" s="1"/>
      <c r="M92" s="1"/>
      <c r="N92" s="1"/>
      <c r="O92" s="1"/>
      <c r="P92" s="1"/>
      <c r="Q92" s="1"/>
    </row>
    <row r="93" spans="1:17" ht="12.75" customHeight="1">
      <c r="A93" s="1"/>
      <c r="B93" s="1"/>
      <c r="C93" s="1"/>
      <c r="D93" s="1"/>
      <c r="E93" s="1"/>
      <c r="F93" s="1"/>
      <c r="G93" s="1"/>
      <c r="H93" s="1"/>
      <c r="I93" s="1"/>
      <c r="J93" s="1"/>
      <c r="K93" s="1"/>
      <c r="L93" s="1"/>
      <c r="M93" s="1"/>
      <c r="N93" s="1"/>
      <c r="O93" s="1"/>
      <c r="P93" s="1"/>
      <c r="Q93" s="1"/>
    </row>
    <row r="94" spans="1:17" ht="12.75" customHeight="1">
      <c r="A94" s="1"/>
      <c r="B94" s="1"/>
      <c r="C94" s="1"/>
      <c r="D94" s="1"/>
      <c r="E94" s="1"/>
      <c r="F94" s="1"/>
      <c r="G94" s="1"/>
      <c r="H94" s="1"/>
      <c r="I94" s="1"/>
      <c r="J94" s="1"/>
      <c r="K94" s="1"/>
      <c r="L94" s="1"/>
      <c r="M94" s="1"/>
      <c r="N94" s="1"/>
      <c r="O94" s="1"/>
      <c r="P94" s="1"/>
      <c r="Q94" s="1"/>
    </row>
    <row r="95" spans="1:17" ht="12.75" customHeight="1">
      <c r="A95" s="1"/>
      <c r="B95" s="1"/>
      <c r="C95" s="1"/>
      <c r="D95" s="1"/>
      <c r="E95" s="1"/>
      <c r="F95" s="1"/>
      <c r="G95" s="1"/>
      <c r="H95" s="1"/>
      <c r="I95" s="1"/>
      <c r="J95" s="1"/>
      <c r="K95" s="1"/>
      <c r="L95" s="1"/>
      <c r="M95" s="1"/>
      <c r="N95" s="1"/>
      <c r="O95" s="1"/>
      <c r="P95" s="1"/>
      <c r="Q95" s="1"/>
    </row>
    <row r="96" spans="1:17" ht="12.75" customHeight="1">
      <c r="A96" s="1"/>
      <c r="B96" s="1"/>
      <c r="C96" s="1"/>
      <c r="D96" s="1"/>
      <c r="E96" s="1"/>
      <c r="F96" s="1"/>
      <c r="G96" s="1"/>
      <c r="H96" s="1"/>
      <c r="I96" s="1"/>
      <c r="J96" s="1"/>
      <c r="K96" s="1"/>
      <c r="L96" s="1"/>
      <c r="M96" s="1"/>
      <c r="N96" s="1"/>
      <c r="O96" s="1"/>
      <c r="P96" s="1"/>
      <c r="Q96" s="1"/>
    </row>
    <row r="97" spans="1:17" ht="12.75" customHeight="1">
      <c r="A97" s="1"/>
      <c r="B97" s="1"/>
      <c r="C97" s="1"/>
      <c r="D97" s="1"/>
      <c r="E97" s="1"/>
      <c r="F97" s="1"/>
      <c r="G97" s="1"/>
      <c r="H97" s="1"/>
      <c r="I97" s="1"/>
      <c r="J97" s="1"/>
      <c r="K97" s="1"/>
      <c r="L97" s="1"/>
      <c r="M97" s="1"/>
      <c r="N97" s="1"/>
      <c r="O97" s="1"/>
      <c r="P97" s="1"/>
      <c r="Q97" s="1"/>
    </row>
    <row r="98" spans="1:17" ht="12.75" customHeight="1">
      <c r="A98" s="1"/>
      <c r="B98" s="1"/>
      <c r="C98" s="1"/>
      <c r="D98" s="1"/>
      <c r="E98" s="1"/>
      <c r="F98" s="1"/>
      <c r="G98" s="1"/>
      <c r="H98" s="1"/>
      <c r="I98" s="1"/>
      <c r="J98" s="1"/>
      <c r="K98" s="1"/>
      <c r="L98" s="1"/>
      <c r="M98" s="1"/>
      <c r="N98" s="1"/>
      <c r="O98" s="1"/>
      <c r="P98" s="1"/>
      <c r="Q98" s="1"/>
    </row>
    <row r="99" spans="1:17" ht="12.75" customHeight="1">
      <c r="A99" s="1"/>
      <c r="B99" s="1"/>
      <c r="C99" s="1"/>
      <c r="D99" s="1"/>
      <c r="E99" s="1"/>
      <c r="F99" s="1"/>
      <c r="G99" s="1"/>
      <c r="H99" s="1"/>
      <c r="I99" s="1"/>
      <c r="J99" s="1"/>
      <c r="K99" s="1"/>
      <c r="L99" s="1"/>
      <c r="M99" s="1"/>
      <c r="N99" s="1"/>
      <c r="O99" s="1"/>
      <c r="P99" s="1"/>
      <c r="Q99" s="1"/>
    </row>
    <row r="100" spans="1:17" ht="12.75" customHeight="1">
      <c r="A100" s="1"/>
      <c r="B100" s="1"/>
      <c r="C100" s="1"/>
      <c r="D100" s="1"/>
      <c r="E100" s="1"/>
      <c r="F100" s="1"/>
      <c r="G100" s="1"/>
      <c r="H100" s="1"/>
      <c r="I100" s="1"/>
      <c r="J100" s="1"/>
      <c r="K100" s="1"/>
      <c r="L100" s="1"/>
      <c r="M100" s="1"/>
      <c r="N100" s="1"/>
      <c r="O100" s="1"/>
      <c r="P100" s="1"/>
      <c r="Q100" s="1"/>
    </row>
    <row r="101" spans="1:17" ht="12.75" customHeight="1">
      <c r="A101" s="1"/>
      <c r="B101" s="1"/>
      <c r="C101" s="1"/>
      <c r="D101" s="1"/>
      <c r="E101" s="1"/>
      <c r="F101" s="1"/>
      <c r="G101" s="1"/>
      <c r="H101" s="1"/>
      <c r="I101" s="1"/>
      <c r="J101" s="1"/>
      <c r="K101" s="1"/>
      <c r="L101" s="1"/>
      <c r="M101" s="1"/>
      <c r="N101" s="1"/>
      <c r="O101" s="1"/>
      <c r="P101" s="1"/>
      <c r="Q101" s="1"/>
    </row>
    <row r="102" spans="1:17" ht="12.75" customHeight="1">
      <c r="A102" s="1"/>
      <c r="B102" s="1"/>
      <c r="C102" s="1"/>
      <c r="D102" s="1"/>
      <c r="E102" s="1"/>
      <c r="F102" s="1"/>
      <c r="G102" s="1"/>
      <c r="H102" s="1"/>
      <c r="I102" s="1"/>
      <c r="J102" s="1"/>
      <c r="K102" s="1"/>
      <c r="L102" s="1"/>
      <c r="M102" s="1"/>
      <c r="N102" s="1"/>
      <c r="O102" s="1"/>
      <c r="P102" s="1"/>
      <c r="Q102" s="1"/>
    </row>
    <row r="103" spans="1:17" ht="12.75" customHeight="1">
      <c r="A103" s="1"/>
      <c r="B103" s="1"/>
      <c r="C103" s="1"/>
      <c r="D103" s="1"/>
      <c r="E103" s="1"/>
      <c r="F103" s="1"/>
      <c r="G103" s="1"/>
      <c r="H103" s="1"/>
      <c r="I103" s="1"/>
      <c r="J103" s="1"/>
      <c r="K103" s="1"/>
      <c r="L103" s="1"/>
      <c r="M103" s="1"/>
      <c r="N103" s="1"/>
      <c r="O103" s="1"/>
      <c r="P103" s="1"/>
      <c r="Q103" s="1"/>
    </row>
    <row r="104" spans="1:17" ht="12.75" customHeight="1">
      <c r="A104" s="1"/>
      <c r="B104" s="1"/>
      <c r="C104" s="1"/>
      <c r="D104" s="1"/>
      <c r="E104" s="1"/>
      <c r="F104" s="1"/>
      <c r="G104" s="1"/>
      <c r="H104" s="1"/>
      <c r="I104" s="1"/>
      <c r="J104" s="1"/>
      <c r="K104" s="1"/>
      <c r="L104" s="1"/>
      <c r="M104" s="1"/>
      <c r="N104" s="1"/>
      <c r="O104" s="1"/>
      <c r="P104" s="1"/>
      <c r="Q104" s="1"/>
    </row>
    <row r="105" spans="1:17" ht="12.75" customHeight="1"/>
    <row r="106" spans="1:17" ht="12.75" customHeight="1"/>
    <row r="107" spans="1:17" ht="12.75" customHeight="1"/>
    <row r="108" spans="1:17" ht="12.75" customHeight="1"/>
    <row r="109" spans="1:17" ht="12.75" customHeight="1"/>
    <row r="110" spans="1:17" ht="12.75" customHeight="1"/>
    <row r="111" spans="1:17" ht="12.75" customHeight="1"/>
    <row r="112" spans="1:17"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sheetData>
  <mergeCells count="14">
    <mergeCell ref="B7:C7"/>
    <mergeCell ref="B76:M76"/>
    <mergeCell ref="B2:M2"/>
    <mergeCell ref="B5:C5"/>
    <mergeCell ref="E5:G5"/>
    <mergeCell ref="I5:J5"/>
    <mergeCell ref="B6:C6"/>
    <mergeCell ref="I6:J6"/>
    <mergeCell ref="L5:M5"/>
    <mergeCell ref="L6:M6"/>
    <mergeCell ref="E6:G6"/>
    <mergeCell ref="E7:G7"/>
    <mergeCell ref="I7:J7"/>
    <mergeCell ref="L7:M7"/>
  </mergeCells>
  <pageMargins left="0.511811024" right="0.511811024" top="0.78740157499999996" bottom="0.78740157499999996"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K932"/>
  <sheetViews>
    <sheetView zoomScale="70" zoomScaleNormal="70" workbookViewId="0">
      <pane ySplit="1" topLeftCell="A60" activePane="bottomLeft" state="frozen"/>
      <selection pane="bottomLeft" activeCell="C2" sqref="C2:C62"/>
    </sheetView>
  </sheetViews>
  <sheetFormatPr defaultColWidth="12.5703125" defaultRowHeight="12"/>
  <cols>
    <col min="1" max="1" width="21.42578125" style="86" customWidth="1"/>
    <col min="2" max="2" width="16" style="86" bestFit="1" customWidth="1"/>
    <col min="3" max="3" width="6.42578125" style="86" customWidth="1"/>
    <col min="4" max="4" width="11.7109375" style="86" customWidth="1"/>
    <col min="5" max="5" width="9.85546875" style="86" bestFit="1" customWidth="1"/>
    <col min="6" max="6" width="22" style="86" customWidth="1"/>
    <col min="7" max="7" width="19.5703125" style="86" bestFit="1" customWidth="1"/>
    <col min="8" max="8" width="19.5703125" style="86" customWidth="1"/>
    <col min="9" max="9" width="14.140625" style="86" bestFit="1" customWidth="1"/>
    <col min="10" max="10" width="30.85546875" style="86" bestFit="1" customWidth="1"/>
    <col min="11" max="11" width="46.28515625" style="86" bestFit="1" customWidth="1"/>
    <col min="12" max="12" width="48.28515625" style="86" bestFit="1" customWidth="1"/>
    <col min="13" max="13" width="24.28515625" style="86" bestFit="1" customWidth="1"/>
    <col min="14" max="14" width="120.5703125" style="86" customWidth="1"/>
    <col min="15" max="15" width="23.7109375" style="86" bestFit="1" customWidth="1"/>
    <col min="16" max="16" width="23.140625" style="86" bestFit="1" customWidth="1"/>
    <col min="17" max="17" width="37.42578125" style="86" customWidth="1"/>
    <col min="18" max="18" width="26.7109375" style="86" bestFit="1" customWidth="1"/>
    <col min="19" max="19" width="46.7109375" style="86" customWidth="1"/>
    <col min="20" max="20" width="15.7109375" style="86" bestFit="1" customWidth="1"/>
    <col min="21" max="21" width="17.5703125" style="86" bestFit="1" customWidth="1"/>
    <col min="22" max="22" width="27.7109375" style="86" bestFit="1" customWidth="1"/>
    <col min="23" max="23" width="21.42578125" style="86" bestFit="1" customWidth="1"/>
    <col min="24" max="24" width="24.85546875" style="86" customWidth="1"/>
    <col min="25" max="25" width="13.7109375" style="86" bestFit="1" customWidth="1"/>
    <col min="26" max="26" width="19.28515625" style="86" bestFit="1" customWidth="1"/>
    <col min="27" max="27" width="22.140625" style="86" customWidth="1"/>
    <col min="28" max="28" width="23.5703125" style="86" bestFit="1" customWidth="1"/>
    <col min="29" max="29" width="18" style="86" bestFit="1" customWidth="1"/>
    <col min="30" max="30" width="16.140625" style="86" customWidth="1"/>
    <col min="31" max="32" width="21.140625" style="86" bestFit="1" customWidth="1"/>
    <col min="33" max="33" width="16.42578125" style="86" bestFit="1" customWidth="1"/>
    <col min="34" max="34" width="17" style="86" customWidth="1"/>
    <col min="35" max="35" width="15.5703125" style="86" customWidth="1"/>
    <col min="36" max="37" width="12.42578125" style="86" customWidth="1"/>
    <col min="38" max="16384" width="12.5703125" style="86"/>
  </cols>
  <sheetData>
    <row r="1" spans="1:37" ht="72">
      <c r="A1" s="161" t="s">
        <v>70</v>
      </c>
      <c r="B1" s="161" t="s">
        <v>71</v>
      </c>
      <c r="C1" s="85" t="s">
        <v>72</v>
      </c>
      <c r="D1" s="85" t="s">
        <v>73</v>
      </c>
      <c r="E1" s="85" t="s">
        <v>74</v>
      </c>
      <c r="F1" s="85" t="s">
        <v>75</v>
      </c>
      <c r="G1" s="85" t="s">
        <v>76</v>
      </c>
      <c r="H1" s="85" t="s">
        <v>77</v>
      </c>
      <c r="I1" s="85" t="s">
        <v>78</v>
      </c>
      <c r="J1" s="85" t="s">
        <v>79</v>
      </c>
      <c r="K1" s="85" t="s">
        <v>80</v>
      </c>
      <c r="L1" s="85" t="s">
        <v>81</v>
      </c>
      <c r="M1" s="85" t="s">
        <v>82</v>
      </c>
      <c r="N1" s="85" t="s">
        <v>83</v>
      </c>
      <c r="O1" s="85" t="s">
        <v>84</v>
      </c>
      <c r="P1" s="85" t="s">
        <v>85</v>
      </c>
      <c r="Q1" s="85" t="s">
        <v>86</v>
      </c>
      <c r="R1" s="85" t="s">
        <v>87</v>
      </c>
      <c r="S1" s="85" t="s">
        <v>88</v>
      </c>
      <c r="T1" s="85" t="s">
        <v>89</v>
      </c>
      <c r="U1" s="85" t="s">
        <v>90</v>
      </c>
      <c r="V1" s="85" t="s">
        <v>91</v>
      </c>
      <c r="W1" s="85" t="s">
        <v>92</v>
      </c>
      <c r="X1" s="85" t="s">
        <v>93</v>
      </c>
      <c r="Y1" s="85" t="s">
        <v>94</v>
      </c>
      <c r="Z1" s="85" t="s">
        <v>95</v>
      </c>
      <c r="AA1" s="85" t="s">
        <v>96</v>
      </c>
      <c r="AB1" s="85" t="s">
        <v>97</v>
      </c>
      <c r="AC1" s="162" t="s">
        <v>98</v>
      </c>
      <c r="AD1" s="85" t="s">
        <v>99</v>
      </c>
      <c r="AE1" s="162" t="s">
        <v>100</v>
      </c>
      <c r="AF1" s="162" t="s">
        <v>101</v>
      </c>
      <c r="AG1" s="85" t="s">
        <v>102</v>
      </c>
      <c r="AH1" s="85" t="s">
        <v>103</v>
      </c>
      <c r="AI1" s="85" t="s">
        <v>104</v>
      </c>
      <c r="AJ1" s="91"/>
      <c r="AK1" s="91"/>
    </row>
    <row r="2" spans="1:37" s="172" customFormat="1" ht="72">
      <c r="A2" s="130">
        <v>45877</v>
      </c>
      <c r="B2" s="130">
        <v>45881</v>
      </c>
      <c r="C2" s="131" t="s">
        <v>105</v>
      </c>
      <c r="D2" s="131" t="s">
        <v>106</v>
      </c>
      <c r="E2" s="131" t="s">
        <v>107</v>
      </c>
      <c r="F2" s="132" t="s">
        <v>108</v>
      </c>
      <c r="G2" s="131" t="s">
        <v>109</v>
      </c>
      <c r="H2" s="131" t="s">
        <v>110</v>
      </c>
      <c r="I2" s="131" t="s">
        <v>111</v>
      </c>
      <c r="J2" s="131" t="s">
        <v>112</v>
      </c>
      <c r="K2" s="131" t="s">
        <v>113</v>
      </c>
      <c r="L2" s="131" t="s">
        <v>1308</v>
      </c>
      <c r="M2" s="131" t="s">
        <v>114</v>
      </c>
      <c r="N2" s="170" t="s">
        <v>1309</v>
      </c>
      <c r="O2" s="131" t="s">
        <v>115</v>
      </c>
      <c r="P2" s="131" t="s">
        <v>116</v>
      </c>
      <c r="Q2" s="131" t="s">
        <v>117</v>
      </c>
      <c r="R2" s="131" t="s">
        <v>118</v>
      </c>
      <c r="S2" s="131" t="s">
        <v>118</v>
      </c>
      <c r="T2" s="131" t="s">
        <v>118</v>
      </c>
      <c r="U2" s="131" t="s">
        <v>118</v>
      </c>
      <c r="V2" s="131" t="s">
        <v>118</v>
      </c>
      <c r="W2" s="131" t="s">
        <v>118</v>
      </c>
      <c r="X2" s="131" t="s">
        <v>118</v>
      </c>
      <c r="Y2" s="131" t="s">
        <v>118</v>
      </c>
      <c r="Z2" s="131" t="s">
        <v>118</v>
      </c>
      <c r="AA2" s="131" t="s">
        <v>119</v>
      </c>
      <c r="AB2" s="131" t="s">
        <v>120</v>
      </c>
      <c r="AC2" s="171" t="s">
        <v>121</v>
      </c>
      <c r="AD2" s="131" t="s">
        <v>121</v>
      </c>
      <c r="AE2" s="134" t="s">
        <v>118</v>
      </c>
      <c r="AF2" s="171" t="s">
        <v>118</v>
      </c>
      <c r="AG2" s="134" t="s">
        <v>118</v>
      </c>
      <c r="AH2" s="134" t="s">
        <v>122</v>
      </c>
      <c r="AI2" s="131" t="s">
        <v>123</v>
      </c>
      <c r="AJ2" s="131"/>
      <c r="AK2" s="131"/>
    </row>
    <row r="3" spans="1:37" s="172" customFormat="1" ht="120">
      <c r="A3" s="130" t="s">
        <v>124</v>
      </c>
      <c r="B3" s="130">
        <v>45254</v>
      </c>
      <c r="C3" s="131" t="s">
        <v>105</v>
      </c>
      <c r="D3" s="131" t="s">
        <v>106</v>
      </c>
      <c r="E3" s="131" t="s">
        <v>107</v>
      </c>
      <c r="F3" s="132" t="s">
        <v>108</v>
      </c>
      <c r="G3" s="131" t="s">
        <v>109</v>
      </c>
      <c r="H3" s="131" t="s">
        <v>110</v>
      </c>
      <c r="I3" s="131" t="s">
        <v>111</v>
      </c>
      <c r="J3" s="131" t="s">
        <v>125</v>
      </c>
      <c r="K3" s="132" t="s">
        <v>126</v>
      </c>
      <c r="L3" s="131" t="s">
        <v>127</v>
      </c>
      <c r="M3" s="132" t="s">
        <v>114</v>
      </c>
      <c r="N3" s="131" t="s">
        <v>1310</v>
      </c>
      <c r="O3" s="131" t="s">
        <v>128</v>
      </c>
      <c r="P3" s="131" t="s">
        <v>116</v>
      </c>
      <c r="Q3" s="131" t="s">
        <v>129</v>
      </c>
      <c r="R3" s="131" t="s">
        <v>118</v>
      </c>
      <c r="S3" s="131" t="s">
        <v>130</v>
      </c>
      <c r="T3" s="131" t="s">
        <v>131</v>
      </c>
      <c r="U3" s="131" t="s">
        <v>132</v>
      </c>
      <c r="V3" s="131" t="s">
        <v>118</v>
      </c>
      <c r="W3" s="131" t="s">
        <v>118</v>
      </c>
      <c r="X3" s="131" t="s">
        <v>118</v>
      </c>
      <c r="Y3" s="131" t="s">
        <v>109</v>
      </c>
      <c r="Z3" s="131" t="s">
        <v>118</v>
      </c>
      <c r="AA3" s="131" t="s">
        <v>133</v>
      </c>
      <c r="AB3" s="131" t="s">
        <v>134</v>
      </c>
      <c r="AC3" s="171" t="s">
        <v>135</v>
      </c>
      <c r="AD3" s="131" t="s">
        <v>118</v>
      </c>
      <c r="AE3" s="134" t="s">
        <v>136</v>
      </c>
      <c r="AF3" s="171" t="s">
        <v>136</v>
      </c>
      <c r="AG3" s="135" t="s">
        <v>137</v>
      </c>
      <c r="AH3" s="135" t="s">
        <v>138</v>
      </c>
      <c r="AI3" s="131" t="s">
        <v>123</v>
      </c>
      <c r="AJ3" s="131"/>
      <c r="AK3" s="131"/>
    </row>
    <row r="4" spans="1:37" s="172" customFormat="1" ht="48">
      <c r="A4" s="130">
        <v>45448</v>
      </c>
      <c r="B4" s="130">
        <v>45462</v>
      </c>
      <c r="C4" s="131" t="s">
        <v>139</v>
      </c>
      <c r="D4" s="131" t="s">
        <v>106</v>
      </c>
      <c r="E4" s="131" t="s">
        <v>107</v>
      </c>
      <c r="F4" s="132" t="s">
        <v>108</v>
      </c>
      <c r="G4" s="131" t="s">
        <v>109</v>
      </c>
      <c r="H4" s="131" t="s">
        <v>110</v>
      </c>
      <c r="I4" s="131" t="s">
        <v>111</v>
      </c>
      <c r="J4" s="131" t="s">
        <v>140</v>
      </c>
      <c r="K4" s="131" t="s">
        <v>141</v>
      </c>
      <c r="L4" s="131" t="s">
        <v>142</v>
      </c>
      <c r="M4" s="131" t="s">
        <v>143</v>
      </c>
      <c r="N4" s="131" t="s">
        <v>1324</v>
      </c>
      <c r="O4" s="131" t="s">
        <v>144</v>
      </c>
      <c r="P4" s="131" t="s">
        <v>145</v>
      </c>
      <c r="Q4" s="131" t="s">
        <v>146</v>
      </c>
      <c r="R4" s="131" t="s">
        <v>118</v>
      </c>
      <c r="S4" s="131" t="s">
        <v>118</v>
      </c>
      <c r="T4" s="131" t="s">
        <v>118</v>
      </c>
      <c r="U4" s="131" t="s">
        <v>118</v>
      </c>
      <c r="V4" s="131" t="s">
        <v>118</v>
      </c>
      <c r="W4" s="131" t="s">
        <v>118</v>
      </c>
      <c r="X4" s="131" t="s">
        <v>118</v>
      </c>
      <c r="Y4" s="131" t="s">
        <v>109</v>
      </c>
      <c r="Z4" s="131" t="s">
        <v>118</v>
      </c>
      <c r="AA4" s="131" t="s">
        <v>133</v>
      </c>
      <c r="AB4" s="131" t="s">
        <v>147</v>
      </c>
      <c r="AC4" s="171" t="s">
        <v>148</v>
      </c>
      <c r="AD4" s="131" t="s">
        <v>118</v>
      </c>
      <c r="AE4" s="134" t="s">
        <v>118</v>
      </c>
      <c r="AF4" s="171" t="s">
        <v>148</v>
      </c>
      <c r="AG4" s="135" t="s">
        <v>149</v>
      </c>
      <c r="AH4" s="135" t="s">
        <v>122</v>
      </c>
      <c r="AI4" s="131" t="s">
        <v>123</v>
      </c>
      <c r="AJ4" s="131"/>
      <c r="AK4" s="131"/>
    </row>
    <row r="5" spans="1:37" s="172" customFormat="1" ht="72">
      <c r="A5" s="136">
        <v>45814</v>
      </c>
      <c r="B5" s="130">
        <v>45814</v>
      </c>
      <c r="C5" s="137" t="s">
        <v>139</v>
      </c>
      <c r="D5" s="137" t="s">
        <v>106</v>
      </c>
      <c r="E5" s="137" t="s">
        <v>107</v>
      </c>
      <c r="F5" s="132" t="s">
        <v>108</v>
      </c>
      <c r="G5" s="137" t="s">
        <v>109</v>
      </c>
      <c r="H5" s="137" t="s">
        <v>110</v>
      </c>
      <c r="I5" s="137" t="s">
        <v>111</v>
      </c>
      <c r="J5" s="137" t="s">
        <v>150</v>
      </c>
      <c r="K5" s="137" t="s">
        <v>151</v>
      </c>
      <c r="L5" s="137" t="s">
        <v>152</v>
      </c>
      <c r="M5" s="137" t="s">
        <v>153</v>
      </c>
      <c r="N5" s="139" t="s">
        <v>1325</v>
      </c>
      <c r="O5" s="137" t="s">
        <v>154</v>
      </c>
      <c r="P5" s="131" t="s">
        <v>155</v>
      </c>
      <c r="Q5" s="131" t="s">
        <v>156</v>
      </c>
      <c r="R5" s="131" t="s">
        <v>118</v>
      </c>
      <c r="S5" s="131" t="s">
        <v>157</v>
      </c>
      <c r="T5" s="131" t="s">
        <v>118</v>
      </c>
      <c r="U5" s="131" t="s">
        <v>118</v>
      </c>
      <c r="V5" s="131" t="s">
        <v>118</v>
      </c>
      <c r="W5" s="131" t="s">
        <v>118</v>
      </c>
      <c r="X5" s="131" t="s">
        <v>118</v>
      </c>
      <c r="Y5" s="131" t="s">
        <v>118</v>
      </c>
      <c r="Z5" s="131" t="s">
        <v>118</v>
      </c>
      <c r="AA5" s="137" t="s">
        <v>158</v>
      </c>
      <c r="AB5" s="137" t="s">
        <v>159</v>
      </c>
      <c r="AC5" s="173">
        <v>187309.39</v>
      </c>
      <c r="AD5" s="140">
        <v>187309.39</v>
      </c>
      <c r="AE5" s="134" t="s">
        <v>118</v>
      </c>
      <c r="AF5" s="171" t="s">
        <v>118</v>
      </c>
      <c r="AG5" s="135" t="s">
        <v>149</v>
      </c>
      <c r="AH5" s="135" t="s">
        <v>122</v>
      </c>
      <c r="AI5" s="131" t="s">
        <v>123</v>
      </c>
      <c r="AJ5" s="137"/>
      <c r="AK5" s="137"/>
    </row>
    <row r="6" spans="1:37" s="172" customFormat="1" ht="108">
      <c r="A6" s="130">
        <v>44994</v>
      </c>
      <c r="B6" s="130">
        <v>44994</v>
      </c>
      <c r="C6" s="131" t="s">
        <v>160</v>
      </c>
      <c r="D6" s="131" t="s">
        <v>106</v>
      </c>
      <c r="E6" s="131" t="s">
        <v>107</v>
      </c>
      <c r="F6" s="132" t="s">
        <v>108</v>
      </c>
      <c r="G6" s="131" t="s">
        <v>109</v>
      </c>
      <c r="H6" s="131" t="s">
        <v>110</v>
      </c>
      <c r="I6" s="131" t="s">
        <v>111</v>
      </c>
      <c r="J6" s="131" t="s">
        <v>161</v>
      </c>
      <c r="K6" s="132" t="s">
        <v>162</v>
      </c>
      <c r="L6" s="131" t="s">
        <v>163</v>
      </c>
      <c r="M6" s="131" t="s">
        <v>164</v>
      </c>
      <c r="N6" s="132" t="s">
        <v>1326</v>
      </c>
      <c r="O6" s="131" t="s">
        <v>165</v>
      </c>
      <c r="P6" s="131" t="s">
        <v>166</v>
      </c>
      <c r="Q6" s="131" t="s">
        <v>167</v>
      </c>
      <c r="R6" s="131" t="s">
        <v>118</v>
      </c>
      <c r="S6" s="131" t="s">
        <v>157</v>
      </c>
      <c r="T6" s="131" t="s">
        <v>168</v>
      </c>
      <c r="U6" s="131" t="s">
        <v>169</v>
      </c>
      <c r="V6" s="131" t="s">
        <v>118</v>
      </c>
      <c r="W6" s="131" t="s">
        <v>118</v>
      </c>
      <c r="X6" s="131" t="s">
        <v>118</v>
      </c>
      <c r="Y6" s="131" t="s">
        <v>109</v>
      </c>
      <c r="Z6" s="131" t="s">
        <v>118</v>
      </c>
      <c r="AA6" s="131" t="s">
        <v>170</v>
      </c>
      <c r="AB6" s="131" t="s">
        <v>171</v>
      </c>
      <c r="AC6" s="171">
        <v>439263.14</v>
      </c>
      <c r="AD6" s="131" t="s">
        <v>118</v>
      </c>
      <c r="AE6" s="134" t="s">
        <v>118</v>
      </c>
      <c r="AF6" s="171">
        <v>439263.14</v>
      </c>
      <c r="AG6" s="135" t="s">
        <v>149</v>
      </c>
      <c r="AH6" s="135" t="s">
        <v>138</v>
      </c>
      <c r="AI6" s="131" t="s">
        <v>123</v>
      </c>
      <c r="AJ6" s="131"/>
      <c r="AK6" s="131"/>
    </row>
    <row r="7" spans="1:37" s="172" customFormat="1" ht="84">
      <c r="A7" s="130">
        <v>45265</v>
      </c>
      <c r="B7" s="130">
        <v>45267</v>
      </c>
      <c r="C7" s="131" t="s">
        <v>105</v>
      </c>
      <c r="D7" s="131" t="s">
        <v>106</v>
      </c>
      <c r="E7" s="131" t="s">
        <v>107</v>
      </c>
      <c r="F7" s="132" t="s">
        <v>108</v>
      </c>
      <c r="G7" s="131" t="s">
        <v>109</v>
      </c>
      <c r="H7" s="131" t="s">
        <v>110</v>
      </c>
      <c r="I7" s="131" t="s">
        <v>111</v>
      </c>
      <c r="J7" s="131" t="s">
        <v>172</v>
      </c>
      <c r="K7" s="132" t="s">
        <v>173</v>
      </c>
      <c r="L7" s="131" t="s">
        <v>174</v>
      </c>
      <c r="M7" s="132" t="s">
        <v>114</v>
      </c>
      <c r="N7" s="131" t="s">
        <v>1311</v>
      </c>
      <c r="O7" s="131" t="s">
        <v>175</v>
      </c>
      <c r="P7" s="131" t="s">
        <v>116</v>
      </c>
      <c r="Q7" s="131" t="s">
        <v>176</v>
      </c>
      <c r="R7" s="131" t="s">
        <v>118</v>
      </c>
      <c r="S7" s="131" t="s">
        <v>177</v>
      </c>
      <c r="T7" s="131" t="s">
        <v>178</v>
      </c>
      <c r="U7" s="131" t="s">
        <v>179</v>
      </c>
      <c r="V7" s="131" t="s">
        <v>118</v>
      </c>
      <c r="W7" s="131" t="s">
        <v>118</v>
      </c>
      <c r="X7" s="131" t="s">
        <v>118</v>
      </c>
      <c r="Y7" s="131" t="s">
        <v>109</v>
      </c>
      <c r="Z7" s="131" t="s">
        <v>118</v>
      </c>
      <c r="AA7" s="131" t="s">
        <v>170</v>
      </c>
      <c r="AB7" s="131" t="s">
        <v>180</v>
      </c>
      <c r="AC7" s="171" t="s">
        <v>181</v>
      </c>
      <c r="AD7" s="131" t="s">
        <v>118</v>
      </c>
      <c r="AE7" s="134" t="s">
        <v>118</v>
      </c>
      <c r="AF7" s="171" t="s">
        <v>181</v>
      </c>
      <c r="AG7" s="135" t="s">
        <v>60</v>
      </c>
      <c r="AH7" s="135" t="s">
        <v>122</v>
      </c>
      <c r="AI7" s="131" t="s">
        <v>123</v>
      </c>
      <c r="AJ7" s="131"/>
      <c r="AK7" s="131"/>
    </row>
    <row r="8" spans="1:37" s="172" customFormat="1" ht="60">
      <c r="A8" s="130">
        <v>45569</v>
      </c>
      <c r="B8" s="130">
        <v>45572</v>
      </c>
      <c r="C8" s="131" t="s">
        <v>139</v>
      </c>
      <c r="D8" s="131" t="s">
        <v>106</v>
      </c>
      <c r="E8" s="131" t="s">
        <v>107</v>
      </c>
      <c r="F8" s="132" t="s">
        <v>108</v>
      </c>
      <c r="G8" s="131" t="s">
        <v>109</v>
      </c>
      <c r="H8" s="131" t="s">
        <v>110</v>
      </c>
      <c r="I8" s="131" t="s">
        <v>111</v>
      </c>
      <c r="J8" s="131" t="s">
        <v>182</v>
      </c>
      <c r="K8" s="131" t="s">
        <v>183</v>
      </c>
      <c r="L8" s="131" t="s">
        <v>184</v>
      </c>
      <c r="M8" s="131" t="s">
        <v>143</v>
      </c>
      <c r="N8" s="131" t="s">
        <v>1327</v>
      </c>
      <c r="O8" s="131" t="s">
        <v>185</v>
      </c>
      <c r="P8" s="131" t="s">
        <v>145</v>
      </c>
      <c r="Q8" s="131" t="s">
        <v>146</v>
      </c>
      <c r="R8" s="131" t="s">
        <v>118</v>
      </c>
      <c r="S8" s="131" t="s">
        <v>118</v>
      </c>
      <c r="T8" s="131" t="s">
        <v>118</v>
      </c>
      <c r="U8" s="131" t="s">
        <v>118</v>
      </c>
      <c r="V8" s="131" t="s">
        <v>118</v>
      </c>
      <c r="W8" s="131" t="s">
        <v>118</v>
      </c>
      <c r="X8" s="131" t="s">
        <v>118</v>
      </c>
      <c r="Y8" s="131" t="s">
        <v>109</v>
      </c>
      <c r="Z8" s="131" t="s">
        <v>118</v>
      </c>
      <c r="AA8" s="131" t="s">
        <v>133</v>
      </c>
      <c r="AB8" s="131" t="s">
        <v>147</v>
      </c>
      <c r="AC8" s="171" t="s">
        <v>186</v>
      </c>
      <c r="AD8" s="131" t="s">
        <v>118</v>
      </c>
      <c r="AE8" s="134" t="s">
        <v>118</v>
      </c>
      <c r="AF8" s="171" t="s">
        <v>186</v>
      </c>
      <c r="AG8" s="135" t="s">
        <v>149</v>
      </c>
      <c r="AH8" s="135" t="s">
        <v>122</v>
      </c>
      <c r="AI8" s="131" t="s">
        <v>123</v>
      </c>
      <c r="AJ8" s="131"/>
      <c r="AK8" s="131"/>
    </row>
    <row r="9" spans="1:37" s="172" customFormat="1" ht="84">
      <c r="A9" s="130">
        <v>45734</v>
      </c>
      <c r="B9" s="130">
        <v>45735</v>
      </c>
      <c r="C9" s="131" t="s">
        <v>139</v>
      </c>
      <c r="D9" s="131" t="s">
        <v>106</v>
      </c>
      <c r="E9" s="131" t="s">
        <v>107</v>
      </c>
      <c r="F9" s="132" t="s">
        <v>108</v>
      </c>
      <c r="G9" s="131" t="s">
        <v>109</v>
      </c>
      <c r="H9" s="131" t="s">
        <v>110</v>
      </c>
      <c r="I9" s="131" t="s">
        <v>111</v>
      </c>
      <c r="J9" s="174" t="s">
        <v>187</v>
      </c>
      <c r="K9" s="132" t="s">
        <v>188</v>
      </c>
      <c r="L9" s="131" t="s">
        <v>189</v>
      </c>
      <c r="M9" s="131" t="s">
        <v>153</v>
      </c>
      <c r="N9" s="170" t="s">
        <v>1328</v>
      </c>
      <c r="O9" s="131" t="s">
        <v>190</v>
      </c>
      <c r="P9" s="131" t="s">
        <v>155</v>
      </c>
      <c r="Q9" s="131" t="s">
        <v>191</v>
      </c>
      <c r="R9" s="131" t="s">
        <v>118</v>
      </c>
      <c r="S9" s="131" t="s">
        <v>118</v>
      </c>
      <c r="T9" s="131" t="s">
        <v>118</v>
      </c>
      <c r="U9" s="131" t="s">
        <v>118</v>
      </c>
      <c r="V9" s="131" t="s">
        <v>118</v>
      </c>
      <c r="W9" s="131" t="s">
        <v>118</v>
      </c>
      <c r="X9" s="131" t="s">
        <v>118</v>
      </c>
      <c r="Y9" s="131" t="s">
        <v>109</v>
      </c>
      <c r="Z9" s="131" t="s">
        <v>118</v>
      </c>
      <c r="AA9" s="131" t="s">
        <v>192</v>
      </c>
      <c r="AB9" s="131" t="s">
        <v>193</v>
      </c>
      <c r="AC9" s="171">
        <v>101117.25</v>
      </c>
      <c r="AD9" s="131" t="s">
        <v>118</v>
      </c>
      <c r="AE9" s="134" t="s">
        <v>118</v>
      </c>
      <c r="AF9" s="171">
        <v>101117.25</v>
      </c>
      <c r="AG9" s="135" t="s">
        <v>149</v>
      </c>
      <c r="AH9" s="135" t="s">
        <v>122</v>
      </c>
      <c r="AI9" s="131" t="s">
        <v>123</v>
      </c>
      <c r="AJ9" s="131"/>
      <c r="AK9" s="131"/>
    </row>
    <row r="10" spans="1:37" s="172" customFormat="1" ht="60">
      <c r="A10" s="130">
        <v>45870</v>
      </c>
      <c r="B10" s="130">
        <v>45874</v>
      </c>
      <c r="C10" s="131" t="s">
        <v>139</v>
      </c>
      <c r="D10" s="131" t="s">
        <v>106</v>
      </c>
      <c r="E10" s="131" t="s">
        <v>107</v>
      </c>
      <c r="F10" s="132" t="s">
        <v>108</v>
      </c>
      <c r="G10" s="131" t="s">
        <v>109</v>
      </c>
      <c r="H10" s="131" t="s">
        <v>110</v>
      </c>
      <c r="I10" s="131" t="s">
        <v>111</v>
      </c>
      <c r="J10" s="174" t="s">
        <v>194</v>
      </c>
      <c r="K10" s="132" t="s">
        <v>183</v>
      </c>
      <c r="L10" s="131" t="s">
        <v>195</v>
      </c>
      <c r="M10" s="131" t="s">
        <v>196</v>
      </c>
      <c r="N10" s="170" t="s">
        <v>1329</v>
      </c>
      <c r="O10" s="131" t="s">
        <v>197</v>
      </c>
      <c r="P10" s="131" t="s">
        <v>198</v>
      </c>
      <c r="Q10" s="131" t="s">
        <v>199</v>
      </c>
      <c r="R10" s="131" t="s">
        <v>118</v>
      </c>
      <c r="S10" s="131" t="s">
        <v>118</v>
      </c>
      <c r="T10" s="131" t="s">
        <v>118</v>
      </c>
      <c r="U10" s="131" t="s">
        <v>118</v>
      </c>
      <c r="V10" s="131" t="s">
        <v>118</v>
      </c>
      <c r="W10" s="131" t="s">
        <v>118</v>
      </c>
      <c r="X10" s="131" t="s">
        <v>118</v>
      </c>
      <c r="Y10" s="131" t="s">
        <v>118</v>
      </c>
      <c r="Z10" s="131" t="s">
        <v>118</v>
      </c>
      <c r="AA10" s="131" t="s">
        <v>119</v>
      </c>
      <c r="AB10" s="131" t="s">
        <v>120</v>
      </c>
      <c r="AC10" s="171">
        <v>64269.16</v>
      </c>
      <c r="AD10" s="175">
        <v>64269.16</v>
      </c>
      <c r="AE10" s="131" t="s">
        <v>118</v>
      </c>
      <c r="AF10" s="171" t="s">
        <v>118</v>
      </c>
      <c r="AG10" s="131" t="s">
        <v>118</v>
      </c>
      <c r="AH10" s="135" t="s">
        <v>122</v>
      </c>
      <c r="AI10" s="131" t="s">
        <v>123</v>
      </c>
      <c r="AJ10" s="131"/>
      <c r="AK10" s="131"/>
    </row>
    <row r="11" spans="1:37" s="172" customFormat="1" ht="72">
      <c r="A11" s="130">
        <v>45548</v>
      </c>
      <c r="B11" s="130">
        <v>45551</v>
      </c>
      <c r="C11" s="131" t="s">
        <v>139</v>
      </c>
      <c r="D11" s="131" t="s">
        <v>106</v>
      </c>
      <c r="E11" s="131" t="s">
        <v>107</v>
      </c>
      <c r="F11" s="132" t="s">
        <v>108</v>
      </c>
      <c r="G11" s="131" t="s">
        <v>109</v>
      </c>
      <c r="H11" s="131" t="s">
        <v>110</v>
      </c>
      <c r="I11" s="131" t="s">
        <v>111</v>
      </c>
      <c r="J11" s="131" t="s">
        <v>200</v>
      </c>
      <c r="K11" s="131" t="s">
        <v>201</v>
      </c>
      <c r="L11" s="131" t="s">
        <v>202</v>
      </c>
      <c r="M11" s="131" t="s">
        <v>153</v>
      </c>
      <c r="N11" s="131" t="s">
        <v>1330</v>
      </c>
      <c r="O11" s="131" t="s">
        <v>203</v>
      </c>
      <c r="P11" s="131" t="s">
        <v>204</v>
      </c>
      <c r="Q11" s="131" t="s">
        <v>205</v>
      </c>
      <c r="R11" s="131" t="s">
        <v>118</v>
      </c>
      <c r="S11" s="131" t="s">
        <v>118</v>
      </c>
      <c r="T11" s="131" t="s">
        <v>118</v>
      </c>
      <c r="U11" s="131" t="s">
        <v>118</v>
      </c>
      <c r="V11" s="131" t="s">
        <v>118</v>
      </c>
      <c r="W11" s="131" t="s">
        <v>118</v>
      </c>
      <c r="X11" s="131" t="s">
        <v>118</v>
      </c>
      <c r="Y11" s="131" t="s">
        <v>109</v>
      </c>
      <c r="Z11" s="131" t="s">
        <v>118</v>
      </c>
      <c r="AA11" s="135" t="s">
        <v>206</v>
      </c>
      <c r="AB11" s="131" t="s">
        <v>207</v>
      </c>
      <c r="AC11" s="171" t="s">
        <v>208</v>
      </c>
      <c r="AD11" s="131" t="s">
        <v>118</v>
      </c>
      <c r="AE11" s="134" t="s">
        <v>118</v>
      </c>
      <c r="AF11" s="171">
        <v>30000</v>
      </c>
      <c r="AG11" s="135" t="s">
        <v>206</v>
      </c>
      <c r="AH11" s="135" t="s">
        <v>122</v>
      </c>
      <c r="AI11" s="131" t="s">
        <v>123</v>
      </c>
      <c r="AJ11" s="131"/>
      <c r="AK11" s="131"/>
    </row>
    <row r="12" spans="1:37" s="172" customFormat="1" ht="120">
      <c r="A12" s="130">
        <v>44651</v>
      </c>
      <c r="B12" s="130">
        <v>44651</v>
      </c>
      <c r="C12" s="132" t="s">
        <v>160</v>
      </c>
      <c r="D12" s="131" t="s">
        <v>106</v>
      </c>
      <c r="E12" s="131" t="s">
        <v>107</v>
      </c>
      <c r="F12" s="132" t="s">
        <v>108</v>
      </c>
      <c r="G12" s="131" t="s">
        <v>109</v>
      </c>
      <c r="H12" s="131" t="s">
        <v>110</v>
      </c>
      <c r="I12" s="131" t="s">
        <v>111</v>
      </c>
      <c r="J12" s="132" t="s">
        <v>209</v>
      </c>
      <c r="K12" s="132" t="s">
        <v>162</v>
      </c>
      <c r="L12" s="132" t="s">
        <v>210</v>
      </c>
      <c r="M12" s="131" t="s">
        <v>164</v>
      </c>
      <c r="N12" s="132" t="s">
        <v>1331</v>
      </c>
      <c r="O12" s="131" t="s">
        <v>211</v>
      </c>
      <c r="P12" s="132" t="s">
        <v>166</v>
      </c>
      <c r="Q12" s="131" t="s">
        <v>212</v>
      </c>
      <c r="R12" s="131" t="s">
        <v>118</v>
      </c>
      <c r="S12" s="131" t="s">
        <v>213</v>
      </c>
      <c r="T12" s="131" t="s">
        <v>118</v>
      </c>
      <c r="U12" s="131" t="s">
        <v>118</v>
      </c>
      <c r="V12" s="131" t="s">
        <v>118</v>
      </c>
      <c r="W12" s="131" t="s">
        <v>118</v>
      </c>
      <c r="X12" s="131" t="s">
        <v>118</v>
      </c>
      <c r="Y12" s="131" t="s">
        <v>109</v>
      </c>
      <c r="Z12" s="131" t="s">
        <v>118</v>
      </c>
      <c r="AA12" s="135" t="s">
        <v>206</v>
      </c>
      <c r="AB12" s="131" t="s">
        <v>207</v>
      </c>
      <c r="AC12" s="176" t="s">
        <v>214</v>
      </c>
      <c r="AD12" s="131" t="s">
        <v>118</v>
      </c>
      <c r="AE12" s="177">
        <v>38000</v>
      </c>
      <c r="AF12" s="176">
        <v>38000</v>
      </c>
      <c r="AG12" s="135" t="s">
        <v>63</v>
      </c>
      <c r="AH12" s="135" t="s">
        <v>122</v>
      </c>
      <c r="AI12" s="131" t="s">
        <v>123</v>
      </c>
      <c r="AJ12" s="131"/>
      <c r="AK12" s="131"/>
    </row>
    <row r="13" spans="1:37" s="172" customFormat="1" ht="84">
      <c r="A13" s="130">
        <v>45512</v>
      </c>
      <c r="B13" s="130">
        <v>45518</v>
      </c>
      <c r="C13" s="131" t="s">
        <v>105</v>
      </c>
      <c r="D13" s="131" t="s">
        <v>106</v>
      </c>
      <c r="E13" s="131" t="s">
        <v>107</v>
      </c>
      <c r="F13" s="132" t="s">
        <v>108</v>
      </c>
      <c r="G13" s="131" t="s">
        <v>109</v>
      </c>
      <c r="H13" s="131" t="s">
        <v>110</v>
      </c>
      <c r="I13" s="131" t="s">
        <v>111</v>
      </c>
      <c r="J13" s="131" t="s">
        <v>215</v>
      </c>
      <c r="K13" s="131" t="s">
        <v>216</v>
      </c>
      <c r="L13" s="131" t="s">
        <v>217</v>
      </c>
      <c r="M13" s="131" t="s">
        <v>218</v>
      </c>
      <c r="N13" s="131" t="s">
        <v>1312</v>
      </c>
      <c r="O13" s="131" t="s">
        <v>219</v>
      </c>
      <c r="P13" s="131" t="s">
        <v>116</v>
      </c>
      <c r="Q13" s="131" t="s">
        <v>220</v>
      </c>
      <c r="R13" s="131" t="s">
        <v>118</v>
      </c>
      <c r="S13" s="131" t="s">
        <v>130</v>
      </c>
      <c r="T13" s="131" t="s">
        <v>221</v>
      </c>
      <c r="U13" s="131" t="s">
        <v>222</v>
      </c>
      <c r="V13" s="131" t="s">
        <v>118</v>
      </c>
      <c r="W13" s="131" t="s">
        <v>118</v>
      </c>
      <c r="X13" s="131" t="s">
        <v>118</v>
      </c>
      <c r="Y13" s="131" t="s">
        <v>109</v>
      </c>
      <c r="Z13" s="131" t="s">
        <v>118</v>
      </c>
      <c r="AA13" s="131" t="s">
        <v>170</v>
      </c>
      <c r="AB13" s="131" t="s">
        <v>171</v>
      </c>
      <c r="AC13" s="171" t="s">
        <v>808</v>
      </c>
      <c r="AD13" s="131" t="s">
        <v>118</v>
      </c>
      <c r="AE13" s="134">
        <v>40000</v>
      </c>
      <c r="AF13" s="171">
        <v>40000</v>
      </c>
      <c r="AG13" s="135" t="s">
        <v>137</v>
      </c>
      <c r="AH13" s="135" t="s">
        <v>138</v>
      </c>
      <c r="AI13" s="131" t="s">
        <v>123</v>
      </c>
      <c r="AJ13" s="131"/>
      <c r="AK13" s="131"/>
    </row>
    <row r="14" spans="1:37" s="172" customFormat="1" ht="72">
      <c r="A14" s="136">
        <v>45861</v>
      </c>
      <c r="B14" s="136">
        <v>45866</v>
      </c>
      <c r="C14" s="137" t="s">
        <v>139</v>
      </c>
      <c r="D14" s="137" t="s">
        <v>106</v>
      </c>
      <c r="E14" s="137" t="s">
        <v>107</v>
      </c>
      <c r="F14" s="132" t="s">
        <v>108</v>
      </c>
      <c r="G14" s="137" t="s">
        <v>109</v>
      </c>
      <c r="H14" s="137" t="s">
        <v>110</v>
      </c>
      <c r="I14" s="137" t="s">
        <v>111</v>
      </c>
      <c r="J14" s="137" t="s">
        <v>223</v>
      </c>
      <c r="K14" s="137" t="s">
        <v>224</v>
      </c>
      <c r="L14" s="137" t="s">
        <v>225</v>
      </c>
      <c r="M14" s="137" t="s">
        <v>226</v>
      </c>
      <c r="N14" s="139" t="s">
        <v>1332</v>
      </c>
      <c r="O14" s="137" t="s">
        <v>227</v>
      </c>
      <c r="P14" s="137" t="s">
        <v>228</v>
      </c>
      <c r="Q14" s="137" t="s">
        <v>229</v>
      </c>
      <c r="R14" s="131" t="s">
        <v>118</v>
      </c>
      <c r="S14" s="131" t="s">
        <v>118</v>
      </c>
      <c r="T14" s="131" t="s">
        <v>118</v>
      </c>
      <c r="U14" s="131" t="s">
        <v>118</v>
      </c>
      <c r="V14" s="131" t="s">
        <v>118</v>
      </c>
      <c r="W14" s="131" t="s">
        <v>118</v>
      </c>
      <c r="X14" s="131" t="s">
        <v>118</v>
      </c>
      <c r="Y14" s="131" t="s">
        <v>118</v>
      </c>
      <c r="Z14" s="131" t="s">
        <v>118</v>
      </c>
      <c r="AA14" s="137" t="s">
        <v>230</v>
      </c>
      <c r="AB14" s="137" t="s">
        <v>207</v>
      </c>
      <c r="AC14" s="173">
        <v>169706.7</v>
      </c>
      <c r="AD14" s="140">
        <v>169706.7</v>
      </c>
      <c r="AE14" s="134">
        <v>28000</v>
      </c>
      <c r="AF14" s="171">
        <v>28000</v>
      </c>
      <c r="AG14" s="135" t="s">
        <v>63</v>
      </c>
      <c r="AH14" s="135" t="s">
        <v>138</v>
      </c>
      <c r="AI14" s="131" t="s">
        <v>123</v>
      </c>
      <c r="AJ14" s="137"/>
      <c r="AK14" s="137"/>
    </row>
    <row r="15" spans="1:37" s="172" customFormat="1" ht="96">
      <c r="A15" s="136">
        <v>45852</v>
      </c>
      <c r="B15" s="136">
        <v>45855</v>
      </c>
      <c r="C15" s="137" t="s">
        <v>139</v>
      </c>
      <c r="D15" s="137" t="s">
        <v>106</v>
      </c>
      <c r="E15" s="137" t="s">
        <v>107</v>
      </c>
      <c r="F15" s="132" t="s">
        <v>108</v>
      </c>
      <c r="G15" s="137" t="s">
        <v>109</v>
      </c>
      <c r="H15" s="137" t="s">
        <v>110</v>
      </c>
      <c r="I15" s="137" t="s">
        <v>111</v>
      </c>
      <c r="J15" s="137" t="s">
        <v>231</v>
      </c>
      <c r="K15" s="137" t="s">
        <v>232</v>
      </c>
      <c r="L15" s="137" t="s">
        <v>233</v>
      </c>
      <c r="M15" s="137" t="s">
        <v>153</v>
      </c>
      <c r="N15" s="137" t="s">
        <v>1333</v>
      </c>
      <c r="O15" s="137" t="s">
        <v>234</v>
      </c>
      <c r="P15" s="137" t="s">
        <v>155</v>
      </c>
      <c r="Q15" s="131" t="s">
        <v>235</v>
      </c>
      <c r="R15" s="131" t="s">
        <v>118</v>
      </c>
      <c r="S15" s="131" t="s">
        <v>236</v>
      </c>
      <c r="T15" s="131" t="s">
        <v>118</v>
      </c>
      <c r="U15" s="131" t="s">
        <v>118</v>
      </c>
      <c r="V15" s="131" t="s">
        <v>118</v>
      </c>
      <c r="W15" s="131" t="s">
        <v>118</v>
      </c>
      <c r="X15" s="131" t="s">
        <v>118</v>
      </c>
      <c r="Y15" s="131" t="s">
        <v>118</v>
      </c>
      <c r="Z15" s="131" t="s">
        <v>118</v>
      </c>
      <c r="AA15" s="137" t="s">
        <v>158</v>
      </c>
      <c r="AB15" s="137" t="s">
        <v>171</v>
      </c>
      <c r="AC15" s="173">
        <v>125226.81</v>
      </c>
      <c r="AD15" s="140">
        <v>125226.81</v>
      </c>
      <c r="AE15" s="134" t="s">
        <v>118</v>
      </c>
      <c r="AF15" s="171" t="s">
        <v>118</v>
      </c>
      <c r="AG15" s="135" t="s">
        <v>149</v>
      </c>
      <c r="AH15" s="135" t="s">
        <v>122</v>
      </c>
      <c r="AI15" s="131" t="s">
        <v>123</v>
      </c>
      <c r="AJ15" s="137"/>
      <c r="AK15" s="137"/>
    </row>
    <row r="16" spans="1:37" s="172" customFormat="1" ht="72">
      <c r="A16" s="130">
        <v>45174</v>
      </c>
      <c r="B16" s="130">
        <v>45174</v>
      </c>
      <c r="C16" s="131" t="s">
        <v>139</v>
      </c>
      <c r="D16" s="131" t="s">
        <v>106</v>
      </c>
      <c r="E16" s="131" t="s">
        <v>107</v>
      </c>
      <c r="F16" s="132" t="s">
        <v>108</v>
      </c>
      <c r="G16" s="131" t="s">
        <v>109</v>
      </c>
      <c r="H16" s="131" t="s">
        <v>110</v>
      </c>
      <c r="I16" s="131" t="s">
        <v>111</v>
      </c>
      <c r="J16" s="131" t="s">
        <v>237</v>
      </c>
      <c r="K16" s="132" t="s">
        <v>238</v>
      </c>
      <c r="L16" s="131" t="s">
        <v>239</v>
      </c>
      <c r="M16" s="131" t="s">
        <v>143</v>
      </c>
      <c r="N16" s="131" t="s">
        <v>1334</v>
      </c>
      <c r="O16" s="131" t="s">
        <v>185</v>
      </c>
      <c r="P16" s="131" t="s">
        <v>145</v>
      </c>
      <c r="Q16" s="131" t="s">
        <v>240</v>
      </c>
      <c r="R16" s="131" t="s">
        <v>118</v>
      </c>
      <c r="S16" s="131" t="s">
        <v>118</v>
      </c>
      <c r="T16" s="131" t="s">
        <v>118</v>
      </c>
      <c r="U16" s="131" t="s">
        <v>118</v>
      </c>
      <c r="V16" s="131" t="s">
        <v>118</v>
      </c>
      <c r="W16" s="131" t="s">
        <v>118</v>
      </c>
      <c r="X16" s="131" t="s">
        <v>118</v>
      </c>
      <c r="Y16" s="131" t="s">
        <v>109</v>
      </c>
      <c r="Z16" s="131" t="s">
        <v>118</v>
      </c>
      <c r="AA16" s="131" t="s">
        <v>133</v>
      </c>
      <c r="AB16" s="131" t="s">
        <v>241</v>
      </c>
      <c r="AC16" s="171">
        <v>814264.89</v>
      </c>
      <c r="AD16" s="131" t="s">
        <v>118</v>
      </c>
      <c r="AE16" s="134" t="s">
        <v>118</v>
      </c>
      <c r="AF16" s="171">
        <v>814264.89</v>
      </c>
      <c r="AG16" s="135" t="s">
        <v>149</v>
      </c>
      <c r="AH16" s="135" t="s">
        <v>122</v>
      </c>
      <c r="AI16" s="131" t="s">
        <v>123</v>
      </c>
      <c r="AJ16" s="131"/>
      <c r="AK16" s="131"/>
    </row>
    <row r="17" spans="1:37" s="172" customFormat="1" ht="72">
      <c r="A17" s="130">
        <v>45629</v>
      </c>
      <c r="B17" s="130">
        <v>45693</v>
      </c>
      <c r="C17" s="131" t="s">
        <v>139</v>
      </c>
      <c r="D17" s="131" t="s">
        <v>106</v>
      </c>
      <c r="E17" s="131" t="s">
        <v>107</v>
      </c>
      <c r="F17" s="132" t="s">
        <v>108</v>
      </c>
      <c r="G17" s="131" t="s">
        <v>109</v>
      </c>
      <c r="H17" s="131" t="s">
        <v>110</v>
      </c>
      <c r="I17" s="131" t="s">
        <v>111</v>
      </c>
      <c r="J17" s="131" t="s">
        <v>242</v>
      </c>
      <c r="K17" s="132" t="s">
        <v>243</v>
      </c>
      <c r="L17" s="131" t="s">
        <v>244</v>
      </c>
      <c r="M17" s="131" t="s">
        <v>245</v>
      </c>
      <c r="N17" s="170" t="s">
        <v>246</v>
      </c>
      <c r="O17" s="131" t="s">
        <v>247</v>
      </c>
      <c r="P17" s="131" t="s">
        <v>155</v>
      </c>
      <c r="Q17" s="131" t="s">
        <v>248</v>
      </c>
      <c r="R17" s="131" t="s">
        <v>118</v>
      </c>
      <c r="S17" s="131" t="s">
        <v>118</v>
      </c>
      <c r="T17" s="131" t="s">
        <v>118</v>
      </c>
      <c r="U17" s="131" t="s">
        <v>118</v>
      </c>
      <c r="V17" s="131" t="s">
        <v>118</v>
      </c>
      <c r="W17" s="131" t="s">
        <v>118</v>
      </c>
      <c r="X17" s="131" t="s">
        <v>118</v>
      </c>
      <c r="Y17" s="131" t="s">
        <v>109</v>
      </c>
      <c r="Z17" s="131" t="s">
        <v>118</v>
      </c>
      <c r="AA17" s="131" t="s">
        <v>249</v>
      </c>
      <c r="AB17" s="131" t="s">
        <v>119</v>
      </c>
      <c r="AC17" s="171">
        <v>292217.82</v>
      </c>
      <c r="AD17" s="131" t="s">
        <v>118</v>
      </c>
      <c r="AE17" s="134" t="s">
        <v>118</v>
      </c>
      <c r="AF17" s="171">
        <v>292217.82</v>
      </c>
      <c r="AG17" s="135" t="s">
        <v>149</v>
      </c>
      <c r="AH17" s="135" t="s">
        <v>122</v>
      </c>
      <c r="AI17" s="131" t="s">
        <v>123</v>
      </c>
      <c r="AJ17" s="131"/>
      <c r="AK17" s="131"/>
    </row>
    <row r="18" spans="1:37" s="172" customFormat="1" ht="84">
      <c r="A18" s="130">
        <v>45228</v>
      </c>
      <c r="B18" s="130">
        <v>45228</v>
      </c>
      <c r="C18" s="131" t="s">
        <v>139</v>
      </c>
      <c r="D18" s="131" t="s">
        <v>106</v>
      </c>
      <c r="E18" s="131" t="s">
        <v>107</v>
      </c>
      <c r="F18" s="132" t="s">
        <v>108</v>
      </c>
      <c r="G18" s="131" t="s">
        <v>109</v>
      </c>
      <c r="H18" s="131" t="s">
        <v>110</v>
      </c>
      <c r="I18" s="131" t="s">
        <v>111</v>
      </c>
      <c r="J18" s="131" t="s">
        <v>250</v>
      </c>
      <c r="K18" s="132" t="s">
        <v>251</v>
      </c>
      <c r="L18" s="131" t="s">
        <v>252</v>
      </c>
      <c r="M18" s="131" t="s">
        <v>143</v>
      </c>
      <c r="N18" s="131" t="s">
        <v>1335</v>
      </c>
      <c r="O18" s="131" t="s">
        <v>144</v>
      </c>
      <c r="P18" s="131" t="s">
        <v>145</v>
      </c>
      <c r="Q18" s="131" t="s">
        <v>253</v>
      </c>
      <c r="R18" s="131" t="s">
        <v>118</v>
      </c>
      <c r="S18" s="131" t="s">
        <v>254</v>
      </c>
      <c r="T18" s="131" t="s">
        <v>255</v>
      </c>
      <c r="U18" s="131" t="s">
        <v>256</v>
      </c>
      <c r="V18" s="131" t="s">
        <v>118</v>
      </c>
      <c r="W18" s="131" t="s">
        <v>118</v>
      </c>
      <c r="X18" s="131" t="s">
        <v>118</v>
      </c>
      <c r="Y18" s="131" t="s">
        <v>109</v>
      </c>
      <c r="Z18" s="131" t="s">
        <v>118</v>
      </c>
      <c r="AA18" s="131" t="s">
        <v>158</v>
      </c>
      <c r="AB18" s="131" t="s">
        <v>257</v>
      </c>
      <c r="AC18" s="171" t="s">
        <v>258</v>
      </c>
      <c r="AD18" s="131" t="s">
        <v>118</v>
      </c>
      <c r="AE18" s="134" t="s">
        <v>118</v>
      </c>
      <c r="AF18" s="171" t="s">
        <v>258</v>
      </c>
      <c r="AG18" s="135" t="s">
        <v>259</v>
      </c>
      <c r="AH18" s="135" t="s">
        <v>122</v>
      </c>
      <c r="AI18" s="131" t="s">
        <v>123</v>
      </c>
      <c r="AJ18" s="131"/>
      <c r="AK18" s="131"/>
    </row>
    <row r="19" spans="1:37" s="172" customFormat="1" ht="60">
      <c r="A19" s="136">
        <v>45839</v>
      </c>
      <c r="B19" s="136">
        <v>45842</v>
      </c>
      <c r="C19" s="137" t="s">
        <v>105</v>
      </c>
      <c r="D19" s="137" t="s">
        <v>106</v>
      </c>
      <c r="E19" s="137" t="s">
        <v>107</v>
      </c>
      <c r="F19" s="132" t="s">
        <v>108</v>
      </c>
      <c r="G19" s="137" t="s">
        <v>109</v>
      </c>
      <c r="H19" s="137" t="s">
        <v>110</v>
      </c>
      <c r="I19" s="137" t="s">
        <v>111</v>
      </c>
      <c r="J19" s="137" t="s">
        <v>260</v>
      </c>
      <c r="K19" s="137" t="s">
        <v>261</v>
      </c>
      <c r="L19" s="137" t="s">
        <v>262</v>
      </c>
      <c r="M19" s="137" t="s">
        <v>263</v>
      </c>
      <c r="N19" s="139" t="s">
        <v>1313</v>
      </c>
      <c r="O19" s="137" t="s">
        <v>264</v>
      </c>
      <c r="P19" s="131" t="s">
        <v>116</v>
      </c>
      <c r="Q19" s="137" t="s">
        <v>265</v>
      </c>
      <c r="R19" s="131" t="s">
        <v>118</v>
      </c>
      <c r="S19" s="131" t="s">
        <v>157</v>
      </c>
      <c r="T19" s="131" t="s">
        <v>118</v>
      </c>
      <c r="U19" s="131" t="s">
        <v>118</v>
      </c>
      <c r="V19" s="131" t="s">
        <v>118</v>
      </c>
      <c r="W19" s="131" t="s">
        <v>118</v>
      </c>
      <c r="X19" s="131" t="s">
        <v>118</v>
      </c>
      <c r="Y19" s="131" t="s">
        <v>266</v>
      </c>
      <c r="Z19" s="131" t="s">
        <v>118</v>
      </c>
      <c r="AA19" s="137" t="s">
        <v>170</v>
      </c>
      <c r="AB19" s="137" t="s">
        <v>171</v>
      </c>
      <c r="AC19" s="173">
        <v>221176.07</v>
      </c>
      <c r="AD19" s="140">
        <v>221176.07</v>
      </c>
      <c r="AE19" s="134">
        <v>25000</v>
      </c>
      <c r="AF19" s="171">
        <v>25000</v>
      </c>
      <c r="AG19" s="135" t="s">
        <v>267</v>
      </c>
      <c r="AH19" s="135" t="s">
        <v>138</v>
      </c>
      <c r="AI19" s="131" t="s">
        <v>123</v>
      </c>
      <c r="AJ19" s="137"/>
      <c r="AK19" s="137"/>
    </row>
    <row r="20" spans="1:37" s="172" customFormat="1" ht="72">
      <c r="A20" s="130">
        <v>45379</v>
      </c>
      <c r="B20" s="130">
        <v>45384</v>
      </c>
      <c r="C20" s="131" t="s">
        <v>105</v>
      </c>
      <c r="D20" s="131" t="s">
        <v>106</v>
      </c>
      <c r="E20" s="131" t="s">
        <v>107</v>
      </c>
      <c r="F20" s="132" t="s">
        <v>108</v>
      </c>
      <c r="G20" s="131" t="s">
        <v>109</v>
      </c>
      <c r="H20" s="131" t="s">
        <v>110</v>
      </c>
      <c r="I20" s="131" t="s">
        <v>111</v>
      </c>
      <c r="J20" s="131" t="s">
        <v>268</v>
      </c>
      <c r="K20" s="132" t="s">
        <v>269</v>
      </c>
      <c r="L20" s="131" t="s">
        <v>270</v>
      </c>
      <c r="M20" s="131" t="s">
        <v>143</v>
      </c>
      <c r="N20" s="131" t="s">
        <v>1314</v>
      </c>
      <c r="O20" s="131" t="s">
        <v>271</v>
      </c>
      <c r="P20" s="131" t="s">
        <v>272</v>
      </c>
      <c r="Q20" s="131" t="s">
        <v>273</v>
      </c>
      <c r="R20" s="131" t="s">
        <v>118</v>
      </c>
      <c r="S20" s="131" t="s">
        <v>274</v>
      </c>
      <c r="T20" s="131" t="s">
        <v>118</v>
      </c>
      <c r="U20" s="131" t="s">
        <v>118</v>
      </c>
      <c r="V20" s="131" t="s">
        <v>118</v>
      </c>
      <c r="W20" s="131" t="s">
        <v>118</v>
      </c>
      <c r="X20" s="131" t="s">
        <v>118</v>
      </c>
      <c r="Y20" s="131" t="s">
        <v>109</v>
      </c>
      <c r="Z20" s="131" t="s">
        <v>118</v>
      </c>
      <c r="AA20" s="131" t="s">
        <v>170</v>
      </c>
      <c r="AB20" s="131" t="s">
        <v>171</v>
      </c>
      <c r="AC20" s="171" t="s">
        <v>275</v>
      </c>
      <c r="AD20" s="131" t="s">
        <v>118</v>
      </c>
      <c r="AE20" s="134">
        <v>100000</v>
      </c>
      <c r="AF20" s="171">
        <v>100000</v>
      </c>
      <c r="AG20" s="135" t="s">
        <v>267</v>
      </c>
      <c r="AH20" s="135" t="s">
        <v>138</v>
      </c>
      <c r="AI20" s="131" t="s">
        <v>123</v>
      </c>
      <c r="AJ20" s="131"/>
      <c r="AK20" s="131"/>
    </row>
    <row r="21" spans="1:37" s="172" customFormat="1" ht="72">
      <c r="A21" s="130">
        <v>45867</v>
      </c>
      <c r="B21" s="130">
        <v>45874</v>
      </c>
      <c r="C21" s="131" t="s">
        <v>139</v>
      </c>
      <c r="D21" s="131" t="s">
        <v>106</v>
      </c>
      <c r="E21" s="131" t="s">
        <v>107</v>
      </c>
      <c r="F21" s="132" t="s">
        <v>108</v>
      </c>
      <c r="G21" s="131" t="s">
        <v>109</v>
      </c>
      <c r="H21" s="131" t="s">
        <v>110</v>
      </c>
      <c r="I21" s="131" t="s">
        <v>111</v>
      </c>
      <c r="J21" s="131" t="s">
        <v>276</v>
      </c>
      <c r="K21" s="132" t="s">
        <v>277</v>
      </c>
      <c r="L21" s="131" t="s">
        <v>278</v>
      </c>
      <c r="M21" s="131" t="s">
        <v>279</v>
      </c>
      <c r="N21" s="170" t="s">
        <v>1336</v>
      </c>
      <c r="O21" s="137" t="s">
        <v>280</v>
      </c>
      <c r="P21" s="131" t="s">
        <v>155</v>
      </c>
      <c r="Q21" s="131" t="s">
        <v>281</v>
      </c>
      <c r="R21" s="131" t="s">
        <v>118</v>
      </c>
      <c r="S21" s="131" t="s">
        <v>118</v>
      </c>
      <c r="T21" s="131" t="s">
        <v>118</v>
      </c>
      <c r="U21" s="131" t="s">
        <v>118</v>
      </c>
      <c r="V21" s="131" t="s">
        <v>118</v>
      </c>
      <c r="W21" s="131" t="s">
        <v>118</v>
      </c>
      <c r="X21" s="131" t="s">
        <v>118</v>
      </c>
      <c r="Y21" s="131" t="s">
        <v>118</v>
      </c>
      <c r="Z21" s="131" t="s">
        <v>118</v>
      </c>
      <c r="AA21" s="137" t="s">
        <v>282</v>
      </c>
      <c r="AB21" s="137" t="s">
        <v>119</v>
      </c>
      <c r="AC21" s="171">
        <v>186111.07</v>
      </c>
      <c r="AD21" s="175">
        <v>186111.07</v>
      </c>
      <c r="AE21" s="134" t="s">
        <v>118</v>
      </c>
      <c r="AF21" s="171" t="s">
        <v>118</v>
      </c>
      <c r="AG21" s="134" t="s">
        <v>118</v>
      </c>
      <c r="AH21" s="135" t="s">
        <v>122</v>
      </c>
      <c r="AI21" s="131" t="s">
        <v>123</v>
      </c>
      <c r="AJ21" s="131"/>
      <c r="AK21" s="131"/>
    </row>
    <row r="22" spans="1:37" s="172" customFormat="1" ht="84">
      <c r="A22" s="136">
        <v>45834</v>
      </c>
      <c r="B22" s="136">
        <v>45838</v>
      </c>
      <c r="C22" s="137" t="s">
        <v>139</v>
      </c>
      <c r="D22" s="137" t="s">
        <v>106</v>
      </c>
      <c r="E22" s="137" t="s">
        <v>107</v>
      </c>
      <c r="F22" s="137" t="s">
        <v>108</v>
      </c>
      <c r="G22" s="137" t="s">
        <v>109</v>
      </c>
      <c r="H22" s="137" t="s">
        <v>110</v>
      </c>
      <c r="I22" s="137" t="s">
        <v>111</v>
      </c>
      <c r="J22" s="137" t="s">
        <v>283</v>
      </c>
      <c r="K22" s="137" t="s">
        <v>284</v>
      </c>
      <c r="L22" s="137" t="s">
        <v>285</v>
      </c>
      <c r="M22" s="137" t="s">
        <v>286</v>
      </c>
      <c r="N22" s="139" t="s">
        <v>1337</v>
      </c>
      <c r="O22" s="137" t="s">
        <v>287</v>
      </c>
      <c r="P22" s="137" t="s">
        <v>288</v>
      </c>
      <c r="Q22" s="137" t="s">
        <v>289</v>
      </c>
      <c r="R22" s="131" t="s">
        <v>118</v>
      </c>
      <c r="S22" s="131" t="s">
        <v>118</v>
      </c>
      <c r="T22" s="131" t="s">
        <v>118</v>
      </c>
      <c r="U22" s="131" t="s">
        <v>118</v>
      </c>
      <c r="V22" s="131" t="s">
        <v>118</v>
      </c>
      <c r="W22" s="131" t="s">
        <v>118</v>
      </c>
      <c r="X22" s="131" t="s">
        <v>118</v>
      </c>
      <c r="Y22" s="131" t="s">
        <v>118</v>
      </c>
      <c r="Z22" s="131" t="s">
        <v>118</v>
      </c>
      <c r="AA22" s="137" t="s">
        <v>133</v>
      </c>
      <c r="AB22" s="137" t="s">
        <v>241</v>
      </c>
      <c r="AC22" s="173">
        <v>244159.42</v>
      </c>
      <c r="AD22" s="141">
        <v>244159.42</v>
      </c>
      <c r="AE22" s="134" t="s">
        <v>118</v>
      </c>
      <c r="AF22" s="171" t="s">
        <v>118</v>
      </c>
      <c r="AG22" s="135" t="s">
        <v>149</v>
      </c>
      <c r="AH22" s="135" t="s">
        <v>122</v>
      </c>
      <c r="AI22" s="131" t="s">
        <v>123</v>
      </c>
      <c r="AJ22" s="137"/>
      <c r="AK22" s="137"/>
    </row>
    <row r="23" spans="1:37" s="172" customFormat="1" ht="60">
      <c r="A23" s="130">
        <v>45755</v>
      </c>
      <c r="B23" s="130">
        <v>45755</v>
      </c>
      <c r="C23" s="137" t="s">
        <v>160</v>
      </c>
      <c r="D23" s="131" t="s">
        <v>106</v>
      </c>
      <c r="E23" s="131" t="s">
        <v>107</v>
      </c>
      <c r="F23" s="132" t="s">
        <v>108</v>
      </c>
      <c r="G23" s="131" t="s">
        <v>109</v>
      </c>
      <c r="H23" s="131" t="s">
        <v>110</v>
      </c>
      <c r="I23" s="131" t="s">
        <v>111</v>
      </c>
      <c r="J23" s="138" t="s">
        <v>290</v>
      </c>
      <c r="K23" s="131" t="s">
        <v>291</v>
      </c>
      <c r="L23" s="137" t="s">
        <v>292</v>
      </c>
      <c r="M23" s="137" t="s">
        <v>293</v>
      </c>
      <c r="N23" s="139" t="s">
        <v>1338</v>
      </c>
      <c r="O23" s="137" t="s">
        <v>294</v>
      </c>
      <c r="P23" s="137" t="s">
        <v>295</v>
      </c>
      <c r="Q23" s="131" t="s">
        <v>296</v>
      </c>
      <c r="R23" s="131" t="s">
        <v>118</v>
      </c>
      <c r="S23" s="131" t="s">
        <v>118</v>
      </c>
      <c r="T23" s="131" t="s">
        <v>118</v>
      </c>
      <c r="U23" s="131" t="s">
        <v>118</v>
      </c>
      <c r="V23" s="131" t="s">
        <v>118</v>
      </c>
      <c r="W23" s="131" t="s">
        <v>118</v>
      </c>
      <c r="X23" s="131" t="s">
        <v>118</v>
      </c>
      <c r="Y23" s="131" t="s">
        <v>109</v>
      </c>
      <c r="Z23" s="131" t="s">
        <v>118</v>
      </c>
      <c r="AA23" s="137" t="s">
        <v>282</v>
      </c>
      <c r="AB23" s="137" t="s">
        <v>119</v>
      </c>
      <c r="AC23" s="171">
        <v>59587.39</v>
      </c>
      <c r="AD23" s="137" t="s">
        <v>118</v>
      </c>
      <c r="AE23" s="134" t="s">
        <v>118</v>
      </c>
      <c r="AF23" s="171" t="s">
        <v>118</v>
      </c>
      <c r="AG23" s="135" t="s">
        <v>149</v>
      </c>
      <c r="AH23" s="135" t="s">
        <v>122</v>
      </c>
      <c r="AI23" s="131" t="s">
        <v>123</v>
      </c>
      <c r="AJ23" s="137"/>
      <c r="AK23" s="137"/>
    </row>
    <row r="24" spans="1:37" s="172" customFormat="1" ht="120">
      <c r="A24" s="130">
        <v>45554</v>
      </c>
      <c r="B24" s="130">
        <v>45555</v>
      </c>
      <c r="C24" s="131" t="s">
        <v>139</v>
      </c>
      <c r="D24" s="131" t="s">
        <v>106</v>
      </c>
      <c r="E24" s="131" t="s">
        <v>107</v>
      </c>
      <c r="F24" s="132" t="s">
        <v>108</v>
      </c>
      <c r="G24" s="131" t="s">
        <v>109</v>
      </c>
      <c r="H24" s="131" t="s">
        <v>110</v>
      </c>
      <c r="I24" s="131" t="s">
        <v>111</v>
      </c>
      <c r="J24" s="137" t="s">
        <v>297</v>
      </c>
      <c r="K24" s="131" t="s">
        <v>298</v>
      </c>
      <c r="L24" s="131" t="s">
        <v>299</v>
      </c>
      <c r="M24" s="131" t="s">
        <v>245</v>
      </c>
      <c r="N24" s="131" t="s">
        <v>1339</v>
      </c>
      <c r="O24" s="131" t="s">
        <v>300</v>
      </c>
      <c r="P24" s="131" t="s">
        <v>155</v>
      </c>
      <c r="Q24" s="131" t="s">
        <v>301</v>
      </c>
      <c r="R24" s="131" t="s">
        <v>118</v>
      </c>
      <c r="S24" s="131" t="s">
        <v>118</v>
      </c>
      <c r="T24" s="131" t="s">
        <v>118</v>
      </c>
      <c r="U24" s="131" t="s">
        <v>118</v>
      </c>
      <c r="V24" s="131" t="s">
        <v>118</v>
      </c>
      <c r="W24" s="131" t="s">
        <v>118</v>
      </c>
      <c r="X24" s="131" t="s">
        <v>118</v>
      </c>
      <c r="Y24" s="131" t="s">
        <v>109</v>
      </c>
      <c r="Z24" s="131" t="s">
        <v>118</v>
      </c>
      <c r="AA24" s="131" t="s">
        <v>302</v>
      </c>
      <c r="AB24" s="131" t="s">
        <v>241</v>
      </c>
      <c r="AC24" s="171" t="s">
        <v>303</v>
      </c>
      <c r="AD24" s="131" t="s">
        <v>118</v>
      </c>
      <c r="AE24" s="134" t="s">
        <v>118</v>
      </c>
      <c r="AF24" s="171" t="s">
        <v>303</v>
      </c>
      <c r="AG24" s="135" t="s">
        <v>149</v>
      </c>
      <c r="AH24" s="135" t="s">
        <v>122</v>
      </c>
      <c r="AI24" s="131" t="s">
        <v>123</v>
      </c>
      <c r="AJ24" s="131"/>
      <c r="AK24" s="131"/>
    </row>
    <row r="25" spans="1:37" s="172" customFormat="1" ht="60">
      <c r="A25" s="130">
        <v>45569</v>
      </c>
      <c r="B25" s="130">
        <v>45572</v>
      </c>
      <c r="C25" s="131" t="s">
        <v>139</v>
      </c>
      <c r="D25" s="131" t="s">
        <v>106</v>
      </c>
      <c r="E25" s="131" t="s">
        <v>107</v>
      </c>
      <c r="F25" s="132" t="s">
        <v>108</v>
      </c>
      <c r="G25" s="131" t="s">
        <v>109</v>
      </c>
      <c r="H25" s="131" t="s">
        <v>110</v>
      </c>
      <c r="I25" s="131" t="s">
        <v>111</v>
      </c>
      <c r="J25" s="131" t="s">
        <v>304</v>
      </c>
      <c r="K25" s="131" t="s">
        <v>183</v>
      </c>
      <c r="L25" s="131" t="s">
        <v>305</v>
      </c>
      <c r="M25" s="131" t="s">
        <v>143</v>
      </c>
      <c r="N25" s="131" t="s">
        <v>1340</v>
      </c>
      <c r="O25" s="131" t="s">
        <v>306</v>
      </c>
      <c r="P25" s="131" t="s">
        <v>145</v>
      </c>
      <c r="Q25" s="131" t="s">
        <v>307</v>
      </c>
      <c r="R25" s="131" t="s">
        <v>118</v>
      </c>
      <c r="S25" s="131" t="s">
        <v>118</v>
      </c>
      <c r="T25" s="131" t="s">
        <v>308</v>
      </c>
      <c r="U25" s="131" t="s">
        <v>309</v>
      </c>
      <c r="V25" s="131" t="s">
        <v>118</v>
      </c>
      <c r="W25" s="131" t="s">
        <v>118</v>
      </c>
      <c r="X25" s="131" t="s">
        <v>118</v>
      </c>
      <c r="Y25" s="131" t="s">
        <v>109</v>
      </c>
      <c r="Z25" s="131" t="s">
        <v>118</v>
      </c>
      <c r="AA25" s="131" t="s">
        <v>302</v>
      </c>
      <c r="AB25" s="131" t="s">
        <v>241</v>
      </c>
      <c r="AC25" s="171" t="s">
        <v>310</v>
      </c>
      <c r="AD25" s="131" t="s">
        <v>118</v>
      </c>
      <c r="AE25" s="134" t="s">
        <v>118</v>
      </c>
      <c r="AF25" s="171" t="s">
        <v>310</v>
      </c>
      <c r="AG25" s="135" t="s">
        <v>149</v>
      </c>
      <c r="AH25" s="135" t="s">
        <v>311</v>
      </c>
      <c r="AI25" s="131" t="s">
        <v>123</v>
      </c>
      <c r="AJ25" s="131"/>
      <c r="AK25" s="131"/>
    </row>
    <row r="26" spans="1:37" s="172" customFormat="1" ht="84">
      <c r="A26" s="130" t="s">
        <v>312</v>
      </c>
      <c r="B26" s="130">
        <v>45229</v>
      </c>
      <c r="C26" s="131" t="s">
        <v>105</v>
      </c>
      <c r="D26" s="131" t="s">
        <v>106</v>
      </c>
      <c r="E26" s="131" t="s">
        <v>107</v>
      </c>
      <c r="F26" s="132" t="s">
        <v>108</v>
      </c>
      <c r="G26" s="131" t="s">
        <v>109</v>
      </c>
      <c r="H26" s="131" t="s">
        <v>110</v>
      </c>
      <c r="I26" s="131" t="s">
        <v>111</v>
      </c>
      <c r="J26" s="131" t="s">
        <v>313</v>
      </c>
      <c r="K26" s="132" t="s">
        <v>314</v>
      </c>
      <c r="L26" s="131" t="s">
        <v>315</v>
      </c>
      <c r="M26" s="132" t="s">
        <v>114</v>
      </c>
      <c r="N26" s="131" t="s">
        <v>1315</v>
      </c>
      <c r="O26" s="131" t="s">
        <v>316</v>
      </c>
      <c r="P26" s="131" t="s">
        <v>116</v>
      </c>
      <c r="Q26" s="131" t="s">
        <v>317</v>
      </c>
      <c r="R26" s="131" t="s">
        <v>118</v>
      </c>
      <c r="S26" s="131" t="s">
        <v>236</v>
      </c>
      <c r="T26" s="131" t="s">
        <v>318</v>
      </c>
      <c r="U26" s="131" t="s">
        <v>319</v>
      </c>
      <c r="V26" s="131" t="s">
        <v>118</v>
      </c>
      <c r="W26" s="131" t="s">
        <v>118</v>
      </c>
      <c r="X26" s="131" t="s">
        <v>118</v>
      </c>
      <c r="Y26" s="131" t="s">
        <v>109</v>
      </c>
      <c r="Z26" s="131" t="s">
        <v>118</v>
      </c>
      <c r="AA26" s="131" t="s">
        <v>170</v>
      </c>
      <c r="AB26" s="131" t="s">
        <v>320</v>
      </c>
      <c r="AC26" s="171" t="s">
        <v>321</v>
      </c>
      <c r="AD26" s="131" t="s">
        <v>118</v>
      </c>
      <c r="AE26" s="134">
        <v>5000</v>
      </c>
      <c r="AF26" s="171">
        <v>5000</v>
      </c>
      <c r="AG26" s="135" t="s">
        <v>322</v>
      </c>
      <c r="AH26" s="135" t="s">
        <v>311</v>
      </c>
      <c r="AI26" s="131" t="s">
        <v>123</v>
      </c>
      <c r="AJ26" s="131"/>
      <c r="AK26" s="131"/>
    </row>
    <row r="27" spans="1:37" s="172" customFormat="1" ht="84">
      <c r="A27" s="130">
        <v>45183</v>
      </c>
      <c r="B27" s="130">
        <v>45183</v>
      </c>
      <c r="C27" s="131" t="s">
        <v>139</v>
      </c>
      <c r="D27" s="131" t="s">
        <v>106</v>
      </c>
      <c r="E27" s="131" t="s">
        <v>107</v>
      </c>
      <c r="F27" s="132" t="s">
        <v>108</v>
      </c>
      <c r="G27" s="131" t="s">
        <v>109</v>
      </c>
      <c r="H27" s="131" t="s">
        <v>110</v>
      </c>
      <c r="I27" s="131" t="s">
        <v>111</v>
      </c>
      <c r="J27" s="131" t="s">
        <v>323</v>
      </c>
      <c r="K27" s="132" t="s">
        <v>324</v>
      </c>
      <c r="L27" s="131" t="s">
        <v>325</v>
      </c>
      <c r="M27" s="131" t="s">
        <v>143</v>
      </c>
      <c r="N27" s="131" t="s">
        <v>1341</v>
      </c>
      <c r="O27" s="131" t="s">
        <v>144</v>
      </c>
      <c r="P27" s="131" t="s">
        <v>145</v>
      </c>
      <c r="Q27" s="131" t="s">
        <v>326</v>
      </c>
      <c r="R27" s="131" t="s">
        <v>118</v>
      </c>
      <c r="S27" s="131" t="s">
        <v>254</v>
      </c>
      <c r="T27" s="131" t="s">
        <v>327</v>
      </c>
      <c r="U27" s="131" t="s">
        <v>328</v>
      </c>
      <c r="V27" s="131" t="s">
        <v>118</v>
      </c>
      <c r="W27" s="131" t="s">
        <v>118</v>
      </c>
      <c r="X27" s="131" t="s">
        <v>118</v>
      </c>
      <c r="Y27" s="131" t="s">
        <v>109</v>
      </c>
      <c r="Z27" s="131" t="s">
        <v>118</v>
      </c>
      <c r="AA27" s="131" t="s">
        <v>88</v>
      </c>
      <c r="AB27" s="131" t="s">
        <v>170</v>
      </c>
      <c r="AC27" s="171">
        <v>173394.88</v>
      </c>
      <c r="AD27" s="131" t="s">
        <v>118</v>
      </c>
      <c r="AE27" s="134" t="s">
        <v>118</v>
      </c>
      <c r="AF27" s="171">
        <v>173394.88</v>
      </c>
      <c r="AG27" s="135" t="s">
        <v>259</v>
      </c>
      <c r="AH27" s="135" t="s">
        <v>122</v>
      </c>
      <c r="AI27" s="131" t="s">
        <v>123</v>
      </c>
      <c r="AJ27" s="131"/>
      <c r="AK27" s="131"/>
    </row>
    <row r="28" spans="1:37" s="172" customFormat="1" ht="72">
      <c r="A28" s="130">
        <v>45418</v>
      </c>
      <c r="B28" s="130">
        <v>45419</v>
      </c>
      <c r="C28" s="131" t="s">
        <v>139</v>
      </c>
      <c r="D28" s="131" t="s">
        <v>106</v>
      </c>
      <c r="E28" s="131" t="s">
        <v>107</v>
      </c>
      <c r="F28" s="132" t="s">
        <v>108</v>
      </c>
      <c r="G28" s="131" t="s">
        <v>109</v>
      </c>
      <c r="H28" s="131" t="s">
        <v>110</v>
      </c>
      <c r="I28" s="131" t="s">
        <v>111</v>
      </c>
      <c r="J28" s="131" t="s">
        <v>329</v>
      </c>
      <c r="K28" s="131" t="s">
        <v>330</v>
      </c>
      <c r="L28" s="131" t="s">
        <v>331</v>
      </c>
      <c r="M28" s="131" t="s">
        <v>263</v>
      </c>
      <c r="N28" s="131" t="s">
        <v>1342</v>
      </c>
      <c r="O28" s="131" t="s">
        <v>332</v>
      </c>
      <c r="P28" s="131" t="s">
        <v>155</v>
      </c>
      <c r="Q28" s="131" t="s">
        <v>333</v>
      </c>
      <c r="R28" s="131" t="s">
        <v>118</v>
      </c>
      <c r="S28" s="131" t="s">
        <v>118</v>
      </c>
      <c r="T28" s="131" t="s">
        <v>118</v>
      </c>
      <c r="U28" s="131" t="s">
        <v>118</v>
      </c>
      <c r="V28" s="131" t="s">
        <v>118</v>
      </c>
      <c r="W28" s="131" t="s">
        <v>118</v>
      </c>
      <c r="X28" s="131" t="s">
        <v>118</v>
      </c>
      <c r="Y28" s="131" t="s">
        <v>109</v>
      </c>
      <c r="Z28" s="131" t="s">
        <v>118</v>
      </c>
      <c r="AA28" s="131" t="s">
        <v>120</v>
      </c>
      <c r="AB28" s="131" t="s">
        <v>119</v>
      </c>
      <c r="AC28" s="171" t="s">
        <v>334</v>
      </c>
      <c r="AD28" s="131" t="s">
        <v>118</v>
      </c>
      <c r="AE28" s="134" t="s">
        <v>118</v>
      </c>
      <c r="AF28" s="171" t="s">
        <v>334</v>
      </c>
      <c r="AG28" s="135" t="s">
        <v>149</v>
      </c>
      <c r="AH28" s="135" t="s">
        <v>122</v>
      </c>
      <c r="AI28" s="131" t="s">
        <v>123</v>
      </c>
      <c r="AJ28" s="131"/>
      <c r="AK28" s="131"/>
    </row>
    <row r="29" spans="1:37" s="172" customFormat="1" ht="108">
      <c r="A29" s="130">
        <v>45476</v>
      </c>
      <c r="B29" s="130">
        <v>45477</v>
      </c>
      <c r="C29" s="131" t="s">
        <v>105</v>
      </c>
      <c r="D29" s="131" t="s">
        <v>106</v>
      </c>
      <c r="E29" s="131" t="s">
        <v>107</v>
      </c>
      <c r="F29" s="132" t="s">
        <v>108</v>
      </c>
      <c r="G29" s="131" t="s">
        <v>109</v>
      </c>
      <c r="H29" s="131" t="s">
        <v>110</v>
      </c>
      <c r="I29" s="131" t="s">
        <v>111</v>
      </c>
      <c r="J29" s="131" t="s">
        <v>335</v>
      </c>
      <c r="K29" s="131" t="s">
        <v>336</v>
      </c>
      <c r="L29" s="131" t="s">
        <v>337</v>
      </c>
      <c r="M29" s="131" t="s">
        <v>218</v>
      </c>
      <c r="N29" s="131" t="s">
        <v>1316</v>
      </c>
      <c r="O29" s="131" t="s">
        <v>338</v>
      </c>
      <c r="P29" s="131" t="s">
        <v>116</v>
      </c>
      <c r="Q29" s="131" t="s">
        <v>339</v>
      </c>
      <c r="R29" s="131" t="s">
        <v>118</v>
      </c>
      <c r="S29" s="131" t="s">
        <v>130</v>
      </c>
      <c r="T29" s="131" t="s">
        <v>168</v>
      </c>
      <c r="U29" s="131" t="s">
        <v>340</v>
      </c>
      <c r="V29" s="131" t="s">
        <v>118</v>
      </c>
      <c r="W29" s="131" t="s">
        <v>118</v>
      </c>
      <c r="X29" s="131" t="s">
        <v>118</v>
      </c>
      <c r="Y29" s="131" t="s">
        <v>109</v>
      </c>
      <c r="Z29" s="131" t="s">
        <v>118</v>
      </c>
      <c r="AA29" s="131" t="s">
        <v>170</v>
      </c>
      <c r="AB29" s="131" t="s">
        <v>171</v>
      </c>
      <c r="AC29" s="171" t="s">
        <v>341</v>
      </c>
      <c r="AD29" s="131" t="s">
        <v>118</v>
      </c>
      <c r="AE29" s="134">
        <v>50000</v>
      </c>
      <c r="AF29" s="171">
        <v>50000</v>
      </c>
      <c r="AG29" s="135" t="s">
        <v>137</v>
      </c>
      <c r="AH29" s="135" t="s">
        <v>138</v>
      </c>
      <c r="AI29" s="131" t="s">
        <v>123</v>
      </c>
      <c r="AJ29" s="131"/>
      <c r="AK29" s="131"/>
    </row>
    <row r="30" spans="1:37" s="172" customFormat="1" ht="120">
      <c r="A30" s="130">
        <v>45734</v>
      </c>
      <c r="B30" s="130">
        <v>45736</v>
      </c>
      <c r="C30" s="131" t="s">
        <v>105</v>
      </c>
      <c r="D30" s="131" t="s">
        <v>106</v>
      </c>
      <c r="E30" s="131" t="s">
        <v>107</v>
      </c>
      <c r="F30" s="132" t="s">
        <v>108</v>
      </c>
      <c r="G30" s="131" t="s">
        <v>109</v>
      </c>
      <c r="H30" s="131" t="s">
        <v>110</v>
      </c>
      <c r="I30" s="131" t="s">
        <v>111</v>
      </c>
      <c r="J30" s="174" t="s">
        <v>342</v>
      </c>
      <c r="K30" s="132" t="s">
        <v>343</v>
      </c>
      <c r="L30" s="131" t="s">
        <v>344</v>
      </c>
      <c r="M30" s="131" t="s">
        <v>345</v>
      </c>
      <c r="N30" s="131" t="s">
        <v>1317</v>
      </c>
      <c r="O30" s="131" t="s">
        <v>346</v>
      </c>
      <c r="P30" s="131" t="s">
        <v>116</v>
      </c>
      <c r="Q30" s="131" t="s">
        <v>347</v>
      </c>
      <c r="R30" s="131" t="s">
        <v>348</v>
      </c>
      <c r="S30" s="131" t="s">
        <v>254</v>
      </c>
      <c r="T30" s="131" t="s">
        <v>118</v>
      </c>
      <c r="U30" s="131" t="s">
        <v>118</v>
      </c>
      <c r="V30" s="131" t="s">
        <v>118</v>
      </c>
      <c r="W30" s="131" t="s">
        <v>118</v>
      </c>
      <c r="X30" s="131" t="s">
        <v>118</v>
      </c>
      <c r="Y30" s="131" t="s">
        <v>109</v>
      </c>
      <c r="Z30" s="131" t="s">
        <v>118</v>
      </c>
      <c r="AA30" s="131" t="s">
        <v>170</v>
      </c>
      <c r="AB30" s="131" t="s">
        <v>171</v>
      </c>
      <c r="AC30" s="171">
        <v>350938.4</v>
      </c>
      <c r="AD30" s="131" t="s">
        <v>118</v>
      </c>
      <c r="AE30" s="134" t="s">
        <v>118</v>
      </c>
      <c r="AF30" s="171">
        <v>350938.4</v>
      </c>
      <c r="AG30" s="135" t="s">
        <v>149</v>
      </c>
      <c r="AH30" s="135" t="s">
        <v>311</v>
      </c>
      <c r="AI30" s="131" t="s">
        <v>123</v>
      </c>
      <c r="AJ30" s="131"/>
      <c r="AK30" s="131"/>
    </row>
    <row r="31" spans="1:37" s="172" customFormat="1" ht="84">
      <c r="A31" s="136">
        <v>45824</v>
      </c>
      <c r="B31" s="136">
        <v>45838</v>
      </c>
      <c r="C31" s="137" t="s">
        <v>139</v>
      </c>
      <c r="D31" s="137" t="s">
        <v>106</v>
      </c>
      <c r="E31" s="137" t="s">
        <v>107</v>
      </c>
      <c r="F31" s="137" t="s">
        <v>108</v>
      </c>
      <c r="G31" s="137" t="s">
        <v>109</v>
      </c>
      <c r="H31" s="137" t="s">
        <v>110</v>
      </c>
      <c r="I31" s="137" t="s">
        <v>111</v>
      </c>
      <c r="J31" s="137" t="s">
        <v>349</v>
      </c>
      <c r="K31" s="137" t="s">
        <v>350</v>
      </c>
      <c r="L31" s="137" t="s">
        <v>351</v>
      </c>
      <c r="M31" s="137" t="s">
        <v>153</v>
      </c>
      <c r="N31" s="139" t="s">
        <v>1343</v>
      </c>
      <c r="O31" s="137" t="s">
        <v>352</v>
      </c>
      <c r="P31" s="137" t="s">
        <v>155</v>
      </c>
      <c r="Q31" s="137" t="s">
        <v>353</v>
      </c>
      <c r="R31" s="131" t="s">
        <v>118</v>
      </c>
      <c r="S31" s="131" t="s">
        <v>118</v>
      </c>
      <c r="T31" s="131" t="s">
        <v>118</v>
      </c>
      <c r="U31" s="131" t="s">
        <v>118</v>
      </c>
      <c r="V31" s="131" t="s">
        <v>118</v>
      </c>
      <c r="W31" s="131" t="s">
        <v>118</v>
      </c>
      <c r="X31" s="131" t="s">
        <v>118</v>
      </c>
      <c r="Y31" s="131" t="s">
        <v>118</v>
      </c>
      <c r="Z31" s="131" t="s">
        <v>118</v>
      </c>
      <c r="AA31" s="137" t="s">
        <v>354</v>
      </c>
      <c r="AB31" s="137" t="s">
        <v>355</v>
      </c>
      <c r="AC31" s="173">
        <v>168146.01</v>
      </c>
      <c r="AD31" s="141">
        <v>168146.01</v>
      </c>
      <c r="AE31" s="134" t="s">
        <v>118</v>
      </c>
      <c r="AF31" s="171" t="s">
        <v>118</v>
      </c>
      <c r="AG31" s="135" t="s">
        <v>149</v>
      </c>
      <c r="AH31" s="135" t="s">
        <v>122</v>
      </c>
      <c r="AI31" s="131" t="s">
        <v>123</v>
      </c>
      <c r="AJ31" s="137"/>
      <c r="AK31" s="137"/>
    </row>
    <row r="32" spans="1:37" s="172" customFormat="1" ht="72">
      <c r="A32" s="136">
        <v>45734</v>
      </c>
      <c r="B32" s="136">
        <v>45734</v>
      </c>
      <c r="C32" s="137" t="s">
        <v>160</v>
      </c>
      <c r="D32" s="131" t="s">
        <v>106</v>
      </c>
      <c r="E32" s="131" t="s">
        <v>107</v>
      </c>
      <c r="F32" s="132" t="s">
        <v>108</v>
      </c>
      <c r="G32" s="131" t="s">
        <v>109</v>
      </c>
      <c r="H32" s="131" t="s">
        <v>110</v>
      </c>
      <c r="I32" s="131" t="s">
        <v>111</v>
      </c>
      <c r="J32" s="138" t="s">
        <v>356</v>
      </c>
      <c r="K32" s="132" t="s">
        <v>357</v>
      </c>
      <c r="L32" s="137" t="s">
        <v>358</v>
      </c>
      <c r="M32" s="137" t="s">
        <v>143</v>
      </c>
      <c r="N32" s="139" t="s">
        <v>1344</v>
      </c>
      <c r="O32" s="137" t="s">
        <v>359</v>
      </c>
      <c r="P32" s="137" t="s">
        <v>295</v>
      </c>
      <c r="Q32" s="131" t="s">
        <v>360</v>
      </c>
      <c r="R32" s="131" t="s">
        <v>118</v>
      </c>
      <c r="S32" s="131" t="s">
        <v>118</v>
      </c>
      <c r="T32" s="131" t="s">
        <v>118</v>
      </c>
      <c r="U32" s="131" t="s">
        <v>118</v>
      </c>
      <c r="V32" s="131" t="s">
        <v>118</v>
      </c>
      <c r="W32" s="131" t="s">
        <v>118</v>
      </c>
      <c r="X32" s="131" t="s">
        <v>118</v>
      </c>
      <c r="Y32" s="131" t="s">
        <v>109</v>
      </c>
      <c r="Z32" s="131" t="s">
        <v>118</v>
      </c>
      <c r="AA32" s="131" t="s">
        <v>120</v>
      </c>
      <c r="AB32" s="137" t="s">
        <v>119</v>
      </c>
      <c r="AC32" s="173">
        <v>509723.89</v>
      </c>
      <c r="AD32" s="140">
        <v>509723.89</v>
      </c>
      <c r="AE32" s="134" t="s">
        <v>118</v>
      </c>
      <c r="AF32" s="171" t="s">
        <v>118</v>
      </c>
      <c r="AG32" s="135" t="s">
        <v>149</v>
      </c>
      <c r="AH32" s="135" t="s">
        <v>122</v>
      </c>
      <c r="AI32" s="131" t="s">
        <v>123</v>
      </c>
      <c r="AJ32" s="137"/>
      <c r="AK32" s="137"/>
    </row>
    <row r="33" spans="1:37" s="172" customFormat="1" ht="60">
      <c r="A33" s="136">
        <v>45911</v>
      </c>
      <c r="B33" s="136">
        <v>45916</v>
      </c>
      <c r="C33" s="137" t="s">
        <v>105</v>
      </c>
      <c r="D33" s="131" t="s">
        <v>106</v>
      </c>
      <c r="E33" s="131" t="s">
        <v>107</v>
      </c>
      <c r="F33" s="132" t="s">
        <v>108</v>
      </c>
      <c r="G33" s="131" t="s">
        <v>109</v>
      </c>
      <c r="H33" s="131" t="s">
        <v>110</v>
      </c>
      <c r="I33" s="131" t="s">
        <v>111</v>
      </c>
      <c r="J33" s="138" t="s">
        <v>361</v>
      </c>
      <c r="K33" s="132" t="s">
        <v>362</v>
      </c>
      <c r="L33" s="137" t="s">
        <v>363</v>
      </c>
      <c r="M33" s="137" t="s">
        <v>364</v>
      </c>
      <c r="N33" s="139" t="s">
        <v>1318</v>
      </c>
      <c r="O33" s="137" t="s">
        <v>365</v>
      </c>
      <c r="P33" s="137" t="s">
        <v>116</v>
      </c>
      <c r="Q33" s="131" t="s">
        <v>146</v>
      </c>
      <c r="R33" s="131" t="s">
        <v>118</v>
      </c>
      <c r="S33" s="131" t="s">
        <v>118</v>
      </c>
      <c r="T33" s="131" t="s">
        <v>118</v>
      </c>
      <c r="U33" s="131" t="s">
        <v>118</v>
      </c>
      <c r="V33" s="131" t="s">
        <v>118</v>
      </c>
      <c r="W33" s="131" t="s">
        <v>118</v>
      </c>
      <c r="X33" s="131" t="s">
        <v>118</v>
      </c>
      <c r="Y33" s="131" t="s">
        <v>118</v>
      </c>
      <c r="Z33" s="131" t="s">
        <v>118</v>
      </c>
      <c r="AA33" s="131" t="s">
        <v>120</v>
      </c>
      <c r="AB33" s="137" t="s">
        <v>119</v>
      </c>
      <c r="AC33" s="171" t="s">
        <v>366</v>
      </c>
      <c r="AD33" s="131" t="s">
        <v>366</v>
      </c>
      <c r="AE33" s="134" t="s">
        <v>118</v>
      </c>
      <c r="AF33" s="171" t="s">
        <v>118</v>
      </c>
      <c r="AG33" s="135" t="s">
        <v>149</v>
      </c>
      <c r="AH33" s="135" t="s">
        <v>122</v>
      </c>
      <c r="AI33" s="131" t="s">
        <v>123</v>
      </c>
      <c r="AJ33" s="137"/>
      <c r="AK33" s="137"/>
    </row>
    <row r="34" spans="1:37" s="172" customFormat="1" ht="60">
      <c r="A34" s="136">
        <v>45862</v>
      </c>
      <c r="B34" s="136">
        <v>45866</v>
      </c>
      <c r="C34" s="137" t="s">
        <v>105</v>
      </c>
      <c r="D34" s="137" t="s">
        <v>106</v>
      </c>
      <c r="E34" s="137" t="s">
        <v>107</v>
      </c>
      <c r="F34" s="132" t="s">
        <v>108</v>
      </c>
      <c r="G34" s="137" t="s">
        <v>109</v>
      </c>
      <c r="H34" s="137" t="s">
        <v>110</v>
      </c>
      <c r="I34" s="137" t="s">
        <v>111</v>
      </c>
      <c r="J34" s="137" t="s">
        <v>367</v>
      </c>
      <c r="K34" s="137" t="s">
        <v>368</v>
      </c>
      <c r="L34" s="137" t="s">
        <v>369</v>
      </c>
      <c r="M34" s="137" t="s">
        <v>263</v>
      </c>
      <c r="N34" s="137" t="s">
        <v>1319</v>
      </c>
      <c r="O34" s="137" t="s">
        <v>352</v>
      </c>
      <c r="P34" s="131" t="s">
        <v>116</v>
      </c>
      <c r="Q34" s="131" t="s">
        <v>370</v>
      </c>
      <c r="R34" s="131" t="s">
        <v>118</v>
      </c>
      <c r="S34" s="131" t="s">
        <v>118</v>
      </c>
      <c r="T34" s="131" t="s">
        <v>118</v>
      </c>
      <c r="U34" s="131" t="s">
        <v>118</v>
      </c>
      <c r="V34" s="131" t="s">
        <v>118</v>
      </c>
      <c r="W34" s="131" t="s">
        <v>118</v>
      </c>
      <c r="X34" s="131" t="s">
        <v>118</v>
      </c>
      <c r="Y34" s="131" t="s">
        <v>118</v>
      </c>
      <c r="Z34" s="131" t="s">
        <v>118</v>
      </c>
      <c r="AA34" s="137" t="s">
        <v>158</v>
      </c>
      <c r="AB34" s="137" t="s">
        <v>171</v>
      </c>
      <c r="AC34" s="173">
        <v>298610.69</v>
      </c>
      <c r="AD34" s="140">
        <v>298610.69</v>
      </c>
      <c r="AE34" s="134" t="s">
        <v>118</v>
      </c>
      <c r="AF34" s="171" t="s">
        <v>118</v>
      </c>
      <c r="AG34" s="135" t="s">
        <v>149</v>
      </c>
      <c r="AH34" s="135" t="s">
        <v>122</v>
      </c>
      <c r="AI34" s="131" t="s">
        <v>123</v>
      </c>
      <c r="AJ34" s="137"/>
      <c r="AK34" s="137"/>
    </row>
    <row r="35" spans="1:37" s="172" customFormat="1" ht="60">
      <c r="A35" s="136">
        <v>45747</v>
      </c>
      <c r="B35" s="136">
        <v>45747</v>
      </c>
      <c r="C35" s="137" t="s">
        <v>139</v>
      </c>
      <c r="D35" s="131" t="s">
        <v>106</v>
      </c>
      <c r="E35" s="131" t="s">
        <v>107</v>
      </c>
      <c r="F35" s="132" t="s">
        <v>108</v>
      </c>
      <c r="G35" s="131" t="s">
        <v>109</v>
      </c>
      <c r="H35" s="131" t="s">
        <v>110</v>
      </c>
      <c r="I35" s="131" t="s">
        <v>111</v>
      </c>
      <c r="J35" s="138" t="s">
        <v>371</v>
      </c>
      <c r="K35" s="131" t="s">
        <v>291</v>
      </c>
      <c r="L35" s="137" t="s">
        <v>372</v>
      </c>
      <c r="M35" s="137" t="s">
        <v>373</v>
      </c>
      <c r="N35" s="137" t="s">
        <v>1345</v>
      </c>
      <c r="O35" s="137" t="s">
        <v>374</v>
      </c>
      <c r="P35" s="131" t="s">
        <v>155</v>
      </c>
      <c r="Q35" s="131" t="s">
        <v>375</v>
      </c>
      <c r="R35" s="131" t="s">
        <v>118</v>
      </c>
      <c r="S35" s="131" t="s">
        <v>118</v>
      </c>
      <c r="T35" s="131" t="s">
        <v>118</v>
      </c>
      <c r="U35" s="131" t="s">
        <v>118</v>
      </c>
      <c r="V35" s="131" t="s">
        <v>118</v>
      </c>
      <c r="W35" s="131" t="s">
        <v>118</v>
      </c>
      <c r="X35" s="131" t="s">
        <v>118</v>
      </c>
      <c r="Y35" s="131" t="s">
        <v>109</v>
      </c>
      <c r="Z35" s="131" t="s">
        <v>118</v>
      </c>
      <c r="AA35" s="131" t="s">
        <v>206</v>
      </c>
      <c r="AB35" s="131" t="s">
        <v>207</v>
      </c>
      <c r="AC35" s="173">
        <v>119334.98</v>
      </c>
      <c r="AD35" s="134">
        <v>119334.98</v>
      </c>
      <c r="AE35" s="134" t="s">
        <v>118</v>
      </c>
      <c r="AF35" s="171">
        <v>25000</v>
      </c>
      <c r="AG35" s="135" t="s">
        <v>63</v>
      </c>
      <c r="AH35" s="135" t="s">
        <v>122</v>
      </c>
      <c r="AI35" s="131" t="s">
        <v>123</v>
      </c>
      <c r="AJ35" s="137"/>
      <c r="AK35" s="137"/>
    </row>
    <row r="36" spans="1:37" s="172" customFormat="1" ht="84">
      <c r="A36" s="130">
        <v>45426</v>
      </c>
      <c r="B36" s="130">
        <v>45427</v>
      </c>
      <c r="C36" s="131" t="s">
        <v>139</v>
      </c>
      <c r="D36" s="131" t="s">
        <v>106</v>
      </c>
      <c r="E36" s="131" t="s">
        <v>107</v>
      </c>
      <c r="F36" s="132" t="s">
        <v>108</v>
      </c>
      <c r="G36" s="131" t="s">
        <v>109</v>
      </c>
      <c r="H36" s="131" t="s">
        <v>110</v>
      </c>
      <c r="I36" s="131" t="s">
        <v>111</v>
      </c>
      <c r="J36" s="131" t="s">
        <v>376</v>
      </c>
      <c r="K36" s="131" t="s">
        <v>377</v>
      </c>
      <c r="L36" s="131" t="s">
        <v>378</v>
      </c>
      <c r="M36" s="131" t="s">
        <v>263</v>
      </c>
      <c r="N36" s="131" t="s">
        <v>1346</v>
      </c>
      <c r="O36" s="131" t="s">
        <v>379</v>
      </c>
      <c r="P36" s="131" t="s">
        <v>155</v>
      </c>
      <c r="Q36" s="131" t="s">
        <v>1042</v>
      </c>
      <c r="R36" s="131" t="s">
        <v>118</v>
      </c>
      <c r="S36" s="131" t="s">
        <v>254</v>
      </c>
      <c r="T36" s="131" t="s">
        <v>118</v>
      </c>
      <c r="U36" s="131" t="s">
        <v>118</v>
      </c>
      <c r="V36" s="131" t="s">
        <v>118</v>
      </c>
      <c r="W36" s="131" t="s">
        <v>118</v>
      </c>
      <c r="X36" s="131" t="s">
        <v>118</v>
      </c>
      <c r="Y36" s="131" t="s">
        <v>109</v>
      </c>
      <c r="Z36" s="131" t="s">
        <v>118</v>
      </c>
      <c r="AA36" s="131" t="s">
        <v>170</v>
      </c>
      <c r="AB36" s="131" t="s">
        <v>380</v>
      </c>
      <c r="AC36" s="171" t="s">
        <v>381</v>
      </c>
      <c r="AD36" s="131" t="s">
        <v>118</v>
      </c>
      <c r="AE36" s="134" t="s">
        <v>118</v>
      </c>
      <c r="AF36" s="171" t="s">
        <v>381</v>
      </c>
      <c r="AG36" s="135" t="s">
        <v>149</v>
      </c>
      <c r="AH36" s="135" t="s">
        <v>122</v>
      </c>
      <c r="AI36" s="131" t="s">
        <v>123</v>
      </c>
      <c r="AJ36" s="131"/>
      <c r="AK36" s="131"/>
    </row>
    <row r="37" spans="1:37" s="172" customFormat="1" ht="60">
      <c r="A37" s="136">
        <v>45734</v>
      </c>
      <c r="B37" s="136">
        <v>45734</v>
      </c>
      <c r="C37" s="137" t="s">
        <v>105</v>
      </c>
      <c r="D37" s="131" t="s">
        <v>106</v>
      </c>
      <c r="E37" s="131" t="s">
        <v>107</v>
      </c>
      <c r="F37" s="132" t="s">
        <v>108</v>
      </c>
      <c r="G37" s="131" t="s">
        <v>109</v>
      </c>
      <c r="H37" s="131" t="s">
        <v>110</v>
      </c>
      <c r="I37" s="131" t="s">
        <v>111</v>
      </c>
      <c r="J37" s="138" t="s">
        <v>382</v>
      </c>
      <c r="K37" s="137" t="s">
        <v>383</v>
      </c>
      <c r="L37" s="137" t="s">
        <v>384</v>
      </c>
      <c r="M37" s="137" t="s">
        <v>218</v>
      </c>
      <c r="N37" s="137" t="s">
        <v>1320</v>
      </c>
      <c r="O37" s="137" t="s">
        <v>385</v>
      </c>
      <c r="P37" s="137" t="s">
        <v>386</v>
      </c>
      <c r="Q37" s="131" t="s">
        <v>387</v>
      </c>
      <c r="R37" s="131" t="s">
        <v>118</v>
      </c>
      <c r="S37" s="131" t="s">
        <v>157</v>
      </c>
      <c r="T37" s="131" t="s">
        <v>118</v>
      </c>
      <c r="U37" s="131" t="s">
        <v>118</v>
      </c>
      <c r="V37" s="131" t="s">
        <v>118</v>
      </c>
      <c r="W37" s="131" t="s">
        <v>118</v>
      </c>
      <c r="X37" s="131" t="s">
        <v>118</v>
      </c>
      <c r="Y37" s="131" t="s">
        <v>118</v>
      </c>
      <c r="Z37" s="131" t="s">
        <v>118</v>
      </c>
      <c r="AA37" s="137" t="s">
        <v>170</v>
      </c>
      <c r="AB37" s="137" t="s">
        <v>380</v>
      </c>
      <c r="AC37" s="173">
        <v>37119.1</v>
      </c>
      <c r="AD37" s="140">
        <v>37119.1</v>
      </c>
      <c r="AE37" s="134" t="s">
        <v>388</v>
      </c>
      <c r="AF37" s="171" t="s">
        <v>388</v>
      </c>
      <c r="AG37" s="135" t="s">
        <v>137</v>
      </c>
      <c r="AH37" s="135" t="s">
        <v>138</v>
      </c>
      <c r="AI37" s="131" t="s">
        <v>123</v>
      </c>
      <c r="AJ37" s="137"/>
      <c r="AK37" s="137"/>
    </row>
    <row r="38" spans="1:37" s="172" customFormat="1" ht="48">
      <c r="A38" s="130">
        <v>45440</v>
      </c>
      <c r="B38" s="130">
        <v>45446</v>
      </c>
      <c r="C38" s="131" t="s">
        <v>389</v>
      </c>
      <c r="D38" s="131" t="s">
        <v>106</v>
      </c>
      <c r="E38" s="131" t="s">
        <v>107</v>
      </c>
      <c r="F38" s="132" t="s">
        <v>108</v>
      </c>
      <c r="G38" s="131" t="s">
        <v>109</v>
      </c>
      <c r="H38" s="131" t="s">
        <v>110</v>
      </c>
      <c r="I38" s="131" t="s">
        <v>111</v>
      </c>
      <c r="J38" s="131" t="s">
        <v>390</v>
      </c>
      <c r="K38" s="132" t="s">
        <v>391</v>
      </c>
      <c r="L38" s="131" t="s">
        <v>392</v>
      </c>
      <c r="M38" s="131" t="s">
        <v>393</v>
      </c>
      <c r="N38" s="131" t="s">
        <v>1347</v>
      </c>
      <c r="O38" s="131" t="s">
        <v>394</v>
      </c>
      <c r="P38" s="131" t="s">
        <v>395</v>
      </c>
      <c r="Q38" s="131" t="s">
        <v>396</v>
      </c>
      <c r="R38" s="131" t="s">
        <v>118</v>
      </c>
      <c r="S38" s="131" t="s">
        <v>118</v>
      </c>
      <c r="T38" s="131" t="s">
        <v>118</v>
      </c>
      <c r="U38" s="131" t="s">
        <v>118</v>
      </c>
      <c r="V38" s="131" t="s">
        <v>118</v>
      </c>
      <c r="W38" s="131" t="s">
        <v>118</v>
      </c>
      <c r="X38" s="131" t="s">
        <v>118</v>
      </c>
      <c r="Y38" s="131" t="s">
        <v>109</v>
      </c>
      <c r="Z38" s="131" t="s">
        <v>118</v>
      </c>
      <c r="AA38" s="131" t="s">
        <v>133</v>
      </c>
      <c r="AB38" s="178" t="s">
        <v>241</v>
      </c>
      <c r="AC38" s="171" t="s">
        <v>397</v>
      </c>
      <c r="AD38" s="131" t="s">
        <v>118</v>
      </c>
      <c r="AE38" s="134" t="s">
        <v>118</v>
      </c>
      <c r="AF38" s="171" t="s">
        <v>397</v>
      </c>
      <c r="AG38" s="135" t="s">
        <v>149</v>
      </c>
      <c r="AH38" s="135" t="s">
        <v>122</v>
      </c>
      <c r="AI38" s="131" t="s">
        <v>123</v>
      </c>
      <c r="AJ38" s="131"/>
      <c r="AK38" s="131"/>
    </row>
    <row r="39" spans="1:37" s="172" customFormat="1" ht="60">
      <c r="A39" s="136">
        <v>45762</v>
      </c>
      <c r="B39" s="136">
        <v>45762</v>
      </c>
      <c r="C39" s="137" t="s">
        <v>139</v>
      </c>
      <c r="D39" s="131" t="s">
        <v>106</v>
      </c>
      <c r="E39" s="131" t="s">
        <v>107</v>
      </c>
      <c r="F39" s="132" t="s">
        <v>108</v>
      </c>
      <c r="G39" s="131" t="s">
        <v>109</v>
      </c>
      <c r="H39" s="131" t="s">
        <v>110</v>
      </c>
      <c r="I39" s="131" t="s">
        <v>111</v>
      </c>
      <c r="J39" s="138" t="s">
        <v>398</v>
      </c>
      <c r="K39" s="131" t="s">
        <v>291</v>
      </c>
      <c r="L39" s="137" t="s">
        <v>399</v>
      </c>
      <c r="M39" s="137" t="s">
        <v>245</v>
      </c>
      <c r="N39" s="139" t="s">
        <v>400</v>
      </c>
      <c r="O39" s="137" t="s">
        <v>401</v>
      </c>
      <c r="P39" s="131" t="s">
        <v>155</v>
      </c>
      <c r="Q39" s="131" t="s">
        <v>146</v>
      </c>
      <c r="R39" s="131" t="s">
        <v>118</v>
      </c>
      <c r="S39" s="131" t="s">
        <v>118</v>
      </c>
      <c r="T39" s="131" t="s">
        <v>118</v>
      </c>
      <c r="U39" s="131" t="s">
        <v>118</v>
      </c>
      <c r="V39" s="131" t="s">
        <v>118</v>
      </c>
      <c r="W39" s="131" t="s">
        <v>118</v>
      </c>
      <c r="X39" s="131" t="s">
        <v>118</v>
      </c>
      <c r="Y39" s="131" t="s">
        <v>118</v>
      </c>
      <c r="Z39" s="131" t="s">
        <v>118</v>
      </c>
      <c r="AA39" s="137" t="s">
        <v>282</v>
      </c>
      <c r="AB39" s="137" t="s">
        <v>119</v>
      </c>
      <c r="AC39" s="173">
        <v>445384.33</v>
      </c>
      <c r="AD39" s="140">
        <v>445384.33</v>
      </c>
      <c r="AE39" s="134" t="s">
        <v>118</v>
      </c>
      <c r="AF39" s="171" t="s">
        <v>118</v>
      </c>
      <c r="AG39" s="135" t="s">
        <v>149</v>
      </c>
      <c r="AH39" s="135" t="s">
        <v>122</v>
      </c>
      <c r="AI39" s="131" t="s">
        <v>123</v>
      </c>
      <c r="AJ39" s="137"/>
      <c r="AK39" s="137"/>
    </row>
    <row r="40" spans="1:37" s="172" customFormat="1" ht="60">
      <c r="A40" s="136">
        <v>45817</v>
      </c>
      <c r="B40" s="136">
        <v>45817</v>
      </c>
      <c r="C40" s="137" t="s">
        <v>160</v>
      </c>
      <c r="D40" s="137" t="s">
        <v>106</v>
      </c>
      <c r="E40" s="137" t="s">
        <v>107</v>
      </c>
      <c r="F40" s="132" t="s">
        <v>108</v>
      </c>
      <c r="G40" s="137" t="s">
        <v>109</v>
      </c>
      <c r="H40" s="137" t="s">
        <v>110</v>
      </c>
      <c r="I40" s="137" t="s">
        <v>111</v>
      </c>
      <c r="J40" s="137" t="s">
        <v>402</v>
      </c>
      <c r="K40" s="137" t="s">
        <v>403</v>
      </c>
      <c r="L40" s="137" t="s">
        <v>404</v>
      </c>
      <c r="M40" s="137" t="s">
        <v>405</v>
      </c>
      <c r="N40" s="137" t="s">
        <v>1348</v>
      </c>
      <c r="O40" s="137" t="s">
        <v>406</v>
      </c>
      <c r="P40" s="137" t="s">
        <v>295</v>
      </c>
      <c r="Q40" s="137" t="s">
        <v>407</v>
      </c>
      <c r="R40" s="131" t="s">
        <v>118</v>
      </c>
      <c r="S40" s="131" t="s">
        <v>118</v>
      </c>
      <c r="T40" s="131" t="s">
        <v>118</v>
      </c>
      <c r="U40" s="131" t="s">
        <v>118</v>
      </c>
      <c r="V40" s="131" t="s">
        <v>118</v>
      </c>
      <c r="W40" s="131" t="s">
        <v>118</v>
      </c>
      <c r="X40" s="131" t="s">
        <v>118</v>
      </c>
      <c r="Y40" s="131" t="s">
        <v>118</v>
      </c>
      <c r="Z40" s="131" t="s">
        <v>118</v>
      </c>
      <c r="AA40" s="137" t="s">
        <v>120</v>
      </c>
      <c r="AB40" s="137" t="s">
        <v>119</v>
      </c>
      <c r="AC40" s="173">
        <v>518025.01</v>
      </c>
      <c r="AD40" s="140">
        <v>518025.01</v>
      </c>
      <c r="AE40" s="134" t="s">
        <v>118</v>
      </c>
      <c r="AF40" s="171" t="s">
        <v>118</v>
      </c>
      <c r="AG40" s="135" t="s">
        <v>149</v>
      </c>
      <c r="AH40" s="135" t="s">
        <v>122</v>
      </c>
      <c r="AI40" s="131" t="s">
        <v>123</v>
      </c>
      <c r="AJ40" s="137"/>
      <c r="AK40" s="137"/>
    </row>
    <row r="41" spans="1:37" s="172" customFormat="1" ht="84">
      <c r="A41" s="130">
        <v>45671</v>
      </c>
      <c r="B41" s="130">
        <v>45672</v>
      </c>
      <c r="C41" s="131" t="s">
        <v>139</v>
      </c>
      <c r="D41" s="131" t="s">
        <v>106</v>
      </c>
      <c r="E41" s="131" t="s">
        <v>107</v>
      </c>
      <c r="F41" s="132" t="s">
        <v>108</v>
      </c>
      <c r="G41" s="131" t="s">
        <v>109</v>
      </c>
      <c r="H41" s="131" t="s">
        <v>110</v>
      </c>
      <c r="I41" s="131" t="s">
        <v>111</v>
      </c>
      <c r="J41" s="174" t="s">
        <v>408</v>
      </c>
      <c r="K41" s="132" t="s">
        <v>409</v>
      </c>
      <c r="L41" s="131" t="s">
        <v>410</v>
      </c>
      <c r="M41" s="131" t="s">
        <v>286</v>
      </c>
      <c r="N41" s="170" t="s">
        <v>1349</v>
      </c>
      <c r="O41" s="131" t="s">
        <v>411</v>
      </c>
      <c r="P41" s="131" t="s">
        <v>155</v>
      </c>
      <c r="Q41" s="131" t="s">
        <v>412</v>
      </c>
      <c r="R41" s="131" t="s">
        <v>118</v>
      </c>
      <c r="S41" s="131" t="s">
        <v>118</v>
      </c>
      <c r="T41" s="131" t="s">
        <v>118</v>
      </c>
      <c r="U41" s="131" t="s">
        <v>118</v>
      </c>
      <c r="V41" s="131" t="s">
        <v>118</v>
      </c>
      <c r="W41" s="131" t="s">
        <v>118</v>
      </c>
      <c r="X41" s="131" t="s">
        <v>118</v>
      </c>
      <c r="Y41" s="131" t="s">
        <v>109</v>
      </c>
      <c r="Z41" s="131" t="s">
        <v>118</v>
      </c>
      <c r="AA41" s="131" t="s">
        <v>413</v>
      </c>
      <c r="AB41" s="131" t="s">
        <v>88</v>
      </c>
      <c r="AC41" s="171">
        <v>280706.76</v>
      </c>
      <c r="AD41" s="131" t="s">
        <v>118</v>
      </c>
      <c r="AE41" s="134" t="s">
        <v>118</v>
      </c>
      <c r="AF41" s="171">
        <v>280706.76</v>
      </c>
      <c r="AG41" s="135" t="s">
        <v>149</v>
      </c>
      <c r="AH41" s="135" t="s">
        <v>122</v>
      </c>
      <c r="AI41" s="131" t="s">
        <v>123</v>
      </c>
      <c r="AJ41" s="131"/>
      <c r="AK41" s="131"/>
    </row>
    <row r="42" spans="1:37" s="172" customFormat="1" ht="84">
      <c r="A42" s="130">
        <v>45531</v>
      </c>
      <c r="B42" s="130">
        <v>45533</v>
      </c>
      <c r="C42" s="131" t="s">
        <v>105</v>
      </c>
      <c r="D42" s="131" t="s">
        <v>106</v>
      </c>
      <c r="E42" s="131" t="s">
        <v>107</v>
      </c>
      <c r="F42" s="132" t="s">
        <v>108</v>
      </c>
      <c r="G42" s="131" t="s">
        <v>109</v>
      </c>
      <c r="H42" s="131" t="s">
        <v>110</v>
      </c>
      <c r="I42" s="131" t="s">
        <v>111</v>
      </c>
      <c r="J42" s="131" t="s">
        <v>414</v>
      </c>
      <c r="K42" s="131" t="s">
        <v>415</v>
      </c>
      <c r="L42" s="131" t="s">
        <v>416</v>
      </c>
      <c r="M42" s="131" t="s">
        <v>114</v>
      </c>
      <c r="N42" s="131" t="s">
        <v>1321</v>
      </c>
      <c r="O42" s="131" t="s">
        <v>417</v>
      </c>
      <c r="P42" s="131" t="s">
        <v>116</v>
      </c>
      <c r="Q42" s="131" t="s">
        <v>1297</v>
      </c>
      <c r="R42" s="131" t="s">
        <v>118</v>
      </c>
      <c r="S42" s="131" t="s">
        <v>118</v>
      </c>
      <c r="T42" s="131" t="s">
        <v>118</v>
      </c>
      <c r="U42" s="131" t="s">
        <v>118</v>
      </c>
      <c r="V42" s="131" t="s">
        <v>118</v>
      </c>
      <c r="W42" s="131" t="s">
        <v>118</v>
      </c>
      <c r="X42" s="131" t="s">
        <v>118</v>
      </c>
      <c r="Y42" s="131" t="s">
        <v>109</v>
      </c>
      <c r="Z42" s="131" t="s">
        <v>118</v>
      </c>
      <c r="AA42" s="131" t="s">
        <v>418</v>
      </c>
      <c r="AB42" s="131" t="s">
        <v>88</v>
      </c>
      <c r="AC42" s="171" t="s">
        <v>1298</v>
      </c>
      <c r="AD42" s="131" t="s">
        <v>118</v>
      </c>
      <c r="AE42" s="134" t="s">
        <v>118</v>
      </c>
      <c r="AF42" s="171" t="s">
        <v>1298</v>
      </c>
      <c r="AG42" s="135" t="s">
        <v>149</v>
      </c>
      <c r="AH42" s="135" t="s">
        <v>122</v>
      </c>
      <c r="AI42" s="131" t="s">
        <v>123</v>
      </c>
      <c r="AJ42" s="131"/>
      <c r="AK42" s="131"/>
    </row>
    <row r="43" spans="1:37" s="172" customFormat="1" ht="144">
      <c r="A43" s="130">
        <v>45523</v>
      </c>
      <c r="B43" s="130">
        <v>45525</v>
      </c>
      <c r="C43" s="131" t="s">
        <v>105</v>
      </c>
      <c r="D43" s="131" t="s">
        <v>106</v>
      </c>
      <c r="E43" s="131" t="s">
        <v>107</v>
      </c>
      <c r="F43" s="132" t="s">
        <v>108</v>
      </c>
      <c r="G43" s="131" t="s">
        <v>109</v>
      </c>
      <c r="H43" s="131" t="s">
        <v>110</v>
      </c>
      <c r="I43" s="131" t="s">
        <v>111</v>
      </c>
      <c r="J43" s="131" t="s">
        <v>419</v>
      </c>
      <c r="K43" s="131" t="s">
        <v>415</v>
      </c>
      <c r="L43" s="131" t="s">
        <v>420</v>
      </c>
      <c r="M43" s="131" t="s">
        <v>114</v>
      </c>
      <c r="N43" s="131" t="s">
        <v>1322</v>
      </c>
      <c r="O43" s="131" t="s">
        <v>219</v>
      </c>
      <c r="P43" s="131" t="s">
        <v>116</v>
      </c>
      <c r="Q43" s="131" t="s">
        <v>220</v>
      </c>
      <c r="R43" s="131" t="s">
        <v>118</v>
      </c>
      <c r="S43" s="131" t="s">
        <v>130</v>
      </c>
      <c r="T43" s="131" t="s">
        <v>421</v>
      </c>
      <c r="U43" s="131" t="s">
        <v>422</v>
      </c>
      <c r="V43" s="131" t="s">
        <v>118</v>
      </c>
      <c r="W43" s="131" t="s">
        <v>118</v>
      </c>
      <c r="X43" s="131" t="s">
        <v>118</v>
      </c>
      <c r="Y43" s="131" t="s">
        <v>109</v>
      </c>
      <c r="Z43" s="131" t="s">
        <v>118</v>
      </c>
      <c r="AA43" s="131" t="s">
        <v>170</v>
      </c>
      <c r="AB43" s="131" t="s">
        <v>171</v>
      </c>
      <c r="AC43" s="171" t="s">
        <v>1299</v>
      </c>
      <c r="AD43" s="131" t="s">
        <v>118</v>
      </c>
      <c r="AE43" s="134">
        <v>100000</v>
      </c>
      <c r="AF43" s="171">
        <v>100000</v>
      </c>
      <c r="AG43" s="135" t="s">
        <v>137</v>
      </c>
      <c r="AH43" s="135" t="s">
        <v>138</v>
      </c>
      <c r="AI43" s="131" t="s">
        <v>123</v>
      </c>
      <c r="AJ43" s="131"/>
      <c r="AK43" s="131"/>
    </row>
    <row r="44" spans="1:37" s="172" customFormat="1" ht="60">
      <c r="A44" s="136">
        <v>45806</v>
      </c>
      <c r="B44" s="136">
        <v>45810</v>
      </c>
      <c r="C44" s="137" t="s">
        <v>139</v>
      </c>
      <c r="D44" s="137" t="s">
        <v>106</v>
      </c>
      <c r="E44" s="137" t="s">
        <v>107</v>
      </c>
      <c r="F44" s="132" t="s">
        <v>108</v>
      </c>
      <c r="G44" s="137" t="s">
        <v>109</v>
      </c>
      <c r="H44" s="137" t="s">
        <v>110</v>
      </c>
      <c r="I44" s="137" t="s">
        <v>111</v>
      </c>
      <c r="J44" s="137" t="s">
        <v>423</v>
      </c>
      <c r="K44" s="137" t="s">
        <v>424</v>
      </c>
      <c r="L44" s="137" t="s">
        <v>425</v>
      </c>
      <c r="M44" s="137" t="s">
        <v>153</v>
      </c>
      <c r="N44" s="139" t="s">
        <v>1350</v>
      </c>
      <c r="O44" s="137" t="s">
        <v>426</v>
      </c>
      <c r="P44" s="131" t="s">
        <v>155</v>
      </c>
      <c r="Q44" s="137" t="s">
        <v>427</v>
      </c>
      <c r="R44" s="131" t="s">
        <v>118</v>
      </c>
      <c r="S44" s="131" t="s">
        <v>118</v>
      </c>
      <c r="T44" s="131" t="s">
        <v>118</v>
      </c>
      <c r="U44" s="131" t="s">
        <v>118</v>
      </c>
      <c r="V44" s="131" t="s">
        <v>118</v>
      </c>
      <c r="W44" s="131" t="s">
        <v>118</v>
      </c>
      <c r="X44" s="131" t="s">
        <v>118</v>
      </c>
      <c r="Y44" s="131" t="s">
        <v>118</v>
      </c>
      <c r="Z44" s="131" t="s">
        <v>118</v>
      </c>
      <c r="AA44" s="137" t="s">
        <v>354</v>
      </c>
      <c r="AB44" s="137" t="s">
        <v>428</v>
      </c>
      <c r="AC44" s="173">
        <v>120938.17</v>
      </c>
      <c r="AD44" s="140">
        <v>120938.17</v>
      </c>
      <c r="AE44" s="134" t="s">
        <v>118</v>
      </c>
      <c r="AF44" s="171" t="s">
        <v>118</v>
      </c>
      <c r="AG44" s="135" t="s">
        <v>149</v>
      </c>
      <c r="AH44" s="135" t="s">
        <v>122</v>
      </c>
      <c r="AI44" s="131" t="s">
        <v>123</v>
      </c>
      <c r="AJ44" s="137"/>
      <c r="AK44" s="137"/>
    </row>
    <row r="45" spans="1:37" s="172" customFormat="1" ht="84">
      <c r="A45" s="130">
        <v>45618</v>
      </c>
      <c r="B45" s="130">
        <v>45638</v>
      </c>
      <c r="C45" s="131" t="s">
        <v>139</v>
      </c>
      <c r="D45" s="131" t="s">
        <v>106</v>
      </c>
      <c r="E45" s="131" t="s">
        <v>107</v>
      </c>
      <c r="F45" s="132" t="s">
        <v>108</v>
      </c>
      <c r="G45" s="131" t="s">
        <v>109</v>
      </c>
      <c r="H45" s="131" t="s">
        <v>110</v>
      </c>
      <c r="I45" s="131" t="s">
        <v>111</v>
      </c>
      <c r="J45" s="174" t="s">
        <v>429</v>
      </c>
      <c r="K45" s="131" t="s">
        <v>430</v>
      </c>
      <c r="L45" s="131" t="s">
        <v>431</v>
      </c>
      <c r="M45" s="131" t="s">
        <v>153</v>
      </c>
      <c r="N45" s="131" t="s">
        <v>1351</v>
      </c>
      <c r="O45" s="131" t="s">
        <v>432</v>
      </c>
      <c r="P45" s="131" t="s">
        <v>155</v>
      </c>
      <c r="Q45" s="131" t="s">
        <v>433</v>
      </c>
      <c r="R45" s="131" t="s">
        <v>118</v>
      </c>
      <c r="S45" s="131" t="s">
        <v>157</v>
      </c>
      <c r="T45" s="131" t="s">
        <v>118</v>
      </c>
      <c r="U45" s="131" t="s">
        <v>118</v>
      </c>
      <c r="V45" s="131" t="s">
        <v>118</v>
      </c>
      <c r="W45" s="131" t="s">
        <v>118</v>
      </c>
      <c r="X45" s="131" t="s">
        <v>118</v>
      </c>
      <c r="Y45" s="131" t="s">
        <v>109</v>
      </c>
      <c r="Z45" s="131" t="s">
        <v>118</v>
      </c>
      <c r="AA45" s="137" t="s">
        <v>170</v>
      </c>
      <c r="AB45" s="137" t="s">
        <v>171</v>
      </c>
      <c r="AC45" s="171" t="s">
        <v>434</v>
      </c>
      <c r="AD45" s="131" t="s">
        <v>118</v>
      </c>
      <c r="AE45" s="134" t="s">
        <v>118</v>
      </c>
      <c r="AF45" s="171">
        <v>18000</v>
      </c>
      <c r="AG45" s="135" t="s">
        <v>435</v>
      </c>
      <c r="AH45" s="135" t="s">
        <v>122</v>
      </c>
      <c r="AI45" s="131" t="s">
        <v>123</v>
      </c>
      <c r="AJ45" s="131"/>
      <c r="AK45" s="131"/>
    </row>
    <row r="46" spans="1:37" s="172" customFormat="1" ht="60">
      <c r="A46" s="130">
        <v>45646</v>
      </c>
      <c r="B46" s="130">
        <v>45649</v>
      </c>
      <c r="C46" s="131" t="s">
        <v>139</v>
      </c>
      <c r="D46" s="131" t="s">
        <v>106</v>
      </c>
      <c r="E46" s="131" t="s">
        <v>107</v>
      </c>
      <c r="F46" s="132" t="s">
        <v>108</v>
      </c>
      <c r="G46" s="131" t="s">
        <v>109</v>
      </c>
      <c r="H46" s="131" t="s">
        <v>110</v>
      </c>
      <c r="I46" s="131" t="s">
        <v>111</v>
      </c>
      <c r="J46" s="174" t="s">
        <v>436</v>
      </c>
      <c r="K46" s="131" t="s">
        <v>291</v>
      </c>
      <c r="L46" s="131" t="s">
        <v>437</v>
      </c>
      <c r="M46" s="131" t="s">
        <v>245</v>
      </c>
      <c r="N46" s="131" t="s">
        <v>1352</v>
      </c>
      <c r="O46" s="131" t="s">
        <v>438</v>
      </c>
      <c r="P46" s="131" t="s">
        <v>155</v>
      </c>
      <c r="Q46" s="131" t="s">
        <v>146</v>
      </c>
      <c r="R46" s="131" t="s">
        <v>118</v>
      </c>
      <c r="S46" s="131" t="s">
        <v>118</v>
      </c>
      <c r="T46" s="131" t="s">
        <v>118</v>
      </c>
      <c r="U46" s="131" t="s">
        <v>118</v>
      </c>
      <c r="V46" s="131" t="s">
        <v>118</v>
      </c>
      <c r="W46" s="131" t="s">
        <v>118</v>
      </c>
      <c r="X46" s="131" t="s">
        <v>118</v>
      </c>
      <c r="Y46" s="131" t="s">
        <v>109</v>
      </c>
      <c r="Z46" s="131" t="s">
        <v>118</v>
      </c>
      <c r="AA46" s="131" t="s">
        <v>249</v>
      </c>
      <c r="AB46" s="131" t="s">
        <v>241</v>
      </c>
      <c r="AC46" s="171">
        <v>616530.64</v>
      </c>
      <c r="AD46" s="134" t="s">
        <v>118</v>
      </c>
      <c r="AE46" s="134" t="s">
        <v>118</v>
      </c>
      <c r="AF46" s="171">
        <v>616530.64</v>
      </c>
      <c r="AG46" s="135" t="s">
        <v>149</v>
      </c>
      <c r="AH46" s="135" t="s">
        <v>122</v>
      </c>
      <c r="AI46" s="131" t="s">
        <v>123</v>
      </c>
      <c r="AJ46" s="131"/>
      <c r="AK46" s="131"/>
    </row>
    <row r="47" spans="1:37" s="172" customFormat="1" ht="72">
      <c r="A47" s="130">
        <v>45947</v>
      </c>
      <c r="B47" s="130">
        <v>45951</v>
      </c>
      <c r="C47" s="131" t="s">
        <v>439</v>
      </c>
      <c r="D47" s="131" t="s">
        <v>106</v>
      </c>
      <c r="E47" s="131" t="s">
        <v>107</v>
      </c>
      <c r="F47" s="132" t="s">
        <v>108</v>
      </c>
      <c r="G47" s="131" t="s">
        <v>109</v>
      </c>
      <c r="H47" s="131" t="s">
        <v>110</v>
      </c>
      <c r="I47" s="131" t="s">
        <v>111</v>
      </c>
      <c r="J47" s="174" t="s">
        <v>440</v>
      </c>
      <c r="K47" s="131" t="s">
        <v>441</v>
      </c>
      <c r="L47" s="131" t="s">
        <v>442</v>
      </c>
      <c r="M47" s="131" t="s">
        <v>364</v>
      </c>
      <c r="N47" s="170" t="s">
        <v>1323</v>
      </c>
      <c r="O47" s="131" t="s">
        <v>443</v>
      </c>
      <c r="P47" s="131" t="s">
        <v>116</v>
      </c>
      <c r="Q47" s="131" t="s">
        <v>444</v>
      </c>
      <c r="R47" s="131" t="s">
        <v>118</v>
      </c>
      <c r="S47" s="131" t="s">
        <v>118</v>
      </c>
      <c r="T47" s="131" t="s">
        <v>118</v>
      </c>
      <c r="U47" s="131" t="s">
        <v>118</v>
      </c>
      <c r="V47" s="131" t="s">
        <v>118</v>
      </c>
      <c r="W47" s="131" t="s">
        <v>118</v>
      </c>
      <c r="X47" s="131" t="s">
        <v>118</v>
      </c>
      <c r="Y47" s="131" t="s">
        <v>109</v>
      </c>
      <c r="Z47" s="131" t="s">
        <v>118</v>
      </c>
      <c r="AA47" s="131" t="s">
        <v>120</v>
      </c>
      <c r="AB47" s="131" t="s">
        <v>119</v>
      </c>
      <c r="AC47" s="171" t="s">
        <v>445</v>
      </c>
      <c r="AD47" s="134" t="s">
        <v>118</v>
      </c>
      <c r="AE47" s="134" t="s">
        <v>118</v>
      </c>
      <c r="AF47" s="171" t="s">
        <v>445</v>
      </c>
      <c r="AG47" s="135" t="s">
        <v>137</v>
      </c>
      <c r="AH47" s="135" t="s">
        <v>122</v>
      </c>
      <c r="AI47" s="131" t="s">
        <v>123</v>
      </c>
      <c r="AJ47" s="131"/>
      <c r="AK47" s="131"/>
    </row>
    <row r="48" spans="1:37" s="172" customFormat="1" ht="36">
      <c r="A48" s="130">
        <v>45968</v>
      </c>
      <c r="B48" s="130">
        <v>45979</v>
      </c>
      <c r="C48" s="131" t="s">
        <v>139</v>
      </c>
      <c r="D48" s="131" t="s">
        <v>106</v>
      </c>
      <c r="E48" s="131" t="s">
        <v>107</v>
      </c>
      <c r="F48" s="132" t="s">
        <v>108</v>
      </c>
      <c r="G48" s="131" t="s">
        <v>109</v>
      </c>
      <c r="H48" s="131" t="s">
        <v>110</v>
      </c>
      <c r="I48" s="131" t="s">
        <v>111</v>
      </c>
      <c r="J48" s="174" t="s">
        <v>446</v>
      </c>
      <c r="K48" s="131" t="s">
        <v>447</v>
      </c>
      <c r="L48" s="131" t="s">
        <v>448</v>
      </c>
      <c r="M48" s="131" t="s">
        <v>364</v>
      </c>
      <c r="N48" s="170" t="s">
        <v>1353</v>
      </c>
      <c r="O48" s="131" t="s">
        <v>449</v>
      </c>
      <c r="P48" s="131" t="s">
        <v>450</v>
      </c>
      <c r="Q48" s="131" t="s">
        <v>451</v>
      </c>
      <c r="R48" s="131" t="s">
        <v>118</v>
      </c>
      <c r="S48" s="131" t="s">
        <v>118</v>
      </c>
      <c r="T48" s="131" t="s">
        <v>118</v>
      </c>
      <c r="U48" s="131" t="s">
        <v>118</v>
      </c>
      <c r="V48" s="131" t="s">
        <v>118</v>
      </c>
      <c r="W48" s="131" t="s">
        <v>118</v>
      </c>
      <c r="X48" s="131" t="s">
        <v>118</v>
      </c>
      <c r="Y48" s="131" t="s">
        <v>109</v>
      </c>
      <c r="Z48" s="131" t="s">
        <v>118</v>
      </c>
      <c r="AA48" s="131" t="s">
        <v>120</v>
      </c>
      <c r="AB48" s="131" t="s">
        <v>452</v>
      </c>
      <c r="AC48" s="171" t="s">
        <v>453</v>
      </c>
      <c r="AD48" s="134" t="s">
        <v>118</v>
      </c>
      <c r="AE48" s="134" t="s">
        <v>118</v>
      </c>
      <c r="AF48" s="171" t="s">
        <v>453</v>
      </c>
      <c r="AG48" s="135" t="s">
        <v>137</v>
      </c>
      <c r="AH48" s="135" t="s">
        <v>122</v>
      </c>
      <c r="AI48" s="131" t="s">
        <v>123</v>
      </c>
      <c r="AJ48" s="131"/>
      <c r="AK48" s="131"/>
    </row>
    <row r="49" spans="1:37" s="172" customFormat="1" ht="48">
      <c r="A49" s="130">
        <v>45958</v>
      </c>
      <c r="B49" s="130">
        <v>45979</v>
      </c>
      <c r="C49" s="131" t="s">
        <v>139</v>
      </c>
      <c r="D49" s="131" t="s">
        <v>106</v>
      </c>
      <c r="E49" s="131" t="s">
        <v>107</v>
      </c>
      <c r="F49" s="132" t="s">
        <v>108</v>
      </c>
      <c r="G49" s="131" t="s">
        <v>109</v>
      </c>
      <c r="H49" s="131" t="s">
        <v>110</v>
      </c>
      <c r="I49" s="131" t="s">
        <v>111</v>
      </c>
      <c r="J49" s="174" t="s">
        <v>454</v>
      </c>
      <c r="K49" s="131" t="s">
        <v>455</v>
      </c>
      <c r="L49" s="131" t="s">
        <v>456</v>
      </c>
      <c r="M49" s="131" t="s">
        <v>153</v>
      </c>
      <c r="N49" s="170" t="s">
        <v>1354</v>
      </c>
      <c r="O49" s="131" t="s">
        <v>457</v>
      </c>
      <c r="P49" s="131" t="s">
        <v>458</v>
      </c>
      <c r="Q49" s="131" t="s">
        <v>459</v>
      </c>
      <c r="R49" s="131" t="s">
        <v>118</v>
      </c>
      <c r="S49" s="131" t="s">
        <v>118</v>
      </c>
      <c r="T49" s="131" t="s">
        <v>118</v>
      </c>
      <c r="U49" s="131" t="s">
        <v>118</v>
      </c>
      <c r="V49" s="131" t="s">
        <v>118</v>
      </c>
      <c r="W49" s="131" t="s">
        <v>118</v>
      </c>
      <c r="X49" s="131" t="s">
        <v>118</v>
      </c>
      <c r="Y49" s="131" t="s">
        <v>109</v>
      </c>
      <c r="Z49" s="131" t="s">
        <v>118</v>
      </c>
      <c r="AA49" s="131" t="s">
        <v>120</v>
      </c>
      <c r="AB49" s="131" t="s">
        <v>452</v>
      </c>
      <c r="AC49" s="171" t="s">
        <v>460</v>
      </c>
      <c r="AD49" s="134" t="s">
        <v>118</v>
      </c>
      <c r="AE49" s="134" t="s">
        <v>118</v>
      </c>
      <c r="AF49" s="171" t="s">
        <v>460</v>
      </c>
      <c r="AG49" s="135" t="s">
        <v>137</v>
      </c>
      <c r="AH49" s="135" t="s">
        <v>122</v>
      </c>
      <c r="AI49" s="131" t="s">
        <v>123</v>
      </c>
      <c r="AJ49" s="131"/>
      <c r="AK49" s="131"/>
    </row>
    <row r="50" spans="1:37" s="172" customFormat="1" ht="36">
      <c r="A50" s="130">
        <v>45983</v>
      </c>
      <c r="B50" s="130">
        <v>45988</v>
      </c>
      <c r="C50" s="131" t="s">
        <v>139</v>
      </c>
      <c r="D50" s="131" t="s">
        <v>106</v>
      </c>
      <c r="E50" s="131" t="s">
        <v>107</v>
      </c>
      <c r="F50" s="132" t="s">
        <v>108</v>
      </c>
      <c r="G50" s="131" t="s">
        <v>109</v>
      </c>
      <c r="H50" s="131" t="s">
        <v>110</v>
      </c>
      <c r="I50" s="131" t="s">
        <v>111</v>
      </c>
      <c r="J50" s="174" t="s">
        <v>461</v>
      </c>
      <c r="K50" s="131" t="s">
        <v>462</v>
      </c>
      <c r="L50" s="131" t="s">
        <v>463</v>
      </c>
      <c r="M50" s="131" t="s">
        <v>226</v>
      </c>
      <c r="N50" s="170" t="s">
        <v>1355</v>
      </c>
      <c r="O50" s="131" t="s">
        <v>464</v>
      </c>
      <c r="P50" s="131" t="s">
        <v>155</v>
      </c>
      <c r="Q50" s="131" t="s">
        <v>465</v>
      </c>
      <c r="R50" s="131" t="s">
        <v>118</v>
      </c>
      <c r="S50" s="131" t="s">
        <v>118</v>
      </c>
      <c r="T50" s="131" t="s">
        <v>118</v>
      </c>
      <c r="U50" s="131" t="s">
        <v>118</v>
      </c>
      <c r="V50" s="131" t="s">
        <v>118</v>
      </c>
      <c r="W50" s="131" t="s">
        <v>118</v>
      </c>
      <c r="X50" s="131" t="s">
        <v>118</v>
      </c>
      <c r="Y50" s="131" t="s">
        <v>109</v>
      </c>
      <c r="Z50" s="131" t="s">
        <v>118</v>
      </c>
      <c r="AA50" s="131" t="s">
        <v>120</v>
      </c>
      <c r="AB50" s="131" t="s">
        <v>452</v>
      </c>
      <c r="AC50" s="171" t="s">
        <v>466</v>
      </c>
      <c r="AD50" s="134" t="s">
        <v>118</v>
      </c>
      <c r="AE50" s="134" t="s">
        <v>118</v>
      </c>
      <c r="AF50" s="171" t="s">
        <v>466</v>
      </c>
      <c r="AG50" s="135" t="s">
        <v>137</v>
      </c>
      <c r="AH50" s="135" t="s">
        <v>122</v>
      </c>
      <c r="AI50" s="131" t="s">
        <v>123</v>
      </c>
      <c r="AJ50" s="131"/>
      <c r="AK50" s="131"/>
    </row>
    <row r="51" spans="1:37" s="172" customFormat="1" ht="60">
      <c r="A51" s="130">
        <v>46057</v>
      </c>
      <c r="B51" s="130">
        <v>46063</v>
      </c>
      <c r="C51" s="131" t="s">
        <v>139</v>
      </c>
      <c r="D51" s="131" t="s">
        <v>106</v>
      </c>
      <c r="E51" s="131" t="s">
        <v>107</v>
      </c>
      <c r="F51" s="132" t="s">
        <v>108</v>
      </c>
      <c r="G51" s="131" t="s">
        <v>109</v>
      </c>
      <c r="H51" s="131" t="s">
        <v>110</v>
      </c>
      <c r="I51" s="131" t="s">
        <v>111</v>
      </c>
      <c r="J51" s="174" t="s">
        <v>467</v>
      </c>
      <c r="K51" s="131" t="s">
        <v>468</v>
      </c>
      <c r="L51" s="131" t="s">
        <v>469</v>
      </c>
      <c r="M51" s="131" t="s">
        <v>470</v>
      </c>
      <c r="N51" s="139" t="s">
        <v>1356</v>
      </c>
      <c r="O51" s="131" t="s">
        <v>471</v>
      </c>
      <c r="P51" s="131" t="s">
        <v>204</v>
      </c>
      <c r="Q51" s="131" t="s">
        <v>472</v>
      </c>
      <c r="R51" s="131" t="s">
        <v>118</v>
      </c>
      <c r="S51" s="131" t="s">
        <v>118</v>
      </c>
      <c r="T51" s="131" t="s">
        <v>118</v>
      </c>
      <c r="U51" s="131" t="s">
        <v>118</v>
      </c>
      <c r="V51" s="131"/>
      <c r="W51" s="131" t="s">
        <v>118</v>
      </c>
      <c r="X51" s="131" t="s">
        <v>118</v>
      </c>
      <c r="Y51" s="131" t="s">
        <v>109</v>
      </c>
      <c r="Z51" s="131" t="s">
        <v>118</v>
      </c>
      <c r="AA51" s="131" t="s">
        <v>192</v>
      </c>
      <c r="AB51" s="131" t="s">
        <v>193</v>
      </c>
      <c r="AC51" s="171">
        <v>77741.070000000007</v>
      </c>
      <c r="AD51" s="134" t="s">
        <v>118</v>
      </c>
      <c r="AE51" s="134" t="s">
        <v>118</v>
      </c>
      <c r="AF51" s="171">
        <v>77741.070000000007</v>
      </c>
      <c r="AG51" s="135" t="s">
        <v>137</v>
      </c>
      <c r="AH51" s="135" t="s">
        <v>122</v>
      </c>
      <c r="AI51" s="131" t="s">
        <v>123</v>
      </c>
      <c r="AJ51" s="131"/>
      <c r="AK51" s="131"/>
    </row>
    <row r="52" spans="1:37" s="172" customFormat="1" ht="60">
      <c r="A52" s="136">
        <v>46051</v>
      </c>
      <c r="B52" s="136">
        <v>46056</v>
      </c>
      <c r="C52" s="137" t="s">
        <v>105</v>
      </c>
      <c r="D52" s="137" t="s">
        <v>106</v>
      </c>
      <c r="E52" s="131" t="s">
        <v>107</v>
      </c>
      <c r="F52" s="132" t="s">
        <v>108</v>
      </c>
      <c r="G52" s="131" t="s">
        <v>109</v>
      </c>
      <c r="H52" s="131" t="s">
        <v>110</v>
      </c>
      <c r="I52" s="131" t="s">
        <v>111</v>
      </c>
      <c r="J52" s="137" t="s">
        <v>473</v>
      </c>
      <c r="K52" s="137" t="s">
        <v>474</v>
      </c>
      <c r="L52" s="137" t="s">
        <v>475</v>
      </c>
      <c r="M52" s="137" t="s">
        <v>476</v>
      </c>
      <c r="N52" s="139" t="s">
        <v>477</v>
      </c>
      <c r="O52" s="137" t="s">
        <v>478</v>
      </c>
      <c r="P52" s="131" t="s">
        <v>116</v>
      </c>
      <c r="Q52" s="137" t="s">
        <v>479</v>
      </c>
      <c r="R52" s="131" t="s">
        <v>118</v>
      </c>
      <c r="S52" s="131" t="s">
        <v>118</v>
      </c>
      <c r="T52" s="131" t="s">
        <v>118</v>
      </c>
      <c r="U52" s="131" t="s">
        <v>118</v>
      </c>
      <c r="V52" s="131" t="s">
        <v>118</v>
      </c>
      <c r="W52" s="131" t="s">
        <v>118</v>
      </c>
      <c r="X52" s="131" t="s">
        <v>118</v>
      </c>
      <c r="Y52" s="131" t="s">
        <v>109</v>
      </c>
      <c r="Z52" s="131" t="s">
        <v>118</v>
      </c>
      <c r="AA52" s="131" t="s">
        <v>120</v>
      </c>
      <c r="AB52" s="131" t="s">
        <v>119</v>
      </c>
      <c r="AC52" s="140">
        <v>108159.51</v>
      </c>
      <c r="AD52" s="134" t="s">
        <v>118</v>
      </c>
      <c r="AE52" s="134" t="s">
        <v>118</v>
      </c>
      <c r="AF52" s="140">
        <v>108159.51</v>
      </c>
      <c r="AG52" s="135" t="s">
        <v>137</v>
      </c>
      <c r="AH52" s="135" t="s">
        <v>122</v>
      </c>
      <c r="AI52" s="131" t="s">
        <v>123</v>
      </c>
      <c r="AJ52" s="137"/>
      <c r="AK52" s="137"/>
    </row>
    <row r="53" spans="1:37" s="172" customFormat="1" ht="48">
      <c r="A53" s="136">
        <v>46034</v>
      </c>
      <c r="B53" s="136">
        <v>46035</v>
      </c>
      <c r="C53" s="137" t="s">
        <v>139</v>
      </c>
      <c r="D53" s="137" t="s">
        <v>106</v>
      </c>
      <c r="E53" s="131" t="s">
        <v>107</v>
      </c>
      <c r="F53" s="132" t="s">
        <v>108</v>
      </c>
      <c r="G53" s="131" t="s">
        <v>109</v>
      </c>
      <c r="H53" s="131" t="s">
        <v>110</v>
      </c>
      <c r="I53" s="131" t="s">
        <v>111</v>
      </c>
      <c r="J53" s="137" t="s">
        <v>480</v>
      </c>
      <c r="K53" s="137" t="s">
        <v>481</v>
      </c>
      <c r="L53" s="137" t="s">
        <v>482</v>
      </c>
      <c r="M53" s="137" t="s">
        <v>483</v>
      </c>
      <c r="N53" s="139" t="s">
        <v>1357</v>
      </c>
      <c r="O53" s="131" t="s">
        <v>484</v>
      </c>
      <c r="P53" s="131" t="s">
        <v>155</v>
      </c>
      <c r="Q53" s="137" t="s">
        <v>485</v>
      </c>
      <c r="R53" s="131" t="s">
        <v>118</v>
      </c>
      <c r="S53" s="137" t="s">
        <v>118</v>
      </c>
      <c r="T53" s="137" t="s">
        <v>118</v>
      </c>
      <c r="U53" s="137" t="s">
        <v>118</v>
      </c>
      <c r="V53" s="131" t="s">
        <v>118</v>
      </c>
      <c r="W53" s="131" t="s">
        <v>118</v>
      </c>
      <c r="X53" s="131" t="s">
        <v>118</v>
      </c>
      <c r="Y53" s="131" t="s">
        <v>109</v>
      </c>
      <c r="Z53" s="131" t="s">
        <v>118</v>
      </c>
      <c r="AA53" s="137" t="s">
        <v>192</v>
      </c>
      <c r="AB53" s="137" t="s">
        <v>193</v>
      </c>
      <c r="AC53" s="140">
        <v>174024.5</v>
      </c>
      <c r="AD53" s="134" t="s">
        <v>118</v>
      </c>
      <c r="AE53" s="134" t="s">
        <v>118</v>
      </c>
      <c r="AF53" s="140">
        <v>174024.5</v>
      </c>
      <c r="AG53" s="135" t="s">
        <v>137</v>
      </c>
      <c r="AH53" s="135" t="s">
        <v>122</v>
      </c>
      <c r="AI53" s="131" t="s">
        <v>123</v>
      </c>
      <c r="AJ53" s="137"/>
      <c r="AK53" s="137"/>
    </row>
    <row r="54" spans="1:37" s="172" customFormat="1" ht="48">
      <c r="A54" s="136">
        <v>46007</v>
      </c>
      <c r="B54" s="136">
        <v>46035</v>
      </c>
      <c r="C54" s="137" t="s">
        <v>139</v>
      </c>
      <c r="D54" s="137" t="s">
        <v>106</v>
      </c>
      <c r="E54" s="131" t="s">
        <v>107</v>
      </c>
      <c r="F54" s="132" t="s">
        <v>108</v>
      </c>
      <c r="G54" s="131" t="s">
        <v>109</v>
      </c>
      <c r="H54" s="131" t="s">
        <v>110</v>
      </c>
      <c r="I54" s="131" t="s">
        <v>111</v>
      </c>
      <c r="J54" s="137" t="s">
        <v>486</v>
      </c>
      <c r="K54" s="137" t="s">
        <v>487</v>
      </c>
      <c r="L54" s="137" t="s">
        <v>488</v>
      </c>
      <c r="M54" s="137" t="s">
        <v>489</v>
      </c>
      <c r="N54" s="139" t="s">
        <v>490</v>
      </c>
      <c r="O54" s="131" t="s">
        <v>491</v>
      </c>
      <c r="P54" s="131" t="s">
        <v>155</v>
      </c>
      <c r="Q54" s="137" t="s">
        <v>191</v>
      </c>
      <c r="R54" s="131" t="s">
        <v>118</v>
      </c>
      <c r="S54" s="137" t="s">
        <v>118</v>
      </c>
      <c r="T54" s="137" t="s">
        <v>118</v>
      </c>
      <c r="U54" s="137" t="s">
        <v>118</v>
      </c>
      <c r="V54" s="131" t="s">
        <v>118</v>
      </c>
      <c r="W54" s="131" t="s">
        <v>118</v>
      </c>
      <c r="X54" s="131" t="s">
        <v>118</v>
      </c>
      <c r="Y54" s="131" t="s">
        <v>109</v>
      </c>
      <c r="Z54" s="131" t="s">
        <v>118</v>
      </c>
      <c r="AA54" s="137" t="s">
        <v>192</v>
      </c>
      <c r="AB54" s="137" t="s">
        <v>193</v>
      </c>
      <c r="AC54" s="140">
        <v>310295.93</v>
      </c>
      <c r="AD54" s="134" t="s">
        <v>118</v>
      </c>
      <c r="AE54" s="134" t="s">
        <v>118</v>
      </c>
      <c r="AF54" s="140">
        <v>310295.93</v>
      </c>
      <c r="AG54" s="135" t="s">
        <v>137</v>
      </c>
      <c r="AH54" s="135" t="s">
        <v>122</v>
      </c>
      <c r="AI54" s="131" t="s">
        <v>123</v>
      </c>
      <c r="AJ54" s="137"/>
      <c r="AK54" s="137"/>
    </row>
    <row r="55" spans="1:37" s="172" customFormat="1" ht="72">
      <c r="A55" s="136">
        <v>45877</v>
      </c>
      <c r="B55" s="136">
        <v>45985</v>
      </c>
      <c r="C55" s="137" t="s">
        <v>139</v>
      </c>
      <c r="D55" s="137" t="s">
        <v>106</v>
      </c>
      <c r="E55" s="131" t="s">
        <v>107</v>
      </c>
      <c r="F55" s="132" t="s">
        <v>108</v>
      </c>
      <c r="G55" s="131" t="s">
        <v>109</v>
      </c>
      <c r="H55" s="131" t="s">
        <v>110</v>
      </c>
      <c r="I55" s="131" t="s">
        <v>111</v>
      </c>
      <c r="J55" s="137" t="s">
        <v>492</v>
      </c>
      <c r="K55" s="137" t="s">
        <v>493</v>
      </c>
      <c r="L55" s="137" t="s">
        <v>494</v>
      </c>
      <c r="M55" s="137" t="s">
        <v>245</v>
      </c>
      <c r="N55" s="139" t="s">
        <v>1358</v>
      </c>
      <c r="O55" s="131" t="s">
        <v>495</v>
      </c>
      <c r="P55" s="131" t="s">
        <v>155</v>
      </c>
      <c r="Q55" s="137" t="s">
        <v>496</v>
      </c>
      <c r="R55" s="131" t="s">
        <v>118</v>
      </c>
      <c r="S55" s="137" t="s">
        <v>118</v>
      </c>
      <c r="T55" s="137" t="s">
        <v>118</v>
      </c>
      <c r="U55" s="137" t="s">
        <v>118</v>
      </c>
      <c r="V55" s="131" t="s">
        <v>118</v>
      </c>
      <c r="W55" s="131" t="s">
        <v>118</v>
      </c>
      <c r="X55" s="131" t="s">
        <v>118</v>
      </c>
      <c r="Y55" s="131" t="s">
        <v>109</v>
      </c>
      <c r="Z55" s="131" t="s">
        <v>118</v>
      </c>
      <c r="AA55" s="137" t="s">
        <v>192</v>
      </c>
      <c r="AB55" s="137" t="s">
        <v>193</v>
      </c>
      <c r="AC55" s="140">
        <v>256301.54</v>
      </c>
      <c r="AD55" s="134" t="s">
        <v>118</v>
      </c>
      <c r="AE55" s="134" t="s">
        <v>118</v>
      </c>
      <c r="AF55" s="140">
        <v>256301.54</v>
      </c>
      <c r="AG55" s="135" t="s">
        <v>137</v>
      </c>
      <c r="AH55" s="135" t="s">
        <v>122</v>
      </c>
      <c r="AI55" s="131" t="s">
        <v>123</v>
      </c>
      <c r="AJ55" s="137"/>
      <c r="AK55" s="137"/>
    </row>
    <row r="56" spans="1:37" s="172" customFormat="1" ht="84">
      <c r="A56" s="136">
        <v>45926</v>
      </c>
      <c r="B56" s="136">
        <v>45932</v>
      </c>
      <c r="C56" s="137" t="s">
        <v>139</v>
      </c>
      <c r="D56" s="137" t="s">
        <v>106</v>
      </c>
      <c r="E56" s="131" t="s">
        <v>107</v>
      </c>
      <c r="F56" s="132" t="s">
        <v>108</v>
      </c>
      <c r="G56" s="131" t="s">
        <v>109</v>
      </c>
      <c r="H56" s="131" t="s">
        <v>110</v>
      </c>
      <c r="I56" s="131" t="s">
        <v>111</v>
      </c>
      <c r="J56" s="137" t="s">
        <v>497</v>
      </c>
      <c r="K56" s="137" t="s">
        <v>498</v>
      </c>
      <c r="L56" s="137" t="s">
        <v>499</v>
      </c>
      <c r="M56" s="137" t="s">
        <v>245</v>
      </c>
      <c r="N56" s="137" t="s">
        <v>1359</v>
      </c>
      <c r="O56" s="131" t="s">
        <v>500</v>
      </c>
      <c r="P56" s="131" t="s">
        <v>155</v>
      </c>
      <c r="Q56" s="137" t="s">
        <v>501</v>
      </c>
      <c r="R56" s="131" t="s">
        <v>118</v>
      </c>
      <c r="S56" s="137" t="s">
        <v>57</v>
      </c>
      <c r="T56" s="137" t="s">
        <v>502</v>
      </c>
      <c r="U56" s="137" t="s">
        <v>503</v>
      </c>
      <c r="V56" s="131" t="s">
        <v>118</v>
      </c>
      <c r="W56" s="131" t="s">
        <v>118</v>
      </c>
      <c r="X56" s="131" t="s">
        <v>118</v>
      </c>
      <c r="Y56" s="131" t="s">
        <v>109</v>
      </c>
      <c r="Z56" s="131" t="s">
        <v>118</v>
      </c>
      <c r="AA56" s="137" t="s">
        <v>504</v>
      </c>
      <c r="AB56" s="137" t="s">
        <v>171</v>
      </c>
      <c r="AC56" s="140">
        <v>141471.16</v>
      </c>
      <c r="AD56" s="134" t="s">
        <v>118</v>
      </c>
      <c r="AE56" s="134" t="s">
        <v>118</v>
      </c>
      <c r="AF56" s="140">
        <v>141471.16</v>
      </c>
      <c r="AG56" s="135" t="s">
        <v>137</v>
      </c>
      <c r="AH56" s="135" t="s">
        <v>122</v>
      </c>
      <c r="AI56" s="131" t="s">
        <v>123</v>
      </c>
      <c r="AJ56" s="137"/>
      <c r="AK56" s="137"/>
    </row>
    <row r="57" spans="1:37" s="172" customFormat="1" ht="36">
      <c r="A57" s="136">
        <v>46072</v>
      </c>
      <c r="B57" s="136">
        <v>46072</v>
      </c>
      <c r="C57" s="137" t="s">
        <v>139</v>
      </c>
      <c r="D57" s="137" t="s">
        <v>106</v>
      </c>
      <c r="E57" s="131" t="s">
        <v>107</v>
      </c>
      <c r="F57" s="132" t="s">
        <v>108</v>
      </c>
      <c r="G57" s="131" t="s">
        <v>109</v>
      </c>
      <c r="H57" s="131" t="s">
        <v>110</v>
      </c>
      <c r="I57" s="131" t="s">
        <v>111</v>
      </c>
      <c r="J57" s="137" t="s">
        <v>505</v>
      </c>
      <c r="K57" s="137" t="s">
        <v>506</v>
      </c>
      <c r="L57" s="137" t="s">
        <v>431</v>
      </c>
      <c r="M57" s="137" t="s">
        <v>483</v>
      </c>
      <c r="N57" s="137" t="s">
        <v>1360</v>
      </c>
      <c r="O57" s="131" t="s">
        <v>507</v>
      </c>
      <c r="P57" s="131" t="s">
        <v>155</v>
      </c>
      <c r="Q57" s="137" t="s">
        <v>433</v>
      </c>
      <c r="R57" s="131" t="s">
        <v>118</v>
      </c>
      <c r="S57" s="131" t="s">
        <v>118</v>
      </c>
      <c r="T57" s="131" t="s">
        <v>118</v>
      </c>
      <c r="U57" s="131" t="s">
        <v>118</v>
      </c>
      <c r="V57" s="131" t="s">
        <v>118</v>
      </c>
      <c r="W57" s="131" t="s">
        <v>118</v>
      </c>
      <c r="X57" s="131" t="s">
        <v>118</v>
      </c>
      <c r="Y57" s="131" t="s">
        <v>118</v>
      </c>
      <c r="Z57" s="131" t="s">
        <v>118</v>
      </c>
      <c r="AA57" s="137" t="s">
        <v>508</v>
      </c>
      <c r="AB57" s="137" t="s">
        <v>509</v>
      </c>
      <c r="AC57" s="140">
        <v>159704.20000000001</v>
      </c>
      <c r="AD57" s="134" t="s">
        <v>118</v>
      </c>
      <c r="AE57" s="134" t="s">
        <v>118</v>
      </c>
      <c r="AF57" s="140">
        <v>159704.20000000001</v>
      </c>
      <c r="AG57" s="135" t="s">
        <v>137</v>
      </c>
      <c r="AH57" s="135" t="s">
        <v>138</v>
      </c>
      <c r="AI57" s="131" t="s">
        <v>123</v>
      </c>
      <c r="AJ57" s="137"/>
      <c r="AK57" s="137"/>
    </row>
    <row r="58" spans="1:37" s="172" customFormat="1" ht="96">
      <c r="A58" s="136">
        <v>46093</v>
      </c>
      <c r="B58" s="136">
        <v>46100</v>
      </c>
      <c r="C58" s="137" t="s">
        <v>139</v>
      </c>
      <c r="D58" s="137" t="s">
        <v>106</v>
      </c>
      <c r="E58" s="131" t="s">
        <v>107</v>
      </c>
      <c r="F58" s="132" t="s">
        <v>108</v>
      </c>
      <c r="G58" s="131" t="s">
        <v>109</v>
      </c>
      <c r="H58" s="131" t="s">
        <v>110</v>
      </c>
      <c r="I58" s="131" t="s">
        <v>111</v>
      </c>
      <c r="J58" s="137" t="s">
        <v>510</v>
      </c>
      <c r="K58" s="137" t="s">
        <v>511</v>
      </c>
      <c r="L58" s="137" t="s">
        <v>512</v>
      </c>
      <c r="M58" s="137" t="s">
        <v>263</v>
      </c>
      <c r="N58" s="139" t="s">
        <v>513</v>
      </c>
      <c r="O58" s="131" t="s">
        <v>514</v>
      </c>
      <c r="P58" s="137" t="s">
        <v>515</v>
      </c>
      <c r="Q58" s="137" t="s">
        <v>516</v>
      </c>
      <c r="R58" s="131" t="s">
        <v>118</v>
      </c>
      <c r="S58" s="137" t="s">
        <v>118</v>
      </c>
      <c r="T58" s="137" t="s">
        <v>118</v>
      </c>
      <c r="U58" s="137" t="s">
        <v>118</v>
      </c>
      <c r="V58" s="131" t="s">
        <v>118</v>
      </c>
      <c r="W58" s="131" t="s">
        <v>118</v>
      </c>
      <c r="X58" s="131" t="s">
        <v>118</v>
      </c>
      <c r="Y58" s="131" t="s">
        <v>109</v>
      </c>
      <c r="Z58" s="131" t="s">
        <v>118</v>
      </c>
      <c r="AA58" s="137" t="s">
        <v>282</v>
      </c>
      <c r="AB58" s="137" t="s">
        <v>517</v>
      </c>
      <c r="AC58" s="140">
        <v>1312377.8899999999</v>
      </c>
      <c r="AD58" s="134" t="s">
        <v>118</v>
      </c>
      <c r="AE58" s="134" t="s">
        <v>118</v>
      </c>
      <c r="AF58" s="140">
        <v>1312377.8899999999</v>
      </c>
      <c r="AG58" s="135" t="s">
        <v>137</v>
      </c>
      <c r="AH58" s="135" t="s">
        <v>122</v>
      </c>
      <c r="AI58" s="131" t="s">
        <v>123</v>
      </c>
      <c r="AJ58" s="137"/>
      <c r="AK58" s="137"/>
    </row>
    <row r="59" spans="1:37" s="172" customFormat="1" ht="108">
      <c r="A59" s="136">
        <v>46100</v>
      </c>
      <c r="B59" s="136">
        <v>46113</v>
      </c>
      <c r="C59" s="137" t="s">
        <v>139</v>
      </c>
      <c r="D59" s="137" t="s">
        <v>106</v>
      </c>
      <c r="E59" s="131" t="s">
        <v>107</v>
      </c>
      <c r="F59" s="137" t="s">
        <v>108</v>
      </c>
      <c r="G59" s="131" t="s">
        <v>109</v>
      </c>
      <c r="H59" s="131" t="s">
        <v>110</v>
      </c>
      <c r="I59" s="131" t="s">
        <v>111</v>
      </c>
      <c r="J59" s="137" t="s">
        <v>518</v>
      </c>
      <c r="K59" s="137" t="s">
        <v>519</v>
      </c>
      <c r="L59" s="137" t="s">
        <v>520</v>
      </c>
      <c r="M59" s="137" t="s">
        <v>521</v>
      </c>
      <c r="N59" s="139" t="s">
        <v>1307</v>
      </c>
      <c r="O59" s="137" t="s">
        <v>522</v>
      </c>
      <c r="P59" s="137" t="s">
        <v>458</v>
      </c>
      <c r="Q59" s="131"/>
      <c r="R59" s="131" t="s">
        <v>118</v>
      </c>
      <c r="S59" s="131" t="s">
        <v>118</v>
      </c>
      <c r="T59" s="131" t="s">
        <v>118</v>
      </c>
      <c r="U59" s="131" t="s">
        <v>118</v>
      </c>
      <c r="V59" s="131" t="s">
        <v>118</v>
      </c>
      <c r="W59" s="131" t="s">
        <v>118</v>
      </c>
      <c r="X59" s="131" t="s">
        <v>109</v>
      </c>
      <c r="Y59" s="131" t="s">
        <v>118</v>
      </c>
      <c r="Z59" s="131" t="s">
        <v>118</v>
      </c>
      <c r="AA59" s="131" t="s">
        <v>120</v>
      </c>
      <c r="AB59" s="131" t="s">
        <v>452</v>
      </c>
      <c r="AC59" s="140">
        <v>343965.59</v>
      </c>
      <c r="AD59" s="134" t="s">
        <v>118</v>
      </c>
      <c r="AE59" s="134" t="s">
        <v>118</v>
      </c>
      <c r="AF59" s="140">
        <v>343965.59</v>
      </c>
      <c r="AG59" s="135" t="s">
        <v>137</v>
      </c>
      <c r="AH59" s="135" t="s">
        <v>122</v>
      </c>
      <c r="AI59" s="131" t="s">
        <v>123</v>
      </c>
      <c r="AJ59" s="137"/>
      <c r="AK59" s="137"/>
    </row>
    <row r="60" spans="1:37" s="172" customFormat="1" ht="144">
      <c r="A60" s="136">
        <v>46104</v>
      </c>
      <c r="B60" s="136">
        <v>46113</v>
      </c>
      <c r="C60" s="137" t="s">
        <v>139</v>
      </c>
      <c r="D60" s="137" t="s">
        <v>106</v>
      </c>
      <c r="E60" s="131" t="s">
        <v>107</v>
      </c>
      <c r="F60" s="137" t="s">
        <v>108</v>
      </c>
      <c r="G60" s="131" t="s">
        <v>109</v>
      </c>
      <c r="H60" s="131" t="s">
        <v>110</v>
      </c>
      <c r="I60" s="131" t="s">
        <v>111</v>
      </c>
      <c r="J60" s="137" t="s">
        <v>523</v>
      </c>
      <c r="K60" s="137" t="s">
        <v>524</v>
      </c>
      <c r="L60" s="137" t="s">
        <v>525</v>
      </c>
      <c r="M60" s="137" t="s">
        <v>364</v>
      </c>
      <c r="N60" s="139" t="s">
        <v>526</v>
      </c>
      <c r="O60" s="131" t="s">
        <v>527</v>
      </c>
      <c r="P60" s="131" t="s">
        <v>155</v>
      </c>
      <c r="Q60" s="131" t="s">
        <v>118</v>
      </c>
      <c r="R60" s="131" t="s">
        <v>118</v>
      </c>
      <c r="S60" s="131" t="s">
        <v>118</v>
      </c>
      <c r="T60" s="131" t="s">
        <v>118</v>
      </c>
      <c r="U60" s="131" t="s">
        <v>118</v>
      </c>
      <c r="V60" s="131" t="s">
        <v>118</v>
      </c>
      <c r="W60" s="131" t="s">
        <v>118</v>
      </c>
      <c r="X60" s="131" t="s">
        <v>118</v>
      </c>
      <c r="Y60" s="131" t="s">
        <v>109</v>
      </c>
      <c r="Z60" s="131" t="s">
        <v>118</v>
      </c>
      <c r="AA60" s="137" t="s">
        <v>282</v>
      </c>
      <c r="AB60" s="137" t="s">
        <v>517</v>
      </c>
      <c r="AC60" s="140">
        <v>190954.57</v>
      </c>
      <c r="AD60" s="134" t="s">
        <v>118</v>
      </c>
      <c r="AE60" s="134" t="s">
        <v>118</v>
      </c>
      <c r="AF60" s="140">
        <v>190954.57</v>
      </c>
      <c r="AG60" s="135" t="s">
        <v>137</v>
      </c>
      <c r="AH60" s="135" t="s">
        <v>122</v>
      </c>
      <c r="AI60" s="131" t="s">
        <v>123</v>
      </c>
      <c r="AJ60" s="137"/>
      <c r="AK60" s="137"/>
    </row>
    <row r="61" spans="1:37" s="172" customFormat="1" ht="96">
      <c r="A61" s="136">
        <v>46106</v>
      </c>
      <c r="B61" s="136">
        <v>46113</v>
      </c>
      <c r="C61" s="137" t="s">
        <v>139</v>
      </c>
      <c r="D61" s="137" t="s">
        <v>106</v>
      </c>
      <c r="E61" s="131" t="s">
        <v>107</v>
      </c>
      <c r="F61" s="137" t="s">
        <v>108</v>
      </c>
      <c r="G61" s="131" t="s">
        <v>109</v>
      </c>
      <c r="H61" s="131" t="s">
        <v>110</v>
      </c>
      <c r="I61" s="131" t="s">
        <v>111</v>
      </c>
      <c r="J61" s="137" t="s">
        <v>528</v>
      </c>
      <c r="K61" s="137" t="s">
        <v>529</v>
      </c>
      <c r="L61" s="137" t="s">
        <v>530</v>
      </c>
      <c r="M61" s="137" t="s">
        <v>364</v>
      </c>
      <c r="N61" s="139" t="s">
        <v>531</v>
      </c>
      <c r="O61" s="131" t="s">
        <v>532</v>
      </c>
      <c r="P61" s="131" t="s">
        <v>155</v>
      </c>
      <c r="Q61" s="131" t="s">
        <v>118</v>
      </c>
      <c r="R61" s="131" t="s">
        <v>118</v>
      </c>
      <c r="S61" s="131" t="s">
        <v>118</v>
      </c>
      <c r="T61" s="131" t="s">
        <v>118</v>
      </c>
      <c r="U61" s="131" t="s">
        <v>118</v>
      </c>
      <c r="V61" s="131" t="s">
        <v>118</v>
      </c>
      <c r="W61" s="131" t="s">
        <v>118</v>
      </c>
      <c r="X61" s="131" t="s">
        <v>118</v>
      </c>
      <c r="Y61" s="131" t="s">
        <v>109</v>
      </c>
      <c r="Z61" s="131" t="s">
        <v>118</v>
      </c>
      <c r="AA61" s="137" t="s">
        <v>282</v>
      </c>
      <c r="AB61" s="137" t="s">
        <v>517</v>
      </c>
      <c r="AC61" s="140">
        <v>204296.28</v>
      </c>
      <c r="AD61" s="134" t="s">
        <v>118</v>
      </c>
      <c r="AE61" s="134" t="s">
        <v>118</v>
      </c>
      <c r="AF61" s="140">
        <v>204296.28</v>
      </c>
      <c r="AG61" s="135" t="s">
        <v>137</v>
      </c>
      <c r="AH61" s="135" t="s">
        <v>122</v>
      </c>
      <c r="AI61" s="131" t="s">
        <v>123</v>
      </c>
      <c r="AJ61" s="137"/>
      <c r="AK61" s="137"/>
    </row>
    <row r="62" spans="1:37" s="172" customFormat="1" ht="72">
      <c r="A62" s="179">
        <v>46118</v>
      </c>
      <c r="B62" s="179">
        <v>46135</v>
      </c>
      <c r="C62" s="180" t="s">
        <v>105</v>
      </c>
      <c r="D62" s="137" t="s">
        <v>106</v>
      </c>
      <c r="E62" s="131" t="s">
        <v>107</v>
      </c>
      <c r="F62" s="132" t="s">
        <v>108</v>
      </c>
      <c r="G62" s="131" t="s">
        <v>109</v>
      </c>
      <c r="H62" s="131" t="s">
        <v>110</v>
      </c>
      <c r="I62" s="131" t="s">
        <v>111</v>
      </c>
      <c r="J62" s="137" t="s">
        <v>1300</v>
      </c>
      <c r="K62" s="180" t="s">
        <v>1302</v>
      </c>
      <c r="L62" s="180" t="s">
        <v>1301</v>
      </c>
      <c r="M62" s="180" t="s">
        <v>1303</v>
      </c>
      <c r="N62" s="139" t="s">
        <v>1304</v>
      </c>
      <c r="O62" s="180" t="s">
        <v>1305</v>
      </c>
      <c r="P62" s="131" t="s">
        <v>116</v>
      </c>
      <c r="Q62" s="180" t="s">
        <v>1306</v>
      </c>
      <c r="R62" s="131" t="s">
        <v>118</v>
      </c>
      <c r="S62" s="131" t="s">
        <v>118</v>
      </c>
      <c r="T62" s="131" t="s">
        <v>118</v>
      </c>
      <c r="U62" s="131" t="s">
        <v>118</v>
      </c>
      <c r="V62" s="131" t="s">
        <v>118</v>
      </c>
      <c r="W62" s="131" t="s">
        <v>118</v>
      </c>
      <c r="X62" s="131" t="s">
        <v>118</v>
      </c>
      <c r="Y62" s="131" t="s">
        <v>109</v>
      </c>
      <c r="Z62" s="131" t="s">
        <v>118</v>
      </c>
      <c r="AA62" s="131" t="s">
        <v>120</v>
      </c>
      <c r="AB62" s="131" t="s">
        <v>119</v>
      </c>
      <c r="AC62" s="181">
        <v>189530.3</v>
      </c>
      <c r="AD62" s="134" t="s">
        <v>118</v>
      </c>
      <c r="AE62" s="134" t="s">
        <v>118</v>
      </c>
      <c r="AF62" s="181">
        <v>189530.3</v>
      </c>
      <c r="AG62" s="135" t="s">
        <v>137</v>
      </c>
      <c r="AH62" s="135" t="s">
        <v>122</v>
      </c>
      <c r="AI62" s="131" t="s">
        <v>123</v>
      </c>
      <c r="AJ62" s="180"/>
      <c r="AK62" s="180"/>
    </row>
    <row r="63" spans="1:37">
      <c r="A63" s="126"/>
      <c r="B63" s="126"/>
      <c r="C63" s="91"/>
      <c r="D63" s="91"/>
      <c r="E63" s="91"/>
      <c r="F63" s="91"/>
      <c r="G63" s="91"/>
      <c r="H63" s="91"/>
      <c r="I63" s="91"/>
      <c r="J63" s="137"/>
      <c r="K63" s="91"/>
      <c r="L63" s="91"/>
      <c r="M63" s="91"/>
      <c r="N63" s="91"/>
      <c r="O63" s="91"/>
      <c r="P63" s="91"/>
      <c r="Q63" s="91"/>
      <c r="R63" s="91"/>
      <c r="S63" s="91"/>
      <c r="T63" s="91"/>
      <c r="U63" s="91"/>
      <c r="V63" s="91"/>
      <c r="W63" s="91"/>
      <c r="X63" s="91"/>
      <c r="Y63" s="91"/>
      <c r="Z63" s="91"/>
      <c r="AA63" s="91"/>
      <c r="AB63" s="91"/>
      <c r="AC63" s="98"/>
      <c r="AD63" s="91"/>
      <c r="AE63" s="98"/>
      <c r="AF63" s="98"/>
      <c r="AG63" s="91"/>
      <c r="AH63" s="91"/>
      <c r="AI63" s="91"/>
      <c r="AJ63" s="91"/>
      <c r="AK63" s="91"/>
    </row>
    <row r="64" spans="1:37">
      <c r="A64" s="126"/>
      <c r="B64" s="126"/>
      <c r="C64" s="91"/>
      <c r="D64" s="91"/>
      <c r="E64" s="91"/>
      <c r="F64" s="91"/>
      <c r="G64" s="91"/>
      <c r="H64" s="91"/>
      <c r="I64" s="91"/>
      <c r="J64" s="137"/>
      <c r="K64" s="91"/>
      <c r="L64" s="91"/>
      <c r="M64" s="91"/>
      <c r="N64" s="91"/>
      <c r="O64" s="91"/>
      <c r="P64" s="91"/>
      <c r="Q64" s="91"/>
      <c r="R64" s="91"/>
      <c r="S64" s="91"/>
      <c r="T64" s="91"/>
      <c r="U64" s="91"/>
      <c r="V64" s="91"/>
      <c r="W64" s="91"/>
      <c r="X64" s="91"/>
      <c r="Y64" s="91"/>
      <c r="Z64" s="91"/>
      <c r="AA64" s="91"/>
      <c r="AB64" s="91"/>
      <c r="AC64" s="98"/>
      <c r="AD64" s="91"/>
      <c r="AE64" s="98"/>
      <c r="AF64" s="98"/>
      <c r="AG64" s="91"/>
      <c r="AH64" s="91"/>
      <c r="AI64" s="91"/>
      <c r="AJ64" s="91"/>
      <c r="AK64" s="91"/>
    </row>
    <row r="65" spans="1:37">
      <c r="A65" s="126"/>
      <c r="B65" s="126"/>
      <c r="C65" s="91"/>
      <c r="D65" s="91"/>
      <c r="E65" s="91"/>
      <c r="F65" s="91"/>
      <c r="G65" s="91"/>
      <c r="H65" s="91"/>
      <c r="I65" s="91"/>
      <c r="J65" s="137"/>
      <c r="K65" s="91"/>
      <c r="L65" s="91"/>
      <c r="M65" s="91"/>
      <c r="N65" s="91"/>
      <c r="O65" s="91"/>
      <c r="P65" s="91"/>
      <c r="Q65" s="91"/>
      <c r="R65" s="91"/>
      <c r="S65" s="91"/>
      <c r="T65" s="91"/>
      <c r="U65" s="91"/>
      <c r="V65" s="91"/>
      <c r="W65" s="91"/>
      <c r="X65" s="91"/>
      <c r="Y65" s="91"/>
      <c r="Z65" s="91"/>
      <c r="AA65" s="91"/>
      <c r="AB65" s="91"/>
      <c r="AC65" s="98"/>
      <c r="AD65" s="91"/>
      <c r="AE65" s="98"/>
      <c r="AF65" s="98"/>
      <c r="AG65" s="91"/>
      <c r="AH65" s="91"/>
      <c r="AI65" s="91"/>
      <c r="AJ65" s="91"/>
      <c r="AK65" s="91"/>
    </row>
    <row r="66" spans="1:37">
      <c r="A66" s="126"/>
      <c r="B66" s="126"/>
      <c r="C66" s="91"/>
      <c r="D66" s="91"/>
      <c r="E66" s="91"/>
      <c r="F66" s="91"/>
      <c r="G66" s="91"/>
      <c r="H66" s="91"/>
      <c r="I66" s="91"/>
      <c r="J66" s="137"/>
      <c r="K66" s="91"/>
      <c r="L66" s="91"/>
      <c r="M66" s="91"/>
      <c r="N66" s="91"/>
      <c r="O66" s="91"/>
      <c r="P66" s="91"/>
      <c r="Q66" s="91"/>
      <c r="R66" s="91"/>
      <c r="S66" s="91"/>
      <c r="T66" s="91"/>
      <c r="U66" s="91"/>
      <c r="V66" s="91"/>
      <c r="W66" s="91"/>
      <c r="X66" s="91"/>
      <c r="Y66" s="91"/>
      <c r="Z66" s="91"/>
      <c r="AA66" s="91"/>
      <c r="AB66" s="91"/>
      <c r="AC66" s="98"/>
      <c r="AD66" s="91"/>
      <c r="AE66" s="98"/>
      <c r="AF66" s="98"/>
      <c r="AG66" s="91"/>
      <c r="AH66" s="91"/>
      <c r="AI66" s="91"/>
      <c r="AJ66" s="91"/>
      <c r="AK66" s="91"/>
    </row>
    <row r="67" spans="1:37">
      <c r="A67" s="126"/>
      <c r="B67" s="126"/>
      <c r="C67" s="91"/>
      <c r="D67" s="91"/>
      <c r="E67" s="91"/>
      <c r="F67" s="91"/>
      <c r="G67" s="91"/>
      <c r="H67" s="91"/>
      <c r="I67" s="91"/>
      <c r="J67" s="137"/>
      <c r="K67" s="91"/>
      <c r="L67" s="91"/>
      <c r="M67" s="91"/>
      <c r="N67" s="91"/>
      <c r="O67" s="91"/>
      <c r="P67" s="91"/>
      <c r="Q67" s="91"/>
      <c r="R67" s="91"/>
      <c r="S67" s="91"/>
      <c r="T67" s="91"/>
      <c r="U67" s="91"/>
      <c r="V67" s="91"/>
      <c r="W67" s="91"/>
      <c r="X67" s="91"/>
      <c r="Y67" s="91"/>
      <c r="Z67" s="91"/>
      <c r="AA67" s="91"/>
      <c r="AB67" s="91"/>
      <c r="AC67" s="98"/>
      <c r="AD67" s="91"/>
      <c r="AE67" s="98"/>
      <c r="AF67" s="98"/>
      <c r="AG67" s="91"/>
      <c r="AH67" s="91"/>
      <c r="AI67" s="91"/>
      <c r="AJ67" s="91"/>
      <c r="AK67" s="91"/>
    </row>
    <row r="68" spans="1:37">
      <c r="A68" s="126"/>
      <c r="B68" s="126"/>
      <c r="C68" s="91"/>
      <c r="D68" s="91"/>
      <c r="E68" s="91"/>
      <c r="F68" s="91"/>
      <c r="G68" s="91"/>
      <c r="H68" s="91"/>
      <c r="I68" s="91"/>
      <c r="J68" s="137"/>
      <c r="K68" s="91"/>
      <c r="L68" s="91"/>
      <c r="M68" s="91"/>
      <c r="N68" s="91"/>
      <c r="O68" s="91"/>
      <c r="P68" s="91"/>
      <c r="Q68" s="91"/>
      <c r="R68" s="91"/>
      <c r="S68" s="91"/>
      <c r="T68" s="91"/>
      <c r="U68" s="91"/>
      <c r="V68" s="91"/>
      <c r="W68" s="91"/>
      <c r="X68" s="91"/>
      <c r="Y68" s="91"/>
      <c r="Z68" s="91"/>
      <c r="AA68" s="91"/>
      <c r="AB68" s="91"/>
      <c r="AC68" s="98"/>
      <c r="AD68" s="91"/>
      <c r="AE68" s="98"/>
      <c r="AF68" s="98"/>
      <c r="AG68" s="91"/>
      <c r="AH68" s="91"/>
      <c r="AI68" s="91"/>
      <c r="AJ68" s="91"/>
      <c r="AK68" s="91"/>
    </row>
    <row r="69" spans="1:37">
      <c r="A69" s="126"/>
      <c r="B69" s="126"/>
      <c r="C69" s="91"/>
      <c r="D69" s="91"/>
      <c r="E69" s="91"/>
      <c r="F69" s="91"/>
      <c r="G69" s="91"/>
      <c r="H69" s="91"/>
      <c r="I69" s="91"/>
      <c r="J69" s="137"/>
      <c r="K69" s="91"/>
      <c r="L69" s="91"/>
      <c r="M69" s="91"/>
      <c r="N69" s="91"/>
      <c r="O69" s="91"/>
      <c r="P69" s="91"/>
      <c r="Q69" s="91"/>
      <c r="R69" s="91"/>
      <c r="S69" s="91"/>
      <c r="T69" s="91"/>
      <c r="U69" s="91"/>
      <c r="V69" s="91"/>
      <c r="W69" s="91"/>
      <c r="X69" s="91"/>
      <c r="Y69" s="91"/>
      <c r="Z69" s="91"/>
      <c r="AA69" s="91"/>
      <c r="AB69" s="91"/>
      <c r="AC69" s="98"/>
      <c r="AD69" s="91"/>
      <c r="AE69" s="98"/>
      <c r="AF69" s="98"/>
      <c r="AG69" s="91"/>
      <c r="AH69" s="91"/>
      <c r="AI69" s="91"/>
      <c r="AJ69" s="91"/>
      <c r="AK69" s="91"/>
    </row>
    <row r="70" spans="1:37">
      <c r="A70" s="126"/>
      <c r="B70" s="126"/>
      <c r="C70" s="91"/>
      <c r="D70" s="91"/>
      <c r="E70" s="91"/>
      <c r="F70" s="91"/>
      <c r="G70" s="91"/>
      <c r="H70" s="91"/>
      <c r="I70" s="91"/>
      <c r="J70" s="137"/>
      <c r="K70" s="91"/>
      <c r="L70" s="91"/>
      <c r="M70" s="91"/>
      <c r="N70" s="91"/>
      <c r="O70" s="91"/>
      <c r="P70" s="91"/>
      <c r="Q70" s="91"/>
      <c r="R70" s="91"/>
      <c r="S70" s="91"/>
      <c r="T70" s="91"/>
      <c r="U70" s="91"/>
      <c r="V70" s="91"/>
      <c r="W70" s="91"/>
      <c r="X70" s="91"/>
      <c r="Y70" s="91"/>
      <c r="Z70" s="91"/>
      <c r="AA70" s="91"/>
      <c r="AB70" s="91"/>
      <c r="AC70" s="98"/>
      <c r="AD70" s="91"/>
      <c r="AE70" s="98"/>
      <c r="AF70" s="98"/>
      <c r="AG70" s="91"/>
      <c r="AH70" s="91"/>
      <c r="AI70" s="91"/>
      <c r="AJ70" s="91"/>
      <c r="AK70" s="91"/>
    </row>
    <row r="71" spans="1:37">
      <c r="A71" s="126"/>
      <c r="B71" s="126"/>
      <c r="C71" s="91"/>
      <c r="D71" s="91"/>
      <c r="E71" s="91"/>
      <c r="F71" s="91"/>
      <c r="G71" s="91"/>
      <c r="H71" s="91"/>
      <c r="I71" s="91"/>
      <c r="J71" s="137"/>
      <c r="K71" s="91"/>
      <c r="L71" s="91"/>
      <c r="M71" s="91"/>
      <c r="N71" s="91"/>
      <c r="O71" s="91"/>
      <c r="P71" s="91"/>
      <c r="Q71" s="91"/>
      <c r="R71" s="91"/>
      <c r="S71" s="91"/>
      <c r="T71" s="91"/>
      <c r="U71" s="91"/>
      <c r="V71" s="91"/>
      <c r="W71" s="91"/>
      <c r="X71" s="91"/>
      <c r="Y71" s="91"/>
      <c r="Z71" s="91"/>
      <c r="AA71" s="91"/>
      <c r="AB71" s="91"/>
      <c r="AC71" s="98"/>
      <c r="AD71" s="91"/>
      <c r="AE71" s="98"/>
      <c r="AF71" s="98"/>
      <c r="AG71" s="91"/>
      <c r="AH71" s="91"/>
      <c r="AI71" s="91"/>
      <c r="AJ71" s="91"/>
      <c r="AK71" s="91"/>
    </row>
    <row r="72" spans="1:37">
      <c r="A72" s="126"/>
      <c r="B72" s="126"/>
      <c r="C72" s="91"/>
      <c r="D72" s="91"/>
      <c r="E72" s="91"/>
      <c r="F72" s="91"/>
      <c r="G72" s="91"/>
      <c r="H72" s="91"/>
      <c r="I72" s="91"/>
      <c r="J72" s="137"/>
      <c r="K72" s="91"/>
      <c r="L72" s="91"/>
      <c r="M72" s="91"/>
      <c r="N72" s="91"/>
      <c r="O72" s="91"/>
      <c r="P72" s="91"/>
      <c r="Q72" s="91"/>
      <c r="R72" s="91"/>
      <c r="S72" s="91"/>
      <c r="T72" s="91"/>
      <c r="U72" s="91"/>
      <c r="V72" s="91"/>
      <c r="W72" s="91"/>
      <c r="X72" s="91"/>
      <c r="Y72" s="91"/>
      <c r="Z72" s="91"/>
      <c r="AA72" s="91"/>
      <c r="AB72" s="91"/>
      <c r="AC72" s="98"/>
      <c r="AD72" s="91"/>
      <c r="AE72" s="98"/>
      <c r="AF72" s="98"/>
      <c r="AG72" s="91"/>
      <c r="AH72" s="91"/>
      <c r="AI72" s="91"/>
      <c r="AJ72" s="91"/>
      <c r="AK72" s="91"/>
    </row>
    <row r="73" spans="1:37">
      <c r="A73" s="126"/>
      <c r="B73" s="126"/>
      <c r="C73" s="91"/>
      <c r="D73" s="91"/>
      <c r="E73" s="91"/>
      <c r="F73" s="91"/>
      <c r="G73" s="91"/>
      <c r="H73" s="91"/>
      <c r="I73" s="91"/>
      <c r="J73" s="137"/>
      <c r="K73" s="91"/>
      <c r="L73" s="91"/>
      <c r="M73" s="91"/>
      <c r="N73" s="91"/>
      <c r="O73" s="91"/>
      <c r="P73" s="91"/>
      <c r="Q73" s="91"/>
      <c r="R73" s="91"/>
      <c r="S73" s="91"/>
      <c r="T73" s="91"/>
      <c r="U73" s="91"/>
      <c r="V73" s="91"/>
      <c r="W73" s="91"/>
      <c r="X73" s="91"/>
      <c r="Y73" s="91"/>
      <c r="Z73" s="91"/>
      <c r="AA73" s="91"/>
      <c r="AB73" s="91"/>
      <c r="AC73" s="98"/>
      <c r="AD73" s="91"/>
      <c r="AE73" s="98"/>
      <c r="AF73" s="98"/>
      <c r="AG73" s="91"/>
      <c r="AH73" s="91"/>
      <c r="AI73" s="91"/>
      <c r="AJ73" s="91"/>
      <c r="AK73" s="91"/>
    </row>
    <row r="74" spans="1:37">
      <c r="A74" s="126"/>
      <c r="B74" s="126"/>
      <c r="C74" s="91"/>
      <c r="D74" s="91"/>
      <c r="E74" s="91"/>
      <c r="F74" s="91"/>
      <c r="G74" s="91"/>
      <c r="H74" s="91"/>
      <c r="I74" s="91"/>
      <c r="J74" s="137"/>
      <c r="K74" s="91"/>
      <c r="L74" s="91"/>
      <c r="M74" s="91"/>
      <c r="N74" s="91"/>
      <c r="O74" s="91"/>
      <c r="P74" s="91"/>
      <c r="Q74" s="91"/>
      <c r="R74" s="91"/>
      <c r="S74" s="91"/>
      <c r="T74" s="91"/>
      <c r="U74" s="91"/>
      <c r="V74" s="91"/>
      <c r="W74" s="91"/>
      <c r="X74" s="91"/>
      <c r="Y74" s="91"/>
      <c r="Z74" s="91"/>
      <c r="AA74" s="91"/>
      <c r="AB74" s="91"/>
      <c r="AC74" s="98"/>
      <c r="AD74" s="91"/>
      <c r="AE74" s="98"/>
      <c r="AF74" s="98"/>
      <c r="AG74" s="91"/>
      <c r="AH74" s="91"/>
      <c r="AI74" s="91"/>
      <c r="AJ74" s="91"/>
      <c r="AK74" s="91"/>
    </row>
    <row r="75" spans="1:37">
      <c r="A75" s="113"/>
      <c r="B75" s="126"/>
      <c r="C75" s="91"/>
      <c r="D75" s="94"/>
      <c r="E75" s="94"/>
      <c r="F75" s="91"/>
      <c r="G75" s="94"/>
      <c r="H75" s="94"/>
      <c r="I75" s="91"/>
      <c r="J75" s="137"/>
      <c r="K75" s="94"/>
      <c r="L75" s="94"/>
      <c r="M75" s="91"/>
      <c r="N75" s="91"/>
      <c r="O75" s="94"/>
      <c r="P75" s="91"/>
      <c r="Q75" s="94"/>
      <c r="R75" s="94"/>
      <c r="S75" s="94"/>
      <c r="T75" s="91"/>
      <c r="U75" s="91"/>
      <c r="V75" s="91"/>
      <c r="W75" s="91"/>
      <c r="X75" s="91"/>
      <c r="Y75" s="94"/>
      <c r="Z75" s="91"/>
      <c r="AA75" s="91"/>
      <c r="AB75" s="94"/>
      <c r="AC75" s="98"/>
      <c r="AD75" s="94"/>
      <c r="AE75" s="98"/>
      <c r="AF75" s="98"/>
      <c r="AG75" s="91"/>
      <c r="AH75" s="91"/>
      <c r="AI75" s="94"/>
      <c r="AJ75" s="91"/>
      <c r="AK75" s="91"/>
    </row>
    <row r="76" spans="1:37">
      <c r="A76" s="113"/>
      <c r="B76" s="126"/>
      <c r="C76" s="91"/>
      <c r="D76" s="94"/>
      <c r="E76" s="94"/>
      <c r="F76" s="91"/>
      <c r="G76" s="94"/>
      <c r="H76" s="94"/>
      <c r="I76" s="91"/>
      <c r="J76" s="137"/>
      <c r="K76" s="94"/>
      <c r="L76" s="94"/>
      <c r="M76" s="91"/>
      <c r="N76" s="91"/>
      <c r="O76" s="94"/>
      <c r="P76" s="91"/>
      <c r="Q76" s="94"/>
      <c r="R76" s="94"/>
      <c r="S76" s="94"/>
      <c r="T76" s="91"/>
      <c r="U76" s="91"/>
      <c r="V76" s="91"/>
      <c r="W76" s="91"/>
      <c r="X76" s="91"/>
      <c r="Y76" s="94"/>
      <c r="Z76" s="91"/>
      <c r="AA76" s="91"/>
      <c r="AB76" s="94"/>
      <c r="AC76" s="98"/>
      <c r="AD76" s="94"/>
      <c r="AE76" s="98"/>
      <c r="AF76" s="98"/>
      <c r="AG76" s="91"/>
      <c r="AH76" s="91"/>
      <c r="AI76" s="94"/>
      <c r="AJ76" s="91"/>
      <c r="AK76" s="91"/>
    </row>
    <row r="77" spans="1:37">
      <c r="A77" s="113"/>
      <c r="B77" s="126"/>
      <c r="C77" s="91"/>
      <c r="D77" s="94"/>
      <c r="E77" s="94"/>
      <c r="F77" s="91"/>
      <c r="G77" s="94"/>
      <c r="H77" s="94"/>
      <c r="I77" s="91"/>
      <c r="J77" s="137"/>
      <c r="K77" s="94"/>
      <c r="L77" s="94"/>
      <c r="M77" s="91"/>
      <c r="N77" s="91"/>
      <c r="O77" s="94"/>
      <c r="P77" s="91"/>
      <c r="Q77" s="94"/>
      <c r="R77" s="94"/>
      <c r="S77" s="94"/>
      <c r="T77" s="91"/>
      <c r="U77" s="91"/>
      <c r="V77" s="91"/>
      <c r="W77" s="91"/>
      <c r="X77" s="91"/>
      <c r="Y77" s="94"/>
      <c r="Z77" s="91"/>
      <c r="AA77" s="91"/>
      <c r="AB77" s="94"/>
      <c r="AC77" s="98"/>
      <c r="AD77" s="94"/>
      <c r="AE77" s="98"/>
      <c r="AF77" s="98"/>
      <c r="AG77" s="91"/>
      <c r="AH77" s="91"/>
      <c r="AI77" s="94"/>
      <c r="AJ77" s="91"/>
      <c r="AK77" s="91"/>
    </row>
    <row r="78" spans="1:37">
      <c r="A78" s="113"/>
      <c r="B78" s="126"/>
      <c r="C78" s="91"/>
      <c r="D78" s="94"/>
      <c r="E78" s="94"/>
      <c r="F78" s="91"/>
      <c r="G78" s="94"/>
      <c r="H78" s="94"/>
      <c r="I78" s="91"/>
      <c r="J78" s="137"/>
      <c r="K78" s="94"/>
      <c r="L78" s="94"/>
      <c r="M78" s="91"/>
      <c r="N78" s="91"/>
      <c r="O78" s="94"/>
      <c r="P78" s="91"/>
      <c r="Q78" s="94"/>
      <c r="R78" s="94"/>
      <c r="S78" s="94"/>
      <c r="T78" s="91"/>
      <c r="U78" s="91"/>
      <c r="V78" s="91"/>
      <c r="W78" s="91"/>
      <c r="X78" s="91"/>
      <c r="Y78" s="94"/>
      <c r="Z78" s="91"/>
      <c r="AA78" s="91"/>
      <c r="AB78" s="94"/>
      <c r="AC78" s="98"/>
      <c r="AD78" s="94"/>
      <c r="AE78" s="98"/>
      <c r="AF78" s="98"/>
      <c r="AG78" s="91"/>
      <c r="AH78" s="91"/>
      <c r="AI78" s="94"/>
      <c r="AJ78" s="91"/>
      <c r="AK78" s="91"/>
    </row>
    <row r="79" spans="1:37">
      <c r="A79" s="113"/>
      <c r="B79" s="126"/>
      <c r="C79" s="91"/>
      <c r="D79" s="94"/>
      <c r="E79" s="94"/>
      <c r="F79" s="91"/>
      <c r="G79" s="94"/>
      <c r="H79" s="94"/>
      <c r="I79" s="91"/>
      <c r="J79" s="137"/>
      <c r="K79" s="94"/>
      <c r="L79" s="94"/>
      <c r="M79" s="91"/>
      <c r="N79" s="91"/>
      <c r="O79" s="94"/>
      <c r="P79" s="91"/>
      <c r="Q79" s="94"/>
      <c r="R79" s="94"/>
      <c r="S79" s="94"/>
      <c r="T79" s="91"/>
      <c r="U79" s="91"/>
      <c r="V79" s="91"/>
      <c r="W79" s="91"/>
      <c r="X79" s="91"/>
      <c r="Y79" s="94"/>
      <c r="Z79" s="91"/>
      <c r="AA79" s="91"/>
      <c r="AB79" s="94"/>
      <c r="AC79" s="98"/>
      <c r="AD79" s="94"/>
      <c r="AE79" s="98"/>
      <c r="AF79" s="98"/>
      <c r="AG79" s="91"/>
      <c r="AH79" s="91"/>
      <c r="AI79" s="94"/>
      <c r="AJ79" s="91"/>
      <c r="AK79" s="91"/>
    </row>
    <row r="80" spans="1:37">
      <c r="A80" s="113"/>
      <c r="B80" s="126"/>
      <c r="C80" s="91"/>
      <c r="D80" s="94"/>
      <c r="E80" s="94"/>
      <c r="F80" s="91"/>
      <c r="G80" s="94"/>
      <c r="H80" s="94"/>
      <c r="I80" s="91"/>
      <c r="J80" s="137"/>
      <c r="K80" s="94"/>
      <c r="L80" s="94"/>
      <c r="M80" s="91"/>
      <c r="N80" s="91"/>
      <c r="O80" s="94"/>
      <c r="P80" s="91"/>
      <c r="Q80" s="94"/>
      <c r="R80" s="94"/>
      <c r="S80" s="94"/>
      <c r="T80" s="91"/>
      <c r="U80" s="91"/>
      <c r="V80" s="91"/>
      <c r="W80" s="91"/>
      <c r="X80" s="91"/>
      <c r="Y80" s="94"/>
      <c r="Z80" s="91"/>
      <c r="AA80" s="91"/>
      <c r="AB80" s="94"/>
      <c r="AC80" s="98"/>
      <c r="AD80" s="94"/>
      <c r="AE80" s="98"/>
      <c r="AF80" s="98"/>
      <c r="AG80" s="91"/>
      <c r="AH80" s="91"/>
      <c r="AI80" s="94"/>
      <c r="AJ80" s="91"/>
      <c r="AK80" s="91"/>
    </row>
    <row r="81" spans="1:37">
      <c r="A81" s="113"/>
      <c r="B81" s="126"/>
      <c r="C81" s="91"/>
      <c r="D81" s="94"/>
      <c r="E81" s="94"/>
      <c r="F81" s="91"/>
      <c r="G81" s="94"/>
      <c r="H81" s="94"/>
      <c r="I81" s="91"/>
      <c r="J81" s="137"/>
      <c r="K81" s="94"/>
      <c r="L81" s="94"/>
      <c r="M81" s="91"/>
      <c r="N81" s="91"/>
      <c r="O81" s="94"/>
      <c r="P81" s="91"/>
      <c r="Q81" s="94"/>
      <c r="R81" s="94"/>
      <c r="S81" s="94"/>
      <c r="T81" s="91"/>
      <c r="U81" s="91"/>
      <c r="V81" s="91"/>
      <c r="W81" s="91"/>
      <c r="X81" s="91"/>
      <c r="Y81" s="94"/>
      <c r="Z81" s="91"/>
      <c r="AA81" s="91"/>
      <c r="AB81" s="94"/>
      <c r="AC81" s="98"/>
      <c r="AD81" s="94"/>
      <c r="AE81" s="98"/>
      <c r="AF81" s="98"/>
      <c r="AG81" s="91"/>
      <c r="AH81" s="91"/>
      <c r="AI81" s="94"/>
      <c r="AJ81" s="91"/>
      <c r="AK81" s="91"/>
    </row>
    <row r="82" spans="1:37">
      <c r="A82" s="113"/>
      <c r="B82" s="126"/>
      <c r="C82" s="91"/>
      <c r="D82" s="94"/>
      <c r="E82" s="94"/>
      <c r="F82" s="91"/>
      <c r="G82" s="94"/>
      <c r="H82" s="94"/>
      <c r="I82" s="91"/>
      <c r="J82" s="137"/>
      <c r="K82" s="94"/>
      <c r="L82" s="94"/>
      <c r="M82" s="91"/>
      <c r="N82" s="91"/>
      <c r="O82" s="94"/>
      <c r="P82" s="91"/>
      <c r="Q82" s="94"/>
      <c r="R82" s="94"/>
      <c r="S82" s="94"/>
      <c r="T82" s="91"/>
      <c r="U82" s="91"/>
      <c r="V82" s="91"/>
      <c r="W82" s="91"/>
      <c r="X82" s="91"/>
      <c r="Y82" s="94"/>
      <c r="Z82" s="91"/>
      <c r="AA82" s="91"/>
      <c r="AB82" s="94"/>
      <c r="AC82" s="98"/>
      <c r="AD82" s="94"/>
      <c r="AE82" s="98"/>
      <c r="AF82" s="98"/>
      <c r="AG82" s="91"/>
      <c r="AH82" s="91"/>
      <c r="AI82" s="94"/>
      <c r="AJ82" s="91"/>
      <c r="AK82" s="91"/>
    </row>
    <row r="83" spans="1:37">
      <c r="A83" s="113"/>
      <c r="B83" s="126"/>
      <c r="C83" s="91"/>
      <c r="D83" s="94"/>
      <c r="E83" s="94"/>
      <c r="F83" s="91"/>
      <c r="G83" s="94"/>
      <c r="H83" s="94"/>
      <c r="I83" s="91"/>
      <c r="J83" s="137"/>
      <c r="K83" s="94"/>
      <c r="L83" s="94"/>
      <c r="M83" s="91"/>
      <c r="N83" s="91"/>
      <c r="O83" s="94"/>
      <c r="P83" s="91"/>
      <c r="Q83" s="94"/>
      <c r="R83" s="94"/>
      <c r="S83" s="94"/>
      <c r="T83" s="91"/>
      <c r="U83" s="91"/>
      <c r="V83" s="91"/>
      <c r="W83" s="91"/>
      <c r="X83" s="91"/>
      <c r="Y83" s="94"/>
      <c r="Z83" s="91"/>
      <c r="AA83" s="91"/>
      <c r="AB83" s="94"/>
      <c r="AC83" s="98"/>
      <c r="AD83" s="94"/>
      <c r="AE83" s="98"/>
      <c r="AF83" s="98"/>
      <c r="AG83" s="91"/>
      <c r="AH83" s="91"/>
      <c r="AI83" s="94"/>
      <c r="AJ83" s="91"/>
      <c r="AK83" s="91"/>
    </row>
    <row r="84" spans="1:37">
      <c r="A84" s="113"/>
      <c r="B84" s="126"/>
      <c r="C84" s="91"/>
      <c r="D84" s="94"/>
      <c r="E84" s="94"/>
      <c r="F84" s="91"/>
      <c r="G84" s="94"/>
      <c r="H84" s="94"/>
      <c r="I84" s="91"/>
      <c r="J84" s="137"/>
      <c r="K84" s="94"/>
      <c r="L84" s="94"/>
      <c r="M84" s="91"/>
      <c r="N84" s="91"/>
      <c r="O84" s="94"/>
      <c r="P84" s="91"/>
      <c r="Q84" s="94"/>
      <c r="R84" s="94"/>
      <c r="S84" s="94"/>
      <c r="T84" s="91"/>
      <c r="U84" s="91"/>
      <c r="V84" s="91"/>
      <c r="W84" s="91"/>
      <c r="X84" s="91"/>
      <c r="Y84" s="94"/>
      <c r="Z84" s="91"/>
      <c r="AA84" s="91"/>
      <c r="AB84" s="94"/>
      <c r="AC84" s="98"/>
      <c r="AD84" s="94"/>
      <c r="AE84" s="98"/>
      <c r="AF84" s="98"/>
      <c r="AG84" s="91"/>
      <c r="AH84" s="91"/>
      <c r="AI84" s="94"/>
      <c r="AJ84" s="91"/>
      <c r="AK84" s="91"/>
    </row>
    <row r="85" spans="1:37">
      <c r="A85" s="113"/>
      <c r="B85" s="126"/>
      <c r="C85" s="91"/>
      <c r="D85" s="94"/>
      <c r="E85" s="94"/>
      <c r="F85" s="91"/>
      <c r="G85" s="94"/>
      <c r="H85" s="94"/>
      <c r="I85" s="91"/>
      <c r="J85" s="137"/>
      <c r="K85" s="94"/>
      <c r="L85" s="94"/>
      <c r="M85" s="91"/>
      <c r="N85" s="91"/>
      <c r="O85" s="94"/>
      <c r="P85" s="91"/>
      <c r="Q85" s="94"/>
      <c r="R85" s="94"/>
      <c r="S85" s="94"/>
      <c r="T85" s="91"/>
      <c r="U85" s="91"/>
      <c r="V85" s="91"/>
      <c r="W85" s="91"/>
      <c r="X85" s="91"/>
      <c r="Y85" s="94"/>
      <c r="Z85" s="91"/>
      <c r="AA85" s="91"/>
      <c r="AB85" s="94"/>
      <c r="AC85" s="98"/>
      <c r="AD85" s="94"/>
      <c r="AE85" s="98"/>
      <c r="AF85" s="98"/>
      <c r="AG85" s="91"/>
      <c r="AH85" s="91"/>
      <c r="AI85" s="94"/>
      <c r="AJ85" s="91"/>
      <c r="AK85" s="91"/>
    </row>
    <row r="86" spans="1:37">
      <c r="A86" s="113"/>
      <c r="B86" s="126"/>
      <c r="C86" s="91"/>
      <c r="D86" s="94"/>
      <c r="E86" s="94"/>
      <c r="F86" s="91"/>
      <c r="G86" s="94"/>
      <c r="H86" s="94"/>
      <c r="I86" s="91"/>
      <c r="J86" s="137"/>
      <c r="K86" s="94"/>
      <c r="L86" s="94"/>
      <c r="M86" s="91"/>
      <c r="N86" s="91"/>
      <c r="O86" s="94"/>
      <c r="P86" s="91"/>
      <c r="Q86" s="94"/>
      <c r="R86" s="94"/>
      <c r="S86" s="94"/>
      <c r="T86" s="91"/>
      <c r="U86" s="91"/>
      <c r="V86" s="91"/>
      <c r="W86" s="91"/>
      <c r="X86" s="91"/>
      <c r="Y86" s="94"/>
      <c r="Z86" s="91"/>
      <c r="AA86" s="91"/>
      <c r="AB86" s="94"/>
      <c r="AC86" s="98"/>
      <c r="AD86" s="94"/>
      <c r="AE86" s="98"/>
      <c r="AF86" s="98"/>
      <c r="AG86" s="91"/>
      <c r="AH86" s="91"/>
      <c r="AI86" s="94"/>
      <c r="AJ86" s="91"/>
      <c r="AK86" s="91"/>
    </row>
    <row r="87" spans="1:37">
      <c r="A87" s="113"/>
      <c r="B87" s="126"/>
      <c r="C87" s="91"/>
      <c r="D87" s="94"/>
      <c r="E87" s="94"/>
      <c r="F87" s="91"/>
      <c r="G87" s="94"/>
      <c r="H87" s="94"/>
      <c r="I87" s="91"/>
      <c r="J87" s="137"/>
      <c r="K87" s="94"/>
      <c r="L87" s="94"/>
      <c r="M87" s="91"/>
      <c r="N87" s="91"/>
      <c r="O87" s="94"/>
      <c r="P87" s="91"/>
      <c r="Q87" s="94"/>
      <c r="R87" s="94"/>
      <c r="S87" s="94"/>
      <c r="T87" s="91"/>
      <c r="U87" s="91"/>
      <c r="V87" s="91"/>
      <c r="W87" s="91"/>
      <c r="X87" s="91"/>
      <c r="Y87" s="94"/>
      <c r="Z87" s="91"/>
      <c r="AA87" s="91"/>
      <c r="AB87" s="94"/>
      <c r="AC87" s="98"/>
      <c r="AD87" s="94"/>
      <c r="AE87" s="98"/>
      <c r="AF87" s="98"/>
      <c r="AG87" s="91"/>
      <c r="AH87" s="91"/>
      <c r="AI87" s="94"/>
      <c r="AJ87" s="91"/>
      <c r="AK87" s="91"/>
    </row>
    <row r="88" spans="1:37">
      <c r="A88" s="113"/>
      <c r="B88" s="126"/>
      <c r="C88" s="91"/>
      <c r="D88" s="94"/>
      <c r="E88" s="94"/>
      <c r="F88" s="91"/>
      <c r="G88" s="94"/>
      <c r="H88" s="94"/>
      <c r="I88" s="91"/>
      <c r="J88" s="137"/>
      <c r="K88" s="94"/>
      <c r="L88" s="94"/>
      <c r="M88" s="91"/>
      <c r="N88" s="91"/>
      <c r="O88" s="94"/>
      <c r="P88" s="91"/>
      <c r="Q88" s="94"/>
      <c r="R88" s="94"/>
      <c r="S88" s="94"/>
      <c r="T88" s="91"/>
      <c r="U88" s="91"/>
      <c r="V88" s="91"/>
      <c r="W88" s="91"/>
      <c r="X88" s="91"/>
      <c r="Y88" s="94"/>
      <c r="Z88" s="91"/>
      <c r="AA88" s="91"/>
      <c r="AB88" s="94"/>
      <c r="AC88" s="98"/>
      <c r="AD88" s="94"/>
      <c r="AE88" s="98"/>
      <c r="AF88" s="98"/>
      <c r="AG88" s="91"/>
      <c r="AH88" s="91"/>
      <c r="AI88" s="94"/>
      <c r="AJ88" s="91"/>
      <c r="AK88" s="91"/>
    </row>
    <row r="89" spans="1:37">
      <c r="A89" s="113"/>
      <c r="B89" s="126"/>
      <c r="C89" s="91"/>
      <c r="D89" s="94"/>
      <c r="E89" s="94"/>
      <c r="F89" s="91"/>
      <c r="G89" s="94"/>
      <c r="H89" s="94"/>
      <c r="I89" s="91"/>
      <c r="J89" s="137"/>
      <c r="K89" s="94"/>
      <c r="L89" s="94"/>
      <c r="M89" s="91"/>
      <c r="N89" s="91"/>
      <c r="O89" s="94"/>
      <c r="P89" s="91"/>
      <c r="Q89" s="94"/>
      <c r="R89" s="94"/>
      <c r="S89" s="94"/>
      <c r="T89" s="91"/>
      <c r="U89" s="91"/>
      <c r="V89" s="91"/>
      <c r="W89" s="91"/>
      <c r="X89" s="91"/>
      <c r="Y89" s="94"/>
      <c r="Z89" s="91"/>
      <c r="AA89" s="91"/>
      <c r="AB89" s="94"/>
      <c r="AC89" s="98"/>
      <c r="AD89" s="94"/>
      <c r="AE89" s="98"/>
      <c r="AF89" s="98"/>
      <c r="AG89" s="91"/>
      <c r="AH89" s="91"/>
      <c r="AI89" s="94"/>
      <c r="AJ89" s="91"/>
      <c r="AK89" s="91"/>
    </row>
    <row r="90" spans="1:37">
      <c r="A90" s="113"/>
      <c r="B90" s="126"/>
      <c r="C90" s="91"/>
      <c r="D90" s="94"/>
      <c r="E90" s="94"/>
      <c r="F90" s="91"/>
      <c r="G90" s="94"/>
      <c r="H90" s="94"/>
      <c r="I90" s="91"/>
      <c r="J90" s="137"/>
      <c r="K90" s="94"/>
      <c r="L90" s="94"/>
      <c r="M90" s="91"/>
      <c r="N90" s="91"/>
      <c r="O90" s="94"/>
      <c r="P90" s="91"/>
      <c r="Q90" s="94"/>
      <c r="R90" s="94"/>
      <c r="S90" s="94"/>
      <c r="T90" s="91"/>
      <c r="U90" s="91"/>
      <c r="V90" s="91"/>
      <c r="W90" s="91"/>
      <c r="X90" s="91"/>
      <c r="Y90" s="94"/>
      <c r="Z90" s="91"/>
      <c r="AA90" s="91"/>
      <c r="AB90" s="94"/>
      <c r="AC90" s="98"/>
      <c r="AD90" s="94"/>
      <c r="AE90" s="98"/>
      <c r="AF90" s="98"/>
      <c r="AG90" s="91"/>
      <c r="AH90" s="91"/>
      <c r="AI90" s="94"/>
      <c r="AJ90" s="91"/>
      <c r="AK90" s="91"/>
    </row>
    <row r="91" spans="1:37">
      <c r="A91" s="113"/>
      <c r="B91" s="126"/>
      <c r="C91" s="91"/>
      <c r="D91" s="94"/>
      <c r="E91" s="94"/>
      <c r="F91" s="91"/>
      <c r="G91" s="94"/>
      <c r="H91" s="94"/>
      <c r="I91" s="91"/>
      <c r="J91" s="137"/>
      <c r="K91" s="94"/>
      <c r="L91" s="94"/>
      <c r="M91" s="91"/>
      <c r="N91" s="91"/>
      <c r="O91" s="94"/>
      <c r="P91" s="91"/>
      <c r="Q91" s="94"/>
      <c r="R91" s="94"/>
      <c r="S91" s="94"/>
      <c r="T91" s="91"/>
      <c r="U91" s="91"/>
      <c r="V91" s="91"/>
      <c r="W91" s="91"/>
      <c r="X91" s="91"/>
      <c r="Y91" s="94"/>
      <c r="Z91" s="91"/>
      <c r="AA91" s="91"/>
      <c r="AB91" s="94"/>
      <c r="AC91" s="98"/>
      <c r="AD91" s="94"/>
      <c r="AE91" s="98"/>
      <c r="AF91" s="98"/>
      <c r="AG91" s="91"/>
      <c r="AH91" s="91"/>
      <c r="AI91" s="94"/>
      <c r="AJ91" s="91"/>
      <c r="AK91" s="91"/>
    </row>
    <row r="92" spans="1:37">
      <c r="A92" s="113"/>
      <c r="B92" s="126"/>
      <c r="C92" s="91"/>
      <c r="D92" s="94"/>
      <c r="E92" s="94"/>
      <c r="F92" s="91"/>
      <c r="G92" s="94"/>
      <c r="H92" s="94"/>
      <c r="I92" s="91"/>
      <c r="J92" s="137"/>
      <c r="K92" s="94"/>
      <c r="L92" s="94"/>
      <c r="M92" s="91"/>
      <c r="N92" s="91"/>
      <c r="O92" s="94"/>
      <c r="P92" s="91"/>
      <c r="Q92" s="94"/>
      <c r="R92" s="94"/>
      <c r="S92" s="94"/>
      <c r="T92" s="91"/>
      <c r="U92" s="91"/>
      <c r="V92" s="91"/>
      <c r="W92" s="91"/>
      <c r="X92" s="91"/>
      <c r="Y92" s="94"/>
      <c r="Z92" s="91"/>
      <c r="AA92" s="91"/>
      <c r="AB92" s="94"/>
      <c r="AC92" s="98"/>
      <c r="AD92" s="94"/>
      <c r="AE92" s="98"/>
      <c r="AF92" s="98"/>
      <c r="AG92" s="91"/>
      <c r="AH92" s="91"/>
      <c r="AI92" s="94"/>
      <c r="AJ92" s="91"/>
      <c r="AK92" s="91"/>
    </row>
    <row r="93" spans="1:37">
      <c r="A93" s="113"/>
      <c r="B93" s="126"/>
      <c r="C93" s="91"/>
      <c r="D93" s="94"/>
      <c r="E93" s="94"/>
      <c r="F93" s="91"/>
      <c r="G93" s="94"/>
      <c r="H93" s="94"/>
      <c r="I93" s="91"/>
      <c r="J93" s="137"/>
      <c r="K93" s="94"/>
      <c r="L93" s="94"/>
      <c r="M93" s="91"/>
      <c r="N93" s="91"/>
      <c r="O93" s="94"/>
      <c r="P93" s="91"/>
      <c r="Q93" s="94"/>
      <c r="R93" s="94"/>
      <c r="S93" s="94"/>
      <c r="T93" s="91"/>
      <c r="U93" s="91"/>
      <c r="V93" s="91"/>
      <c r="W93" s="91"/>
      <c r="X93" s="91"/>
      <c r="Y93" s="94"/>
      <c r="Z93" s="91"/>
      <c r="AA93" s="91"/>
      <c r="AB93" s="94"/>
      <c r="AC93" s="98"/>
      <c r="AD93" s="94"/>
      <c r="AE93" s="98"/>
      <c r="AF93" s="98"/>
      <c r="AG93" s="91"/>
      <c r="AH93" s="91"/>
      <c r="AI93" s="94"/>
      <c r="AJ93" s="91"/>
      <c r="AK93" s="91"/>
    </row>
    <row r="94" spans="1:37">
      <c r="A94" s="113"/>
      <c r="B94" s="126"/>
      <c r="C94" s="91"/>
      <c r="D94" s="94"/>
      <c r="E94" s="94"/>
      <c r="F94" s="91"/>
      <c r="G94" s="94"/>
      <c r="H94" s="94"/>
      <c r="I94" s="91"/>
      <c r="J94" s="137"/>
      <c r="K94" s="94"/>
      <c r="L94" s="94"/>
      <c r="M94" s="91"/>
      <c r="N94" s="91"/>
      <c r="O94" s="94"/>
      <c r="P94" s="91"/>
      <c r="Q94" s="94"/>
      <c r="R94" s="94"/>
      <c r="S94" s="94"/>
      <c r="T94" s="91"/>
      <c r="U94" s="91"/>
      <c r="V94" s="91"/>
      <c r="W94" s="91"/>
      <c r="X94" s="91"/>
      <c r="Y94" s="94"/>
      <c r="Z94" s="91"/>
      <c r="AA94" s="91"/>
      <c r="AB94" s="94"/>
      <c r="AC94" s="98"/>
      <c r="AD94" s="94"/>
      <c r="AE94" s="98"/>
      <c r="AF94" s="98"/>
      <c r="AG94" s="91"/>
      <c r="AH94" s="91"/>
      <c r="AI94" s="94"/>
      <c r="AJ94" s="91"/>
      <c r="AK94" s="91"/>
    </row>
    <row r="95" spans="1:37">
      <c r="A95" s="113"/>
      <c r="B95" s="126"/>
      <c r="C95" s="91"/>
      <c r="D95" s="94"/>
      <c r="E95" s="94"/>
      <c r="F95" s="91"/>
      <c r="G95" s="94"/>
      <c r="H95" s="94"/>
      <c r="I95" s="91"/>
      <c r="J95" s="137"/>
      <c r="K95" s="94"/>
      <c r="L95" s="94"/>
      <c r="M95" s="91"/>
      <c r="N95" s="91"/>
      <c r="O95" s="94"/>
      <c r="P95" s="91"/>
      <c r="Q95" s="94"/>
      <c r="R95" s="94"/>
      <c r="S95" s="94"/>
      <c r="T95" s="91"/>
      <c r="U95" s="91"/>
      <c r="V95" s="91"/>
      <c r="W95" s="91"/>
      <c r="X95" s="91"/>
      <c r="Y95" s="94"/>
      <c r="Z95" s="91"/>
      <c r="AA95" s="91"/>
      <c r="AB95" s="94"/>
      <c r="AC95" s="98"/>
      <c r="AD95" s="94"/>
      <c r="AE95" s="98"/>
      <c r="AF95" s="98"/>
      <c r="AG95" s="91"/>
      <c r="AH95" s="91"/>
      <c r="AI95" s="94"/>
      <c r="AJ95" s="91"/>
      <c r="AK95" s="91"/>
    </row>
    <row r="96" spans="1:37">
      <c r="A96" s="113"/>
      <c r="B96" s="126"/>
      <c r="C96" s="91"/>
      <c r="D96" s="94"/>
      <c r="E96" s="94"/>
      <c r="F96" s="91"/>
      <c r="G96" s="94"/>
      <c r="H96" s="94"/>
      <c r="I96" s="91"/>
      <c r="J96" s="137"/>
      <c r="K96" s="94"/>
      <c r="L96" s="94"/>
      <c r="M96" s="91"/>
      <c r="N96" s="91"/>
      <c r="O96" s="94"/>
      <c r="P96" s="91"/>
      <c r="Q96" s="94"/>
      <c r="R96" s="94"/>
      <c r="S96" s="94"/>
      <c r="T96" s="91"/>
      <c r="U96" s="91"/>
      <c r="V96" s="91"/>
      <c r="W96" s="91"/>
      <c r="X96" s="91"/>
      <c r="Y96" s="94"/>
      <c r="Z96" s="91"/>
      <c r="AA96" s="91"/>
      <c r="AB96" s="94"/>
      <c r="AC96" s="98"/>
      <c r="AD96" s="94"/>
      <c r="AE96" s="98"/>
      <c r="AF96" s="98"/>
      <c r="AG96" s="91"/>
      <c r="AH96" s="91"/>
      <c r="AI96" s="94"/>
      <c r="AJ96" s="91"/>
      <c r="AK96" s="91"/>
    </row>
    <row r="97" spans="1:37">
      <c r="A97" s="113"/>
      <c r="B97" s="126"/>
      <c r="C97" s="91"/>
      <c r="D97" s="94"/>
      <c r="E97" s="94"/>
      <c r="F97" s="91"/>
      <c r="G97" s="94"/>
      <c r="H97" s="94"/>
      <c r="I97" s="91"/>
      <c r="J97" s="137"/>
      <c r="K97" s="94"/>
      <c r="L97" s="94"/>
      <c r="M97" s="91"/>
      <c r="N97" s="91"/>
      <c r="O97" s="94"/>
      <c r="P97" s="91"/>
      <c r="Q97" s="94"/>
      <c r="R97" s="94"/>
      <c r="S97" s="94"/>
      <c r="T97" s="91"/>
      <c r="U97" s="91"/>
      <c r="V97" s="91"/>
      <c r="W97" s="91"/>
      <c r="X97" s="91"/>
      <c r="Y97" s="94"/>
      <c r="Z97" s="91"/>
      <c r="AA97" s="91"/>
      <c r="AB97" s="94"/>
      <c r="AC97" s="98"/>
      <c r="AD97" s="94"/>
      <c r="AE97" s="98"/>
      <c r="AF97" s="98"/>
      <c r="AG97" s="91"/>
      <c r="AH97" s="91"/>
      <c r="AI97" s="94"/>
      <c r="AJ97" s="91"/>
      <c r="AK97" s="91"/>
    </row>
    <row r="98" spans="1:37">
      <c r="A98" s="113"/>
      <c r="B98" s="126"/>
      <c r="C98" s="91"/>
      <c r="D98" s="94"/>
      <c r="E98" s="94"/>
      <c r="F98" s="91"/>
      <c r="G98" s="94"/>
      <c r="H98" s="94"/>
      <c r="I98" s="91"/>
      <c r="J98" s="137"/>
      <c r="K98" s="94"/>
      <c r="L98" s="94"/>
      <c r="M98" s="91"/>
      <c r="N98" s="91"/>
      <c r="O98" s="94"/>
      <c r="P98" s="91"/>
      <c r="Q98" s="94"/>
      <c r="R98" s="94"/>
      <c r="S98" s="94"/>
      <c r="T98" s="91"/>
      <c r="U98" s="91"/>
      <c r="V98" s="91"/>
      <c r="W98" s="91"/>
      <c r="X98" s="91"/>
      <c r="Y98" s="94"/>
      <c r="Z98" s="91"/>
      <c r="AA98" s="91"/>
      <c r="AB98" s="94"/>
      <c r="AC98" s="98"/>
      <c r="AD98" s="94"/>
      <c r="AE98" s="98"/>
      <c r="AF98" s="98"/>
      <c r="AG98" s="91"/>
      <c r="AH98" s="91"/>
      <c r="AI98" s="94"/>
      <c r="AJ98" s="91"/>
      <c r="AK98" s="91"/>
    </row>
    <row r="99" spans="1:37">
      <c r="A99" s="113"/>
      <c r="B99" s="126"/>
      <c r="C99" s="91"/>
      <c r="D99" s="94"/>
      <c r="E99" s="94"/>
      <c r="F99" s="91"/>
      <c r="G99" s="94"/>
      <c r="H99" s="94"/>
      <c r="I99" s="91"/>
      <c r="J99" s="137"/>
      <c r="K99" s="94"/>
      <c r="L99" s="94"/>
      <c r="M99" s="91"/>
      <c r="N99" s="91"/>
      <c r="O99" s="94"/>
      <c r="P99" s="91"/>
      <c r="Q99" s="94"/>
      <c r="R99" s="94"/>
      <c r="S99" s="94"/>
      <c r="T99" s="91"/>
      <c r="U99" s="91"/>
      <c r="V99" s="91"/>
      <c r="W99" s="91"/>
      <c r="X99" s="91"/>
      <c r="Y99" s="94"/>
      <c r="Z99" s="91"/>
      <c r="AA99" s="91"/>
      <c r="AB99" s="94"/>
      <c r="AC99" s="98"/>
      <c r="AD99" s="94"/>
      <c r="AE99" s="98"/>
      <c r="AF99" s="98"/>
      <c r="AG99" s="91"/>
      <c r="AH99" s="91"/>
      <c r="AI99" s="94"/>
      <c r="AJ99" s="91"/>
      <c r="AK99" s="91"/>
    </row>
    <row r="100" spans="1:37">
      <c r="A100" s="113"/>
      <c r="B100" s="126"/>
      <c r="C100" s="91"/>
      <c r="D100" s="94"/>
      <c r="E100" s="94"/>
      <c r="F100" s="91"/>
      <c r="G100" s="94"/>
      <c r="H100" s="94"/>
      <c r="I100" s="91"/>
      <c r="J100" s="137"/>
      <c r="K100" s="94"/>
      <c r="L100" s="94"/>
      <c r="M100" s="91"/>
      <c r="N100" s="91"/>
      <c r="O100" s="94"/>
      <c r="P100" s="91"/>
      <c r="Q100" s="94"/>
      <c r="R100" s="94"/>
      <c r="S100" s="94"/>
      <c r="T100" s="91"/>
      <c r="U100" s="91"/>
      <c r="V100" s="91"/>
      <c r="W100" s="91"/>
      <c r="X100" s="91"/>
      <c r="Y100" s="94"/>
      <c r="Z100" s="91"/>
      <c r="AA100" s="91"/>
      <c r="AB100" s="94"/>
      <c r="AC100" s="98"/>
      <c r="AD100" s="94"/>
      <c r="AE100" s="98"/>
      <c r="AF100" s="98"/>
      <c r="AG100" s="91"/>
      <c r="AH100" s="91"/>
      <c r="AI100" s="94"/>
      <c r="AJ100" s="91"/>
      <c r="AK100" s="91"/>
    </row>
    <row r="101" spans="1:37">
      <c r="A101" s="113"/>
      <c r="B101" s="126"/>
      <c r="C101" s="91"/>
      <c r="D101" s="94"/>
      <c r="E101" s="94"/>
      <c r="F101" s="91"/>
      <c r="G101" s="94"/>
      <c r="H101" s="94"/>
      <c r="I101" s="91"/>
      <c r="J101" s="137"/>
      <c r="K101" s="94"/>
      <c r="L101" s="94"/>
      <c r="M101" s="91"/>
      <c r="N101" s="91"/>
      <c r="O101" s="94"/>
      <c r="P101" s="91"/>
      <c r="Q101" s="94"/>
      <c r="R101" s="94"/>
      <c r="S101" s="94"/>
      <c r="T101" s="91"/>
      <c r="U101" s="91"/>
      <c r="V101" s="91"/>
      <c r="W101" s="91"/>
      <c r="X101" s="91"/>
      <c r="Y101" s="94"/>
      <c r="Z101" s="91"/>
      <c r="AA101" s="91"/>
      <c r="AB101" s="94"/>
      <c r="AC101" s="98"/>
      <c r="AD101" s="94"/>
      <c r="AE101" s="98"/>
      <c r="AF101" s="98"/>
      <c r="AG101" s="91"/>
      <c r="AH101" s="91"/>
      <c r="AI101" s="94"/>
      <c r="AJ101" s="91"/>
      <c r="AK101" s="91"/>
    </row>
    <row r="102" spans="1:37">
      <c r="A102" s="113"/>
      <c r="B102" s="126"/>
      <c r="C102" s="91"/>
      <c r="D102" s="94"/>
      <c r="E102" s="94"/>
      <c r="F102" s="91"/>
      <c r="G102" s="94"/>
      <c r="H102" s="94"/>
      <c r="I102" s="91"/>
      <c r="J102" s="137"/>
      <c r="K102" s="94"/>
      <c r="L102" s="94"/>
      <c r="M102" s="91"/>
      <c r="N102" s="91"/>
      <c r="O102" s="94"/>
      <c r="P102" s="91"/>
      <c r="Q102" s="94"/>
      <c r="R102" s="94"/>
      <c r="S102" s="94"/>
      <c r="T102" s="91"/>
      <c r="U102" s="91"/>
      <c r="V102" s="91"/>
      <c r="W102" s="91"/>
      <c r="X102" s="91"/>
      <c r="Y102" s="94"/>
      <c r="Z102" s="91"/>
      <c r="AA102" s="91"/>
      <c r="AB102" s="94"/>
      <c r="AC102" s="98"/>
      <c r="AD102" s="94"/>
      <c r="AE102" s="98"/>
      <c r="AF102" s="98"/>
      <c r="AG102" s="91"/>
      <c r="AH102" s="91"/>
      <c r="AI102" s="94"/>
      <c r="AJ102" s="91"/>
      <c r="AK102" s="91"/>
    </row>
    <row r="103" spans="1:37">
      <c r="A103" s="113"/>
      <c r="B103" s="126"/>
      <c r="C103" s="91"/>
      <c r="D103" s="94"/>
      <c r="E103" s="94"/>
      <c r="F103" s="91"/>
      <c r="G103" s="94"/>
      <c r="H103" s="94"/>
      <c r="I103" s="91"/>
      <c r="J103" s="137"/>
      <c r="K103" s="94"/>
      <c r="L103" s="94"/>
      <c r="M103" s="91"/>
      <c r="N103" s="91"/>
      <c r="O103" s="94"/>
      <c r="P103" s="91"/>
      <c r="Q103" s="94"/>
      <c r="R103" s="94"/>
      <c r="S103" s="94"/>
      <c r="T103" s="91"/>
      <c r="U103" s="91"/>
      <c r="V103" s="91"/>
      <c r="W103" s="91"/>
      <c r="X103" s="91"/>
      <c r="Y103" s="94"/>
      <c r="Z103" s="91"/>
      <c r="AA103" s="91"/>
      <c r="AB103" s="94"/>
      <c r="AC103" s="98"/>
      <c r="AD103" s="94"/>
      <c r="AE103" s="98"/>
      <c r="AF103" s="98"/>
      <c r="AG103" s="91"/>
      <c r="AH103" s="91"/>
      <c r="AI103" s="94"/>
      <c r="AJ103" s="91"/>
      <c r="AK103" s="91"/>
    </row>
    <row r="104" spans="1:37">
      <c r="A104" s="113"/>
      <c r="B104" s="126"/>
      <c r="C104" s="91"/>
      <c r="D104" s="94"/>
      <c r="E104" s="94"/>
      <c r="F104" s="91"/>
      <c r="G104" s="94"/>
      <c r="H104" s="94"/>
      <c r="I104" s="91"/>
      <c r="J104" s="137"/>
      <c r="K104" s="94"/>
      <c r="L104" s="94"/>
      <c r="M104" s="91"/>
      <c r="N104" s="91"/>
      <c r="O104" s="94"/>
      <c r="P104" s="91"/>
      <c r="Q104" s="94"/>
      <c r="R104" s="94"/>
      <c r="S104" s="94"/>
      <c r="T104" s="91"/>
      <c r="U104" s="91"/>
      <c r="V104" s="91"/>
      <c r="W104" s="91"/>
      <c r="X104" s="91"/>
      <c r="Y104" s="94"/>
      <c r="Z104" s="91"/>
      <c r="AA104" s="91"/>
      <c r="AB104" s="94"/>
      <c r="AC104" s="98"/>
      <c r="AD104" s="94"/>
      <c r="AE104" s="98"/>
      <c r="AF104" s="98"/>
      <c r="AG104" s="91"/>
      <c r="AH104" s="91"/>
      <c r="AI104" s="94"/>
      <c r="AJ104" s="91"/>
      <c r="AK104" s="91"/>
    </row>
    <row r="105" spans="1:37">
      <c r="A105" s="113"/>
      <c r="B105" s="126"/>
      <c r="C105" s="91"/>
      <c r="D105" s="94"/>
      <c r="E105" s="94"/>
      <c r="F105" s="91"/>
      <c r="G105" s="94"/>
      <c r="H105" s="94"/>
      <c r="I105" s="91"/>
      <c r="J105" s="137"/>
      <c r="K105" s="94"/>
      <c r="L105" s="94"/>
      <c r="M105" s="91"/>
      <c r="N105" s="91"/>
      <c r="O105" s="94"/>
      <c r="P105" s="91"/>
      <c r="Q105" s="94"/>
      <c r="R105" s="94"/>
      <c r="S105" s="94"/>
      <c r="T105" s="91"/>
      <c r="U105" s="91"/>
      <c r="V105" s="91"/>
      <c r="W105" s="91"/>
      <c r="X105" s="91"/>
      <c r="Y105" s="94"/>
      <c r="Z105" s="91"/>
      <c r="AA105" s="91"/>
      <c r="AB105" s="94"/>
      <c r="AC105" s="98"/>
      <c r="AD105" s="94"/>
      <c r="AE105" s="98"/>
      <c r="AF105" s="98"/>
      <c r="AG105" s="91"/>
      <c r="AH105" s="91"/>
      <c r="AI105" s="94"/>
      <c r="AJ105" s="91"/>
      <c r="AK105" s="91"/>
    </row>
    <row r="106" spans="1:37">
      <c r="A106" s="113"/>
      <c r="B106" s="126"/>
      <c r="C106" s="91"/>
      <c r="D106" s="94"/>
      <c r="E106" s="94"/>
      <c r="F106" s="91"/>
      <c r="G106" s="94"/>
      <c r="H106" s="94"/>
      <c r="I106" s="91"/>
      <c r="J106" s="137"/>
      <c r="K106" s="94"/>
      <c r="L106" s="94"/>
      <c r="M106" s="91"/>
      <c r="N106" s="91"/>
      <c r="O106" s="94"/>
      <c r="P106" s="91"/>
      <c r="Q106" s="94"/>
      <c r="R106" s="94"/>
      <c r="S106" s="94"/>
      <c r="T106" s="91"/>
      <c r="U106" s="91"/>
      <c r="V106" s="91"/>
      <c r="W106" s="91"/>
      <c r="X106" s="91"/>
      <c r="Y106" s="94"/>
      <c r="Z106" s="91"/>
      <c r="AA106" s="91"/>
      <c r="AB106" s="94"/>
      <c r="AC106" s="98"/>
      <c r="AD106" s="94"/>
      <c r="AE106" s="98"/>
      <c r="AF106" s="98"/>
      <c r="AG106" s="91"/>
      <c r="AH106" s="91"/>
      <c r="AI106" s="94"/>
      <c r="AJ106" s="91"/>
      <c r="AK106" s="91"/>
    </row>
    <row r="107" spans="1:37">
      <c r="A107" s="113"/>
      <c r="B107" s="126"/>
      <c r="C107" s="91"/>
      <c r="D107" s="94"/>
      <c r="E107" s="94"/>
      <c r="F107" s="91"/>
      <c r="G107" s="94"/>
      <c r="H107" s="94"/>
      <c r="I107" s="91"/>
      <c r="J107" s="137"/>
      <c r="K107" s="94"/>
      <c r="L107" s="94"/>
      <c r="M107" s="91"/>
      <c r="N107" s="91"/>
      <c r="O107" s="94"/>
      <c r="P107" s="91"/>
      <c r="Q107" s="94"/>
      <c r="R107" s="94"/>
      <c r="S107" s="94"/>
      <c r="T107" s="91"/>
      <c r="U107" s="91"/>
      <c r="V107" s="91"/>
      <c r="W107" s="91"/>
      <c r="X107" s="91"/>
      <c r="Y107" s="94"/>
      <c r="Z107" s="91"/>
      <c r="AA107" s="91"/>
      <c r="AB107" s="94"/>
      <c r="AC107" s="98"/>
      <c r="AD107" s="94"/>
      <c r="AE107" s="98"/>
      <c r="AF107" s="98"/>
      <c r="AG107" s="91"/>
      <c r="AH107" s="91"/>
      <c r="AI107" s="94"/>
      <c r="AJ107" s="91"/>
      <c r="AK107" s="91"/>
    </row>
    <row r="108" spans="1:37">
      <c r="A108" s="113"/>
      <c r="B108" s="126"/>
      <c r="C108" s="91"/>
      <c r="D108" s="94"/>
      <c r="E108" s="94"/>
      <c r="F108" s="91"/>
      <c r="G108" s="94"/>
      <c r="H108" s="94"/>
      <c r="I108" s="91"/>
      <c r="J108" s="137"/>
      <c r="K108" s="94"/>
      <c r="L108" s="94"/>
      <c r="M108" s="91"/>
      <c r="N108" s="91"/>
      <c r="O108" s="94"/>
      <c r="P108" s="91"/>
      <c r="Q108" s="94"/>
      <c r="R108" s="94"/>
      <c r="S108" s="94"/>
      <c r="T108" s="91"/>
      <c r="U108" s="91"/>
      <c r="V108" s="91"/>
      <c r="W108" s="91"/>
      <c r="X108" s="91"/>
      <c r="Y108" s="94"/>
      <c r="Z108" s="91"/>
      <c r="AA108" s="91"/>
      <c r="AB108" s="94"/>
      <c r="AC108" s="98"/>
      <c r="AD108" s="94"/>
      <c r="AE108" s="98"/>
      <c r="AF108" s="98"/>
      <c r="AG108" s="91"/>
      <c r="AH108" s="91"/>
      <c r="AI108" s="94"/>
      <c r="AJ108" s="91"/>
      <c r="AK108" s="91"/>
    </row>
    <row r="109" spans="1:37">
      <c r="A109" s="113"/>
      <c r="B109" s="126"/>
      <c r="C109" s="91"/>
      <c r="D109" s="94"/>
      <c r="E109" s="94"/>
      <c r="F109" s="91"/>
      <c r="G109" s="94"/>
      <c r="H109" s="94"/>
      <c r="I109" s="91"/>
      <c r="J109" s="137"/>
      <c r="K109" s="94"/>
      <c r="L109" s="94"/>
      <c r="M109" s="91"/>
      <c r="N109" s="91"/>
      <c r="O109" s="94"/>
      <c r="P109" s="91"/>
      <c r="Q109" s="94"/>
      <c r="R109" s="94"/>
      <c r="S109" s="94"/>
      <c r="T109" s="91"/>
      <c r="U109" s="91"/>
      <c r="V109" s="91"/>
      <c r="W109" s="91"/>
      <c r="X109" s="91"/>
      <c r="Y109" s="94"/>
      <c r="Z109" s="91"/>
      <c r="AA109" s="91"/>
      <c r="AB109" s="94"/>
      <c r="AC109" s="98"/>
      <c r="AD109" s="94"/>
      <c r="AE109" s="98"/>
      <c r="AF109" s="98"/>
      <c r="AG109" s="91"/>
      <c r="AH109" s="91"/>
      <c r="AI109" s="94"/>
      <c r="AJ109" s="91"/>
      <c r="AK109" s="91"/>
    </row>
    <row r="110" spans="1:37">
      <c r="A110" s="113"/>
      <c r="B110" s="126"/>
      <c r="C110" s="91"/>
      <c r="D110" s="94"/>
      <c r="E110" s="94"/>
      <c r="F110" s="91"/>
      <c r="G110" s="94"/>
      <c r="H110" s="94"/>
      <c r="I110" s="91"/>
      <c r="J110" s="137"/>
      <c r="K110" s="94"/>
      <c r="L110" s="94"/>
      <c r="M110" s="91"/>
      <c r="N110" s="91"/>
      <c r="O110" s="94"/>
      <c r="P110" s="91"/>
      <c r="Q110" s="94"/>
      <c r="R110" s="94"/>
      <c r="S110" s="94"/>
      <c r="T110" s="91"/>
      <c r="U110" s="91"/>
      <c r="V110" s="91"/>
      <c r="W110" s="91"/>
      <c r="X110" s="91"/>
      <c r="Y110" s="94"/>
      <c r="Z110" s="91"/>
      <c r="AA110" s="91"/>
      <c r="AB110" s="94"/>
      <c r="AC110" s="98"/>
      <c r="AD110" s="94"/>
      <c r="AE110" s="98"/>
      <c r="AF110" s="98"/>
      <c r="AG110" s="91"/>
      <c r="AH110" s="91"/>
      <c r="AI110" s="94"/>
      <c r="AJ110" s="91"/>
      <c r="AK110" s="91"/>
    </row>
    <row r="111" spans="1:37">
      <c r="A111" s="113"/>
      <c r="B111" s="126"/>
      <c r="C111" s="91"/>
      <c r="D111" s="94"/>
      <c r="E111" s="94"/>
      <c r="F111" s="91"/>
      <c r="G111" s="94"/>
      <c r="H111" s="94"/>
      <c r="I111" s="91"/>
      <c r="J111" s="137"/>
      <c r="K111" s="94"/>
      <c r="L111" s="94"/>
      <c r="M111" s="91"/>
      <c r="N111" s="91"/>
      <c r="O111" s="94"/>
      <c r="P111" s="91"/>
      <c r="Q111" s="94"/>
      <c r="R111" s="94"/>
      <c r="S111" s="94"/>
      <c r="T111" s="91"/>
      <c r="U111" s="91"/>
      <c r="V111" s="91"/>
      <c r="W111" s="91"/>
      <c r="X111" s="91"/>
      <c r="Y111" s="94"/>
      <c r="Z111" s="91"/>
      <c r="AA111" s="91"/>
      <c r="AB111" s="94"/>
      <c r="AC111" s="98"/>
      <c r="AD111" s="94"/>
      <c r="AE111" s="98"/>
      <c r="AF111" s="98"/>
      <c r="AG111" s="91"/>
      <c r="AH111" s="91"/>
      <c r="AI111" s="94"/>
      <c r="AJ111" s="91"/>
      <c r="AK111" s="91"/>
    </row>
    <row r="112" spans="1:37">
      <c r="A112" s="113"/>
      <c r="B112" s="126"/>
      <c r="C112" s="91"/>
      <c r="D112" s="94"/>
      <c r="E112" s="94"/>
      <c r="F112" s="91"/>
      <c r="G112" s="94"/>
      <c r="H112" s="94"/>
      <c r="I112" s="91"/>
      <c r="J112" s="137"/>
      <c r="K112" s="94"/>
      <c r="L112" s="94"/>
      <c r="M112" s="91"/>
      <c r="N112" s="91"/>
      <c r="O112" s="94"/>
      <c r="P112" s="91"/>
      <c r="Q112" s="94"/>
      <c r="R112" s="94"/>
      <c r="S112" s="94"/>
      <c r="T112" s="91"/>
      <c r="U112" s="91"/>
      <c r="V112" s="91"/>
      <c r="W112" s="91"/>
      <c r="X112" s="91"/>
      <c r="Y112" s="94"/>
      <c r="Z112" s="91"/>
      <c r="AA112" s="91"/>
      <c r="AB112" s="94"/>
      <c r="AC112" s="98"/>
      <c r="AD112" s="94"/>
      <c r="AE112" s="98"/>
      <c r="AF112" s="98"/>
      <c r="AG112" s="91"/>
      <c r="AH112" s="91"/>
      <c r="AI112" s="94"/>
      <c r="AJ112" s="91"/>
      <c r="AK112" s="91"/>
    </row>
    <row r="113" spans="1:37">
      <c r="A113" s="113"/>
      <c r="B113" s="126"/>
      <c r="C113" s="91"/>
      <c r="D113" s="94"/>
      <c r="E113" s="94"/>
      <c r="F113" s="91"/>
      <c r="G113" s="94"/>
      <c r="H113" s="94"/>
      <c r="I113" s="91"/>
      <c r="J113" s="137"/>
      <c r="K113" s="94"/>
      <c r="L113" s="94"/>
      <c r="M113" s="91"/>
      <c r="N113" s="91"/>
      <c r="O113" s="94"/>
      <c r="P113" s="91"/>
      <c r="Q113" s="94"/>
      <c r="R113" s="94"/>
      <c r="S113" s="94"/>
      <c r="T113" s="91"/>
      <c r="U113" s="91"/>
      <c r="V113" s="91"/>
      <c r="W113" s="91"/>
      <c r="X113" s="91"/>
      <c r="Y113" s="94"/>
      <c r="Z113" s="91"/>
      <c r="AA113" s="91"/>
      <c r="AB113" s="94"/>
      <c r="AC113" s="98"/>
      <c r="AD113" s="94"/>
      <c r="AE113" s="98"/>
      <c r="AF113" s="98"/>
      <c r="AG113" s="91"/>
      <c r="AH113" s="91"/>
      <c r="AI113" s="94"/>
      <c r="AJ113" s="91"/>
      <c r="AK113" s="91"/>
    </row>
    <row r="114" spans="1:37">
      <c r="A114" s="113"/>
      <c r="B114" s="126"/>
      <c r="C114" s="91"/>
      <c r="D114" s="94"/>
      <c r="E114" s="94"/>
      <c r="F114" s="91"/>
      <c r="G114" s="94"/>
      <c r="H114" s="94"/>
      <c r="I114" s="91"/>
      <c r="J114" s="137"/>
      <c r="K114" s="94"/>
      <c r="L114" s="94"/>
      <c r="M114" s="91"/>
      <c r="N114" s="91"/>
      <c r="O114" s="94"/>
      <c r="P114" s="91"/>
      <c r="Q114" s="94"/>
      <c r="R114" s="94"/>
      <c r="S114" s="94"/>
      <c r="T114" s="91"/>
      <c r="U114" s="91"/>
      <c r="V114" s="91"/>
      <c r="W114" s="91"/>
      <c r="X114" s="91"/>
      <c r="Y114" s="94"/>
      <c r="Z114" s="91"/>
      <c r="AA114" s="91"/>
      <c r="AB114" s="94"/>
      <c r="AC114" s="98"/>
      <c r="AD114" s="94"/>
      <c r="AE114" s="98"/>
      <c r="AF114" s="98"/>
      <c r="AG114" s="91"/>
      <c r="AH114" s="91"/>
      <c r="AI114" s="94"/>
      <c r="AJ114" s="91"/>
      <c r="AK114" s="91"/>
    </row>
    <row r="115" spans="1:37">
      <c r="A115" s="113"/>
      <c r="B115" s="126"/>
      <c r="C115" s="91"/>
      <c r="D115" s="94"/>
      <c r="E115" s="94"/>
      <c r="F115" s="91"/>
      <c r="G115" s="94"/>
      <c r="H115" s="94"/>
      <c r="I115" s="91"/>
      <c r="J115" s="137"/>
      <c r="K115" s="94"/>
      <c r="L115" s="94"/>
      <c r="M115" s="91"/>
      <c r="N115" s="91"/>
      <c r="O115" s="94"/>
      <c r="P115" s="91"/>
      <c r="Q115" s="94"/>
      <c r="R115" s="94"/>
      <c r="S115" s="94"/>
      <c r="T115" s="91"/>
      <c r="U115" s="91"/>
      <c r="V115" s="91"/>
      <c r="W115" s="91"/>
      <c r="X115" s="91"/>
      <c r="Y115" s="94"/>
      <c r="Z115" s="91"/>
      <c r="AA115" s="91"/>
      <c r="AB115" s="94"/>
      <c r="AC115" s="98"/>
      <c r="AD115" s="94"/>
      <c r="AE115" s="98"/>
      <c r="AF115" s="98"/>
      <c r="AG115" s="91"/>
      <c r="AH115" s="91"/>
      <c r="AI115" s="94"/>
      <c r="AJ115" s="91"/>
      <c r="AK115" s="91"/>
    </row>
    <row r="116" spans="1:37">
      <c r="A116" s="113"/>
      <c r="B116" s="126"/>
      <c r="C116" s="91"/>
      <c r="D116" s="94"/>
      <c r="E116" s="94"/>
      <c r="F116" s="91"/>
      <c r="G116" s="94"/>
      <c r="H116" s="94"/>
      <c r="I116" s="91"/>
      <c r="J116" s="137"/>
      <c r="K116" s="94"/>
      <c r="L116" s="94"/>
      <c r="M116" s="91"/>
      <c r="N116" s="91"/>
      <c r="O116" s="94"/>
      <c r="P116" s="91"/>
      <c r="Q116" s="94"/>
      <c r="R116" s="94"/>
      <c r="S116" s="94"/>
      <c r="T116" s="91"/>
      <c r="U116" s="91"/>
      <c r="V116" s="91"/>
      <c r="W116" s="91"/>
      <c r="X116" s="91"/>
      <c r="Y116" s="94"/>
      <c r="Z116" s="91"/>
      <c r="AA116" s="91"/>
      <c r="AB116" s="94"/>
      <c r="AC116" s="98"/>
      <c r="AD116" s="94"/>
      <c r="AE116" s="98"/>
      <c r="AF116" s="98"/>
      <c r="AG116" s="91"/>
      <c r="AH116" s="91"/>
      <c r="AI116" s="94"/>
      <c r="AJ116" s="91"/>
      <c r="AK116" s="91"/>
    </row>
    <row r="117" spans="1:37">
      <c r="A117" s="113"/>
      <c r="B117" s="126"/>
      <c r="C117" s="91"/>
      <c r="D117" s="94"/>
      <c r="E117" s="94"/>
      <c r="F117" s="91"/>
      <c r="G117" s="94"/>
      <c r="H117" s="94"/>
      <c r="I117" s="91"/>
      <c r="J117" s="137"/>
      <c r="K117" s="94"/>
      <c r="L117" s="94"/>
      <c r="M117" s="91"/>
      <c r="N117" s="91"/>
      <c r="O117" s="94"/>
      <c r="P117" s="91"/>
      <c r="Q117" s="94"/>
      <c r="R117" s="94"/>
      <c r="S117" s="94"/>
      <c r="T117" s="91"/>
      <c r="U117" s="91"/>
      <c r="V117" s="91"/>
      <c r="W117" s="91"/>
      <c r="X117" s="91"/>
      <c r="Y117" s="94"/>
      <c r="Z117" s="91"/>
      <c r="AA117" s="91"/>
      <c r="AB117" s="94"/>
      <c r="AC117" s="98"/>
      <c r="AD117" s="94"/>
      <c r="AE117" s="98"/>
      <c r="AF117" s="98"/>
      <c r="AG117" s="91"/>
      <c r="AH117" s="91"/>
      <c r="AI117" s="94"/>
      <c r="AJ117" s="91"/>
      <c r="AK117" s="91"/>
    </row>
    <row r="118" spans="1:37">
      <c r="A118" s="113"/>
      <c r="B118" s="126"/>
      <c r="C118" s="91"/>
      <c r="D118" s="94"/>
      <c r="E118" s="94"/>
      <c r="F118" s="91"/>
      <c r="G118" s="94"/>
      <c r="H118" s="94"/>
      <c r="I118" s="91"/>
      <c r="J118" s="137"/>
      <c r="K118" s="94"/>
      <c r="L118" s="94"/>
      <c r="M118" s="91"/>
      <c r="N118" s="91"/>
      <c r="O118" s="94"/>
      <c r="P118" s="91"/>
      <c r="Q118" s="94"/>
      <c r="R118" s="94"/>
      <c r="S118" s="94"/>
      <c r="T118" s="91"/>
      <c r="U118" s="91"/>
      <c r="V118" s="91"/>
      <c r="W118" s="91"/>
      <c r="X118" s="91"/>
      <c r="Y118" s="94"/>
      <c r="Z118" s="91"/>
      <c r="AA118" s="91"/>
      <c r="AB118" s="94"/>
      <c r="AC118" s="98"/>
      <c r="AD118" s="94"/>
      <c r="AE118" s="98"/>
      <c r="AF118" s="98"/>
      <c r="AG118" s="91"/>
      <c r="AH118" s="91"/>
      <c r="AI118" s="94"/>
      <c r="AJ118" s="91"/>
      <c r="AK118" s="91"/>
    </row>
    <row r="119" spans="1:37">
      <c r="A119" s="113"/>
      <c r="B119" s="126"/>
      <c r="C119" s="91"/>
      <c r="D119" s="94"/>
      <c r="E119" s="94"/>
      <c r="F119" s="91"/>
      <c r="G119" s="94"/>
      <c r="H119" s="94"/>
      <c r="I119" s="91"/>
      <c r="J119" s="137"/>
      <c r="K119" s="94"/>
      <c r="L119" s="94"/>
      <c r="M119" s="91"/>
      <c r="N119" s="91"/>
      <c r="O119" s="94"/>
      <c r="P119" s="91"/>
      <c r="Q119" s="94"/>
      <c r="R119" s="94"/>
      <c r="S119" s="94"/>
      <c r="T119" s="91"/>
      <c r="U119" s="91"/>
      <c r="V119" s="91"/>
      <c r="W119" s="91"/>
      <c r="X119" s="91"/>
      <c r="Y119" s="94"/>
      <c r="Z119" s="91"/>
      <c r="AA119" s="91"/>
      <c r="AB119" s="94"/>
      <c r="AC119" s="98"/>
      <c r="AD119" s="94"/>
      <c r="AE119" s="98"/>
      <c r="AF119" s="98"/>
      <c r="AG119" s="91"/>
      <c r="AH119" s="91"/>
      <c r="AI119" s="94"/>
      <c r="AJ119" s="91"/>
      <c r="AK119" s="91"/>
    </row>
    <row r="120" spans="1:37">
      <c r="A120" s="113"/>
      <c r="B120" s="126"/>
      <c r="C120" s="91"/>
      <c r="D120" s="94"/>
      <c r="E120" s="94"/>
      <c r="F120" s="91"/>
      <c r="G120" s="94"/>
      <c r="H120" s="94"/>
      <c r="I120" s="91"/>
      <c r="J120" s="137"/>
      <c r="K120" s="94"/>
      <c r="L120" s="94"/>
      <c r="M120" s="91"/>
      <c r="N120" s="91"/>
      <c r="O120" s="94"/>
      <c r="P120" s="91"/>
      <c r="Q120" s="94"/>
      <c r="R120" s="94"/>
      <c r="S120" s="94"/>
      <c r="T120" s="91"/>
      <c r="U120" s="91"/>
      <c r="V120" s="91"/>
      <c r="W120" s="91"/>
      <c r="X120" s="91"/>
      <c r="Y120" s="94"/>
      <c r="Z120" s="91"/>
      <c r="AA120" s="91"/>
      <c r="AB120" s="94"/>
      <c r="AC120" s="98"/>
      <c r="AD120" s="94"/>
      <c r="AE120" s="98"/>
      <c r="AF120" s="98"/>
      <c r="AG120" s="91"/>
      <c r="AH120" s="91"/>
      <c r="AI120" s="94"/>
      <c r="AJ120" s="91"/>
      <c r="AK120" s="91"/>
    </row>
    <row r="121" spans="1:37">
      <c r="A121" s="113"/>
      <c r="B121" s="126"/>
      <c r="C121" s="91"/>
      <c r="D121" s="94"/>
      <c r="E121" s="94"/>
      <c r="F121" s="91"/>
      <c r="G121" s="94"/>
      <c r="H121" s="94"/>
      <c r="I121" s="91"/>
      <c r="J121" s="137"/>
      <c r="K121" s="94"/>
      <c r="L121" s="94"/>
      <c r="M121" s="91"/>
      <c r="N121" s="91"/>
      <c r="O121" s="94"/>
      <c r="P121" s="91"/>
      <c r="Q121" s="94"/>
      <c r="R121" s="94"/>
      <c r="S121" s="94"/>
      <c r="T121" s="91"/>
      <c r="U121" s="91"/>
      <c r="V121" s="91"/>
      <c r="W121" s="91"/>
      <c r="X121" s="91"/>
      <c r="Y121" s="94"/>
      <c r="Z121" s="91"/>
      <c r="AA121" s="91"/>
      <c r="AB121" s="94"/>
      <c r="AC121" s="98"/>
      <c r="AD121" s="94"/>
      <c r="AE121" s="98"/>
      <c r="AF121" s="98"/>
      <c r="AG121" s="91"/>
      <c r="AH121" s="91"/>
      <c r="AI121" s="94"/>
      <c r="AJ121" s="91"/>
      <c r="AK121" s="91"/>
    </row>
    <row r="122" spans="1:37">
      <c r="A122" s="113"/>
      <c r="B122" s="126"/>
      <c r="C122" s="91"/>
      <c r="D122" s="94"/>
      <c r="E122" s="94"/>
      <c r="F122" s="91"/>
      <c r="G122" s="94"/>
      <c r="H122" s="94"/>
      <c r="I122" s="91"/>
      <c r="J122" s="137"/>
      <c r="K122" s="94"/>
      <c r="L122" s="94"/>
      <c r="M122" s="91"/>
      <c r="N122" s="91"/>
      <c r="O122" s="94"/>
      <c r="P122" s="91"/>
      <c r="Q122" s="94"/>
      <c r="R122" s="94"/>
      <c r="S122" s="94"/>
      <c r="T122" s="91"/>
      <c r="U122" s="91"/>
      <c r="V122" s="91"/>
      <c r="W122" s="91"/>
      <c r="X122" s="91"/>
      <c r="Y122" s="94"/>
      <c r="Z122" s="91"/>
      <c r="AA122" s="91"/>
      <c r="AB122" s="94"/>
      <c r="AC122" s="98"/>
      <c r="AD122" s="94"/>
      <c r="AE122" s="98"/>
      <c r="AF122" s="98"/>
      <c r="AG122" s="91"/>
      <c r="AH122" s="91"/>
      <c r="AI122" s="94"/>
      <c r="AJ122" s="91"/>
      <c r="AK122" s="91"/>
    </row>
    <row r="123" spans="1:37">
      <c r="A123" s="113"/>
      <c r="B123" s="126"/>
      <c r="C123" s="91"/>
      <c r="D123" s="94"/>
      <c r="E123" s="94"/>
      <c r="F123" s="91"/>
      <c r="G123" s="94"/>
      <c r="H123" s="94"/>
      <c r="I123" s="91"/>
      <c r="J123" s="137"/>
      <c r="K123" s="94"/>
      <c r="L123" s="94"/>
      <c r="M123" s="91"/>
      <c r="N123" s="91"/>
      <c r="O123" s="94"/>
      <c r="P123" s="91"/>
      <c r="Q123" s="94"/>
      <c r="R123" s="94"/>
      <c r="S123" s="94"/>
      <c r="T123" s="91"/>
      <c r="U123" s="91"/>
      <c r="V123" s="91"/>
      <c r="W123" s="91"/>
      <c r="X123" s="91"/>
      <c r="Y123" s="94"/>
      <c r="Z123" s="91"/>
      <c r="AA123" s="91"/>
      <c r="AB123" s="94"/>
      <c r="AC123" s="98"/>
      <c r="AD123" s="94"/>
      <c r="AE123" s="98"/>
      <c r="AF123" s="98"/>
      <c r="AG123" s="91"/>
      <c r="AH123" s="91"/>
      <c r="AI123" s="94"/>
      <c r="AJ123" s="91"/>
      <c r="AK123" s="91"/>
    </row>
    <row r="124" spans="1:37">
      <c r="A124" s="113"/>
      <c r="B124" s="126"/>
      <c r="C124" s="91"/>
      <c r="D124" s="94"/>
      <c r="E124" s="94"/>
      <c r="F124" s="91"/>
      <c r="G124" s="94"/>
      <c r="H124" s="94"/>
      <c r="I124" s="91"/>
      <c r="J124" s="137"/>
      <c r="K124" s="94"/>
      <c r="L124" s="94"/>
      <c r="M124" s="91"/>
      <c r="N124" s="91"/>
      <c r="O124" s="94"/>
      <c r="P124" s="91"/>
      <c r="Q124" s="94"/>
      <c r="R124" s="94"/>
      <c r="S124" s="94"/>
      <c r="T124" s="91"/>
      <c r="U124" s="91"/>
      <c r="V124" s="91"/>
      <c r="W124" s="91"/>
      <c r="X124" s="91"/>
      <c r="Y124" s="94"/>
      <c r="Z124" s="91"/>
      <c r="AA124" s="91"/>
      <c r="AB124" s="94"/>
      <c r="AC124" s="98"/>
      <c r="AD124" s="94"/>
      <c r="AE124" s="98"/>
      <c r="AF124" s="98"/>
      <c r="AG124" s="91"/>
      <c r="AH124" s="91"/>
      <c r="AI124" s="94"/>
      <c r="AJ124" s="91"/>
      <c r="AK124" s="91"/>
    </row>
    <row r="125" spans="1:37">
      <c r="A125" s="113"/>
      <c r="B125" s="126"/>
      <c r="C125" s="91"/>
      <c r="D125" s="94"/>
      <c r="E125" s="94"/>
      <c r="F125" s="91"/>
      <c r="G125" s="94"/>
      <c r="H125" s="94"/>
      <c r="I125" s="91"/>
      <c r="J125" s="137"/>
      <c r="K125" s="94"/>
      <c r="L125" s="94"/>
      <c r="M125" s="91"/>
      <c r="N125" s="91"/>
      <c r="O125" s="94"/>
      <c r="P125" s="91"/>
      <c r="Q125" s="94"/>
      <c r="R125" s="94"/>
      <c r="S125" s="94"/>
      <c r="T125" s="91"/>
      <c r="U125" s="91"/>
      <c r="V125" s="91"/>
      <c r="W125" s="91"/>
      <c r="X125" s="91"/>
      <c r="Y125" s="94"/>
      <c r="Z125" s="91"/>
      <c r="AA125" s="91"/>
      <c r="AB125" s="94"/>
      <c r="AC125" s="98"/>
      <c r="AD125" s="94"/>
      <c r="AE125" s="98"/>
      <c r="AF125" s="98"/>
      <c r="AG125" s="91"/>
      <c r="AH125" s="91"/>
      <c r="AI125" s="94"/>
      <c r="AJ125" s="91"/>
      <c r="AK125" s="91"/>
    </row>
    <row r="126" spans="1:37">
      <c r="A126" s="113"/>
      <c r="B126" s="126"/>
      <c r="C126" s="91"/>
      <c r="D126" s="94"/>
      <c r="E126" s="94"/>
      <c r="F126" s="91"/>
      <c r="G126" s="94"/>
      <c r="H126" s="94"/>
      <c r="I126" s="91"/>
      <c r="J126" s="137"/>
      <c r="K126" s="94"/>
      <c r="L126" s="94"/>
      <c r="M126" s="91"/>
      <c r="N126" s="91"/>
      <c r="O126" s="94"/>
      <c r="P126" s="91"/>
      <c r="Q126" s="94"/>
      <c r="R126" s="94"/>
      <c r="S126" s="94"/>
      <c r="T126" s="91"/>
      <c r="U126" s="91"/>
      <c r="V126" s="91"/>
      <c r="W126" s="91"/>
      <c r="X126" s="91"/>
      <c r="Y126" s="94"/>
      <c r="Z126" s="91"/>
      <c r="AA126" s="91"/>
      <c r="AB126" s="94"/>
      <c r="AC126" s="98"/>
      <c r="AD126" s="94"/>
      <c r="AE126" s="98"/>
      <c r="AF126" s="98"/>
      <c r="AG126" s="91"/>
      <c r="AH126" s="91"/>
      <c r="AI126" s="94"/>
      <c r="AJ126" s="91"/>
      <c r="AK126" s="91"/>
    </row>
    <row r="127" spans="1:37">
      <c r="A127" s="113"/>
      <c r="B127" s="126"/>
      <c r="C127" s="91"/>
      <c r="D127" s="94"/>
      <c r="E127" s="94"/>
      <c r="F127" s="91"/>
      <c r="G127" s="94"/>
      <c r="H127" s="94"/>
      <c r="I127" s="91"/>
      <c r="J127" s="137"/>
      <c r="K127" s="94"/>
      <c r="L127" s="94"/>
      <c r="M127" s="91"/>
      <c r="N127" s="91"/>
      <c r="O127" s="94"/>
      <c r="P127" s="91"/>
      <c r="Q127" s="94"/>
      <c r="R127" s="94"/>
      <c r="S127" s="94"/>
      <c r="T127" s="91"/>
      <c r="U127" s="91"/>
      <c r="V127" s="91"/>
      <c r="W127" s="91"/>
      <c r="X127" s="91"/>
      <c r="Y127" s="94"/>
      <c r="Z127" s="91"/>
      <c r="AA127" s="91"/>
      <c r="AB127" s="94"/>
      <c r="AC127" s="98"/>
      <c r="AD127" s="94"/>
      <c r="AE127" s="98"/>
      <c r="AF127" s="98"/>
      <c r="AG127" s="91"/>
      <c r="AH127" s="91"/>
      <c r="AI127" s="94"/>
      <c r="AJ127" s="91"/>
      <c r="AK127" s="91"/>
    </row>
    <row r="128" spans="1:37">
      <c r="A128" s="113"/>
      <c r="B128" s="126"/>
      <c r="C128" s="91"/>
      <c r="D128" s="94"/>
      <c r="E128" s="94"/>
      <c r="F128" s="91"/>
      <c r="G128" s="94"/>
      <c r="H128" s="94"/>
      <c r="I128" s="91"/>
      <c r="J128" s="137"/>
      <c r="K128" s="94"/>
      <c r="L128" s="94"/>
      <c r="M128" s="91"/>
      <c r="N128" s="91"/>
      <c r="O128" s="94"/>
      <c r="P128" s="91"/>
      <c r="Q128" s="94"/>
      <c r="R128" s="94"/>
      <c r="S128" s="94"/>
      <c r="T128" s="91"/>
      <c r="U128" s="91"/>
      <c r="V128" s="91"/>
      <c r="W128" s="91"/>
      <c r="X128" s="91"/>
      <c r="Y128" s="94"/>
      <c r="Z128" s="91"/>
      <c r="AA128" s="91"/>
      <c r="AB128" s="94"/>
      <c r="AC128" s="98"/>
      <c r="AD128" s="94"/>
      <c r="AE128" s="98"/>
      <c r="AF128" s="98"/>
      <c r="AG128" s="91"/>
      <c r="AH128" s="91"/>
      <c r="AI128" s="94"/>
      <c r="AJ128" s="91"/>
      <c r="AK128" s="91"/>
    </row>
    <row r="129" spans="1:37">
      <c r="A129" s="113"/>
      <c r="B129" s="126"/>
      <c r="C129" s="91"/>
      <c r="D129" s="94"/>
      <c r="E129" s="94"/>
      <c r="F129" s="91"/>
      <c r="G129" s="94"/>
      <c r="H129" s="94"/>
      <c r="I129" s="91"/>
      <c r="J129" s="137"/>
      <c r="K129" s="94"/>
      <c r="L129" s="94"/>
      <c r="M129" s="91"/>
      <c r="N129" s="91"/>
      <c r="O129" s="94"/>
      <c r="P129" s="91"/>
      <c r="Q129" s="94"/>
      <c r="R129" s="94"/>
      <c r="S129" s="94"/>
      <c r="T129" s="91"/>
      <c r="U129" s="91"/>
      <c r="V129" s="91"/>
      <c r="W129" s="91"/>
      <c r="X129" s="91"/>
      <c r="Y129" s="94"/>
      <c r="Z129" s="91"/>
      <c r="AA129" s="91"/>
      <c r="AB129" s="94"/>
      <c r="AC129" s="98"/>
      <c r="AD129" s="94"/>
      <c r="AE129" s="98"/>
      <c r="AF129" s="98"/>
      <c r="AG129" s="91"/>
      <c r="AH129" s="91"/>
      <c r="AI129" s="94"/>
      <c r="AJ129" s="91"/>
      <c r="AK129" s="91"/>
    </row>
    <row r="130" spans="1:37">
      <c r="A130" s="113"/>
      <c r="B130" s="126"/>
      <c r="C130" s="91"/>
      <c r="D130" s="94"/>
      <c r="E130" s="94"/>
      <c r="F130" s="91"/>
      <c r="G130" s="94"/>
      <c r="H130" s="94"/>
      <c r="I130" s="91"/>
      <c r="J130" s="137"/>
      <c r="K130" s="94"/>
      <c r="L130" s="94"/>
      <c r="M130" s="91"/>
      <c r="N130" s="91"/>
      <c r="O130" s="94"/>
      <c r="P130" s="91"/>
      <c r="Q130" s="94"/>
      <c r="R130" s="94"/>
      <c r="S130" s="94"/>
      <c r="T130" s="91"/>
      <c r="U130" s="91"/>
      <c r="V130" s="91"/>
      <c r="W130" s="91"/>
      <c r="X130" s="91"/>
      <c r="Y130" s="94"/>
      <c r="Z130" s="91"/>
      <c r="AA130" s="91"/>
      <c r="AB130" s="94"/>
      <c r="AC130" s="98"/>
      <c r="AD130" s="94"/>
      <c r="AE130" s="98"/>
      <c r="AF130" s="98"/>
      <c r="AG130" s="91"/>
      <c r="AH130" s="91"/>
      <c r="AI130" s="94"/>
      <c r="AJ130" s="91"/>
      <c r="AK130" s="91"/>
    </row>
    <row r="131" spans="1:37">
      <c r="A131" s="113"/>
      <c r="B131" s="126"/>
      <c r="C131" s="91"/>
      <c r="D131" s="94"/>
      <c r="E131" s="94"/>
      <c r="F131" s="91"/>
      <c r="G131" s="94"/>
      <c r="H131" s="94"/>
      <c r="I131" s="91"/>
      <c r="J131" s="137"/>
      <c r="K131" s="94"/>
      <c r="L131" s="94"/>
      <c r="M131" s="91"/>
      <c r="N131" s="91"/>
      <c r="O131" s="94"/>
      <c r="P131" s="91"/>
      <c r="Q131" s="94"/>
      <c r="R131" s="94"/>
      <c r="S131" s="94"/>
      <c r="T131" s="91"/>
      <c r="U131" s="91"/>
      <c r="V131" s="91"/>
      <c r="W131" s="91"/>
      <c r="X131" s="91"/>
      <c r="Y131" s="94"/>
      <c r="Z131" s="91"/>
      <c r="AA131" s="91"/>
      <c r="AB131" s="94"/>
      <c r="AC131" s="98"/>
      <c r="AD131" s="94"/>
      <c r="AE131" s="98"/>
      <c r="AF131" s="98"/>
      <c r="AG131" s="91"/>
      <c r="AH131" s="91"/>
      <c r="AI131" s="94"/>
      <c r="AJ131" s="91"/>
      <c r="AK131" s="91"/>
    </row>
    <row r="132" spans="1:37">
      <c r="A132" s="113"/>
      <c r="B132" s="126"/>
      <c r="C132" s="91"/>
      <c r="D132" s="94"/>
      <c r="E132" s="94"/>
      <c r="F132" s="91"/>
      <c r="G132" s="94"/>
      <c r="H132" s="94"/>
      <c r="I132" s="91"/>
      <c r="J132" s="137"/>
      <c r="K132" s="94"/>
      <c r="L132" s="94"/>
      <c r="M132" s="91"/>
      <c r="N132" s="91"/>
      <c r="O132" s="94"/>
      <c r="P132" s="91"/>
      <c r="Q132" s="94"/>
      <c r="R132" s="94"/>
      <c r="S132" s="94"/>
      <c r="T132" s="91"/>
      <c r="U132" s="91"/>
      <c r="V132" s="91"/>
      <c r="W132" s="91"/>
      <c r="X132" s="91"/>
      <c r="Y132" s="94"/>
      <c r="Z132" s="91"/>
      <c r="AA132" s="91"/>
      <c r="AB132" s="94"/>
      <c r="AC132" s="98"/>
      <c r="AD132" s="94"/>
      <c r="AE132" s="98"/>
      <c r="AF132" s="98"/>
      <c r="AG132" s="91"/>
      <c r="AH132" s="91"/>
      <c r="AI132" s="94"/>
      <c r="AJ132" s="91"/>
      <c r="AK132" s="91"/>
    </row>
    <row r="133" spans="1:37">
      <c r="A133" s="113"/>
      <c r="B133" s="126"/>
      <c r="C133" s="91"/>
      <c r="D133" s="94"/>
      <c r="E133" s="94"/>
      <c r="F133" s="91"/>
      <c r="G133" s="94"/>
      <c r="H133" s="94"/>
      <c r="I133" s="91"/>
      <c r="J133" s="137"/>
      <c r="K133" s="94"/>
      <c r="L133" s="94"/>
      <c r="M133" s="91"/>
      <c r="N133" s="91"/>
      <c r="O133" s="94"/>
      <c r="P133" s="91"/>
      <c r="Q133" s="94"/>
      <c r="R133" s="94"/>
      <c r="S133" s="94"/>
      <c r="T133" s="91"/>
      <c r="U133" s="91"/>
      <c r="V133" s="91"/>
      <c r="W133" s="91"/>
      <c r="X133" s="91"/>
      <c r="Y133" s="94"/>
      <c r="Z133" s="91"/>
      <c r="AA133" s="91"/>
      <c r="AB133" s="94"/>
      <c r="AC133" s="98"/>
      <c r="AD133" s="94"/>
      <c r="AE133" s="98"/>
      <c r="AF133" s="98"/>
      <c r="AG133" s="91"/>
      <c r="AH133" s="91"/>
      <c r="AI133" s="94"/>
      <c r="AJ133" s="91"/>
      <c r="AK133" s="91"/>
    </row>
    <row r="134" spans="1:37">
      <c r="A134" s="113"/>
      <c r="B134" s="126"/>
      <c r="C134" s="91"/>
      <c r="D134" s="94"/>
      <c r="E134" s="94"/>
      <c r="F134" s="91"/>
      <c r="G134" s="94"/>
      <c r="H134" s="94"/>
      <c r="I134" s="91"/>
      <c r="J134" s="137"/>
      <c r="K134" s="94"/>
      <c r="L134" s="94"/>
      <c r="M134" s="91"/>
      <c r="N134" s="91"/>
      <c r="O134" s="94"/>
      <c r="P134" s="91"/>
      <c r="Q134" s="94"/>
      <c r="R134" s="94"/>
      <c r="S134" s="94"/>
      <c r="T134" s="91"/>
      <c r="U134" s="91"/>
      <c r="V134" s="91"/>
      <c r="W134" s="91"/>
      <c r="X134" s="91"/>
      <c r="Y134" s="94"/>
      <c r="Z134" s="91"/>
      <c r="AA134" s="91"/>
      <c r="AB134" s="94"/>
      <c r="AC134" s="98"/>
      <c r="AD134" s="94"/>
      <c r="AE134" s="98"/>
      <c r="AF134" s="98"/>
      <c r="AG134" s="91"/>
      <c r="AH134" s="91"/>
      <c r="AI134" s="94"/>
      <c r="AJ134" s="91"/>
      <c r="AK134" s="91"/>
    </row>
    <row r="135" spans="1:37">
      <c r="A135" s="113"/>
      <c r="B135" s="126"/>
      <c r="C135" s="91"/>
      <c r="D135" s="94"/>
      <c r="E135" s="94"/>
      <c r="F135" s="91"/>
      <c r="G135" s="94"/>
      <c r="H135" s="94"/>
      <c r="I135" s="91"/>
      <c r="J135" s="137"/>
      <c r="K135" s="94"/>
      <c r="L135" s="94"/>
      <c r="M135" s="91"/>
      <c r="N135" s="91"/>
      <c r="O135" s="94"/>
      <c r="P135" s="91"/>
      <c r="Q135" s="94"/>
      <c r="R135" s="94"/>
      <c r="S135" s="94"/>
      <c r="T135" s="91"/>
      <c r="U135" s="91"/>
      <c r="V135" s="91"/>
      <c r="W135" s="91"/>
      <c r="X135" s="91"/>
      <c r="Y135" s="94"/>
      <c r="Z135" s="91"/>
      <c r="AA135" s="91"/>
      <c r="AB135" s="94"/>
      <c r="AC135" s="98"/>
      <c r="AD135" s="94"/>
      <c r="AE135" s="98"/>
      <c r="AF135" s="98"/>
      <c r="AG135" s="91"/>
      <c r="AH135" s="91"/>
      <c r="AI135" s="94"/>
      <c r="AJ135" s="91"/>
      <c r="AK135" s="91"/>
    </row>
    <row r="136" spans="1:37">
      <c r="A136" s="113"/>
      <c r="B136" s="126"/>
      <c r="C136" s="91"/>
      <c r="D136" s="94"/>
      <c r="E136" s="94"/>
      <c r="F136" s="91"/>
      <c r="G136" s="94"/>
      <c r="H136" s="94"/>
      <c r="I136" s="91"/>
      <c r="J136" s="137"/>
      <c r="K136" s="94"/>
      <c r="L136" s="94"/>
      <c r="M136" s="91"/>
      <c r="N136" s="91"/>
      <c r="O136" s="94"/>
      <c r="P136" s="91"/>
      <c r="Q136" s="94"/>
      <c r="R136" s="94"/>
      <c r="S136" s="94"/>
      <c r="T136" s="91"/>
      <c r="U136" s="91"/>
      <c r="V136" s="91"/>
      <c r="W136" s="91"/>
      <c r="X136" s="91"/>
      <c r="Y136" s="94"/>
      <c r="Z136" s="91"/>
      <c r="AA136" s="91"/>
      <c r="AB136" s="94"/>
      <c r="AC136" s="98"/>
      <c r="AD136" s="94"/>
      <c r="AE136" s="98"/>
      <c r="AF136" s="98"/>
      <c r="AG136" s="91"/>
      <c r="AH136" s="91"/>
      <c r="AI136" s="94"/>
      <c r="AJ136" s="91"/>
      <c r="AK136" s="91"/>
    </row>
    <row r="137" spans="1:37">
      <c r="A137" s="113"/>
      <c r="B137" s="126"/>
      <c r="C137" s="91"/>
      <c r="D137" s="94"/>
      <c r="E137" s="94"/>
      <c r="F137" s="91"/>
      <c r="G137" s="94"/>
      <c r="H137" s="94"/>
      <c r="I137" s="91"/>
      <c r="J137" s="137"/>
      <c r="K137" s="94"/>
      <c r="L137" s="94"/>
      <c r="M137" s="91"/>
      <c r="N137" s="91"/>
      <c r="O137" s="94"/>
      <c r="P137" s="91"/>
      <c r="Q137" s="94"/>
      <c r="R137" s="94"/>
      <c r="S137" s="94"/>
      <c r="T137" s="91"/>
      <c r="U137" s="91"/>
      <c r="V137" s="91"/>
      <c r="W137" s="91"/>
      <c r="X137" s="91"/>
      <c r="Y137" s="94"/>
      <c r="Z137" s="91"/>
      <c r="AA137" s="91"/>
      <c r="AB137" s="94"/>
      <c r="AC137" s="98"/>
      <c r="AD137" s="94"/>
      <c r="AE137" s="98"/>
      <c r="AF137" s="98"/>
      <c r="AG137" s="91"/>
      <c r="AH137" s="91"/>
      <c r="AI137" s="94"/>
      <c r="AJ137" s="91"/>
      <c r="AK137" s="91"/>
    </row>
    <row r="138" spans="1:37">
      <c r="A138" s="113"/>
      <c r="B138" s="126"/>
      <c r="C138" s="91"/>
      <c r="D138" s="94"/>
      <c r="E138" s="94"/>
      <c r="F138" s="91"/>
      <c r="G138" s="94"/>
      <c r="H138" s="94"/>
      <c r="I138" s="91"/>
      <c r="J138" s="137"/>
      <c r="K138" s="94"/>
      <c r="L138" s="94"/>
      <c r="M138" s="91"/>
      <c r="N138" s="91"/>
      <c r="O138" s="94"/>
      <c r="P138" s="91"/>
      <c r="Q138" s="94"/>
      <c r="R138" s="94"/>
      <c r="S138" s="94"/>
      <c r="T138" s="91"/>
      <c r="U138" s="91"/>
      <c r="V138" s="91"/>
      <c r="W138" s="91"/>
      <c r="X138" s="91"/>
      <c r="Y138" s="94"/>
      <c r="Z138" s="91"/>
      <c r="AA138" s="91"/>
      <c r="AB138" s="94"/>
      <c r="AC138" s="98"/>
      <c r="AD138" s="94"/>
      <c r="AE138" s="98"/>
      <c r="AF138" s="98"/>
      <c r="AG138" s="91"/>
      <c r="AH138" s="91"/>
      <c r="AI138" s="94"/>
      <c r="AJ138" s="91"/>
      <c r="AK138" s="91"/>
    </row>
    <row r="139" spans="1:37">
      <c r="A139" s="113"/>
      <c r="B139" s="126"/>
      <c r="C139" s="91"/>
      <c r="D139" s="94"/>
      <c r="E139" s="94"/>
      <c r="F139" s="91"/>
      <c r="G139" s="94"/>
      <c r="H139" s="94"/>
      <c r="I139" s="91"/>
      <c r="J139" s="137"/>
      <c r="K139" s="94"/>
      <c r="L139" s="94"/>
      <c r="M139" s="91"/>
      <c r="N139" s="91"/>
      <c r="O139" s="94"/>
      <c r="P139" s="91"/>
      <c r="Q139" s="94"/>
      <c r="R139" s="94"/>
      <c r="S139" s="94"/>
      <c r="T139" s="91"/>
      <c r="U139" s="91"/>
      <c r="V139" s="91"/>
      <c r="W139" s="91"/>
      <c r="X139" s="91"/>
      <c r="Y139" s="94"/>
      <c r="Z139" s="91"/>
      <c r="AA139" s="91"/>
      <c r="AB139" s="94"/>
      <c r="AC139" s="98"/>
      <c r="AD139" s="94"/>
      <c r="AE139" s="98"/>
      <c r="AF139" s="98"/>
      <c r="AG139" s="91"/>
      <c r="AH139" s="91"/>
      <c r="AI139" s="94"/>
      <c r="AJ139" s="91"/>
      <c r="AK139" s="91"/>
    </row>
    <row r="140" spans="1:37">
      <c r="A140" s="113"/>
      <c r="B140" s="126"/>
      <c r="C140" s="91"/>
      <c r="D140" s="94"/>
      <c r="E140" s="94"/>
      <c r="F140" s="91"/>
      <c r="G140" s="94"/>
      <c r="H140" s="94"/>
      <c r="I140" s="91"/>
      <c r="J140" s="137"/>
      <c r="K140" s="94"/>
      <c r="L140" s="94"/>
      <c r="M140" s="91"/>
      <c r="N140" s="91"/>
      <c r="O140" s="94"/>
      <c r="P140" s="91"/>
      <c r="Q140" s="94"/>
      <c r="R140" s="94"/>
      <c r="S140" s="94"/>
      <c r="T140" s="91"/>
      <c r="U140" s="91"/>
      <c r="V140" s="91"/>
      <c r="W140" s="91"/>
      <c r="X140" s="91"/>
      <c r="Y140" s="94"/>
      <c r="Z140" s="91"/>
      <c r="AA140" s="91"/>
      <c r="AB140" s="94"/>
      <c r="AC140" s="98"/>
      <c r="AD140" s="94"/>
      <c r="AE140" s="98"/>
      <c r="AF140" s="98"/>
      <c r="AG140" s="91"/>
      <c r="AH140" s="91"/>
      <c r="AI140" s="94"/>
      <c r="AJ140" s="91"/>
      <c r="AK140" s="91"/>
    </row>
    <row r="141" spans="1:37">
      <c r="A141" s="113"/>
      <c r="B141" s="126"/>
      <c r="C141" s="91"/>
      <c r="D141" s="94"/>
      <c r="E141" s="94"/>
      <c r="F141" s="91"/>
      <c r="G141" s="94"/>
      <c r="H141" s="94"/>
      <c r="I141" s="91"/>
      <c r="J141" s="131"/>
      <c r="K141" s="94"/>
      <c r="L141" s="94"/>
      <c r="M141" s="91"/>
      <c r="N141" s="91"/>
      <c r="O141" s="94"/>
      <c r="P141" s="91"/>
      <c r="Q141" s="94"/>
      <c r="R141" s="94"/>
      <c r="S141" s="94"/>
      <c r="T141" s="91"/>
      <c r="U141" s="91"/>
      <c r="V141" s="91"/>
      <c r="W141" s="91"/>
      <c r="X141" s="91"/>
      <c r="Y141" s="94"/>
      <c r="Z141" s="91"/>
      <c r="AA141" s="91"/>
      <c r="AB141" s="94"/>
      <c r="AC141" s="98"/>
      <c r="AD141" s="94"/>
      <c r="AE141" s="98"/>
      <c r="AF141" s="98"/>
      <c r="AG141" s="91"/>
      <c r="AH141" s="91"/>
      <c r="AI141" s="94"/>
      <c r="AJ141" s="91"/>
      <c r="AK141" s="91"/>
    </row>
    <row r="142" spans="1:37">
      <c r="A142" s="113"/>
      <c r="B142" s="126"/>
      <c r="C142" s="91"/>
      <c r="D142" s="94"/>
      <c r="E142" s="94"/>
      <c r="F142" s="91"/>
      <c r="G142" s="94"/>
      <c r="H142" s="94"/>
      <c r="I142" s="91"/>
      <c r="J142" s="131"/>
      <c r="K142" s="94"/>
      <c r="L142" s="94"/>
      <c r="M142" s="91"/>
      <c r="N142" s="91"/>
      <c r="O142" s="94"/>
      <c r="P142" s="91"/>
      <c r="Q142" s="94"/>
      <c r="R142" s="94"/>
      <c r="S142" s="94"/>
      <c r="T142" s="91"/>
      <c r="U142" s="91"/>
      <c r="V142" s="91"/>
      <c r="W142" s="91"/>
      <c r="X142" s="91"/>
      <c r="Y142" s="94"/>
      <c r="Z142" s="91"/>
      <c r="AA142" s="91"/>
      <c r="AB142" s="94"/>
      <c r="AC142" s="98"/>
      <c r="AD142" s="94"/>
      <c r="AE142" s="98"/>
      <c r="AF142" s="98"/>
      <c r="AG142" s="91"/>
      <c r="AH142" s="91"/>
      <c r="AI142" s="94"/>
      <c r="AJ142" s="91"/>
      <c r="AK142" s="91"/>
    </row>
    <row r="143" spans="1:37">
      <c r="A143" s="113"/>
      <c r="B143" s="126"/>
      <c r="C143" s="91"/>
      <c r="D143" s="94"/>
      <c r="E143" s="94"/>
      <c r="F143" s="91"/>
      <c r="G143" s="94"/>
      <c r="H143" s="94"/>
      <c r="I143" s="91"/>
      <c r="J143" s="131"/>
      <c r="K143" s="94"/>
      <c r="L143" s="94"/>
      <c r="M143" s="91"/>
      <c r="N143" s="91"/>
      <c r="O143" s="94"/>
      <c r="P143" s="91"/>
      <c r="Q143" s="94"/>
      <c r="R143" s="94"/>
      <c r="S143" s="94"/>
      <c r="T143" s="91"/>
      <c r="U143" s="91"/>
      <c r="V143" s="91"/>
      <c r="W143" s="91"/>
      <c r="X143" s="91"/>
      <c r="Y143" s="94"/>
      <c r="Z143" s="91"/>
      <c r="AA143" s="91"/>
      <c r="AB143" s="94"/>
      <c r="AC143" s="98"/>
      <c r="AD143" s="94"/>
      <c r="AE143" s="98"/>
      <c r="AF143" s="98"/>
      <c r="AG143" s="91"/>
      <c r="AH143" s="91"/>
      <c r="AI143" s="94"/>
      <c r="AJ143" s="91"/>
      <c r="AK143" s="91"/>
    </row>
    <row r="144" spans="1:37">
      <c r="A144" s="113"/>
      <c r="B144" s="126"/>
      <c r="C144" s="91"/>
      <c r="D144" s="94"/>
      <c r="E144" s="94"/>
      <c r="F144" s="91"/>
      <c r="G144" s="94"/>
      <c r="H144" s="94"/>
      <c r="I144" s="91"/>
      <c r="J144" s="131"/>
      <c r="K144" s="94"/>
      <c r="L144" s="94"/>
      <c r="M144" s="91"/>
      <c r="N144" s="91"/>
      <c r="O144" s="94"/>
      <c r="P144" s="91"/>
      <c r="Q144" s="94"/>
      <c r="R144" s="94"/>
      <c r="S144" s="94"/>
      <c r="T144" s="91"/>
      <c r="U144" s="91"/>
      <c r="V144" s="91"/>
      <c r="W144" s="91"/>
      <c r="X144" s="91"/>
      <c r="Y144" s="94"/>
      <c r="Z144" s="91"/>
      <c r="AA144" s="91"/>
      <c r="AB144" s="94"/>
      <c r="AC144" s="98"/>
      <c r="AD144" s="94"/>
      <c r="AE144" s="98"/>
      <c r="AF144" s="98"/>
      <c r="AG144" s="91"/>
      <c r="AH144" s="91"/>
      <c r="AI144" s="94"/>
      <c r="AJ144" s="91"/>
      <c r="AK144" s="91"/>
    </row>
    <row r="145" spans="1:37">
      <c r="A145" s="113"/>
      <c r="B145" s="126"/>
      <c r="C145" s="91"/>
      <c r="D145" s="94"/>
      <c r="E145" s="94"/>
      <c r="F145" s="91"/>
      <c r="G145" s="94"/>
      <c r="H145" s="94"/>
      <c r="I145" s="91"/>
      <c r="J145" s="131"/>
      <c r="K145" s="94"/>
      <c r="L145" s="94"/>
      <c r="M145" s="91"/>
      <c r="N145" s="91"/>
      <c r="O145" s="94"/>
      <c r="P145" s="91"/>
      <c r="Q145" s="94"/>
      <c r="R145" s="94"/>
      <c r="S145" s="94"/>
      <c r="T145" s="91"/>
      <c r="U145" s="91"/>
      <c r="V145" s="91"/>
      <c r="W145" s="91"/>
      <c r="X145" s="91"/>
      <c r="Y145" s="94"/>
      <c r="Z145" s="91"/>
      <c r="AA145" s="91"/>
      <c r="AB145" s="94"/>
      <c r="AC145" s="98"/>
      <c r="AD145" s="94"/>
      <c r="AE145" s="98"/>
      <c r="AF145" s="98"/>
      <c r="AG145" s="91"/>
      <c r="AH145" s="91"/>
      <c r="AI145" s="94"/>
      <c r="AJ145" s="91"/>
      <c r="AK145" s="91"/>
    </row>
    <row r="146" spans="1:37">
      <c r="A146" s="113"/>
      <c r="B146" s="126"/>
      <c r="C146" s="91"/>
      <c r="D146" s="94"/>
      <c r="E146" s="94"/>
      <c r="F146" s="91"/>
      <c r="G146" s="94"/>
      <c r="H146" s="94"/>
      <c r="I146" s="91"/>
      <c r="J146" s="94"/>
      <c r="K146" s="94"/>
      <c r="L146" s="94"/>
      <c r="M146" s="91"/>
      <c r="N146" s="91"/>
      <c r="O146" s="94"/>
      <c r="P146" s="91"/>
      <c r="Q146" s="94"/>
      <c r="R146" s="94"/>
      <c r="S146" s="94"/>
      <c r="T146" s="91"/>
      <c r="U146" s="91"/>
      <c r="V146" s="91"/>
      <c r="W146" s="91"/>
      <c r="X146" s="91"/>
      <c r="Y146" s="94"/>
      <c r="Z146" s="91"/>
      <c r="AA146" s="91"/>
      <c r="AB146" s="94"/>
      <c r="AC146" s="98"/>
      <c r="AD146" s="94"/>
      <c r="AE146" s="98"/>
      <c r="AF146" s="98"/>
      <c r="AG146" s="91"/>
      <c r="AH146" s="91"/>
      <c r="AI146" s="94"/>
      <c r="AJ146" s="91"/>
      <c r="AK146" s="91"/>
    </row>
    <row r="147" spans="1:37">
      <c r="A147" s="113"/>
      <c r="B147" s="126"/>
      <c r="C147" s="91"/>
      <c r="D147" s="94"/>
      <c r="E147" s="94"/>
      <c r="F147" s="91"/>
      <c r="G147" s="94"/>
      <c r="H147" s="94"/>
      <c r="I147" s="91"/>
      <c r="J147" s="94"/>
      <c r="K147" s="94"/>
      <c r="L147" s="94"/>
      <c r="M147" s="91"/>
      <c r="N147" s="91"/>
      <c r="O147" s="94"/>
      <c r="P147" s="91"/>
      <c r="Q147" s="94"/>
      <c r="R147" s="94"/>
      <c r="S147" s="94"/>
      <c r="T147" s="91"/>
      <c r="U147" s="91"/>
      <c r="V147" s="91"/>
      <c r="W147" s="91"/>
      <c r="X147" s="91"/>
      <c r="Y147" s="94"/>
      <c r="Z147" s="91"/>
      <c r="AA147" s="91"/>
      <c r="AB147" s="94"/>
      <c r="AC147" s="98"/>
      <c r="AD147" s="94"/>
      <c r="AE147" s="98"/>
      <c r="AF147" s="98"/>
      <c r="AG147" s="91"/>
      <c r="AH147" s="91"/>
      <c r="AI147" s="94"/>
      <c r="AJ147" s="91"/>
      <c r="AK147" s="91"/>
    </row>
    <row r="148" spans="1:37">
      <c r="A148" s="113"/>
      <c r="B148" s="126"/>
      <c r="C148" s="91"/>
      <c r="D148" s="94"/>
      <c r="E148" s="94"/>
      <c r="F148" s="91"/>
      <c r="G148" s="94"/>
      <c r="H148" s="94"/>
      <c r="I148" s="91"/>
      <c r="J148" s="94"/>
      <c r="K148" s="94"/>
      <c r="L148" s="94"/>
      <c r="M148" s="91"/>
      <c r="N148" s="91"/>
      <c r="O148" s="94"/>
      <c r="P148" s="91"/>
      <c r="Q148" s="94"/>
      <c r="R148" s="94"/>
      <c r="S148" s="94"/>
      <c r="T148" s="91"/>
      <c r="U148" s="91"/>
      <c r="V148" s="91"/>
      <c r="W148" s="91"/>
      <c r="X148" s="91"/>
      <c r="Y148" s="94"/>
      <c r="Z148" s="91"/>
      <c r="AA148" s="91"/>
      <c r="AB148" s="94"/>
      <c r="AC148" s="98"/>
      <c r="AD148" s="94"/>
      <c r="AE148" s="98"/>
      <c r="AF148" s="98"/>
      <c r="AG148" s="91"/>
      <c r="AH148" s="91"/>
      <c r="AI148" s="94"/>
      <c r="AJ148" s="91"/>
      <c r="AK148" s="91"/>
    </row>
    <row r="149" spans="1:37">
      <c r="A149" s="113"/>
      <c r="B149" s="126"/>
      <c r="C149" s="91"/>
      <c r="D149" s="94"/>
      <c r="E149" s="94"/>
      <c r="F149" s="91"/>
      <c r="G149" s="94"/>
      <c r="H149" s="94"/>
      <c r="I149" s="91"/>
      <c r="J149" s="94"/>
      <c r="K149" s="94"/>
      <c r="L149" s="94"/>
      <c r="M149" s="91"/>
      <c r="N149" s="91"/>
      <c r="O149" s="94"/>
      <c r="P149" s="91"/>
      <c r="Q149" s="94"/>
      <c r="R149" s="94"/>
      <c r="S149" s="94"/>
      <c r="T149" s="91"/>
      <c r="U149" s="91"/>
      <c r="V149" s="91"/>
      <c r="W149" s="91"/>
      <c r="X149" s="91"/>
      <c r="Y149" s="94"/>
      <c r="Z149" s="91"/>
      <c r="AA149" s="91"/>
      <c r="AB149" s="94"/>
      <c r="AC149" s="98"/>
      <c r="AD149" s="94"/>
      <c r="AE149" s="98"/>
      <c r="AF149" s="98"/>
      <c r="AG149" s="91"/>
      <c r="AH149" s="91"/>
      <c r="AI149" s="94"/>
      <c r="AJ149" s="91"/>
      <c r="AK149" s="91"/>
    </row>
    <row r="150" spans="1:37">
      <c r="A150" s="113"/>
      <c r="B150" s="126"/>
      <c r="C150" s="91"/>
      <c r="D150" s="94"/>
      <c r="E150" s="94"/>
      <c r="F150" s="91"/>
      <c r="G150" s="94"/>
      <c r="H150" s="94"/>
      <c r="I150" s="91"/>
      <c r="J150" s="94"/>
      <c r="K150" s="94"/>
      <c r="L150" s="94"/>
      <c r="M150" s="91"/>
      <c r="N150" s="91"/>
      <c r="O150" s="94"/>
      <c r="P150" s="91"/>
      <c r="Q150" s="94"/>
      <c r="R150" s="94"/>
      <c r="S150" s="94"/>
      <c r="T150" s="91"/>
      <c r="U150" s="91"/>
      <c r="V150" s="91"/>
      <c r="W150" s="91"/>
      <c r="X150" s="91"/>
      <c r="Y150" s="94"/>
      <c r="Z150" s="91"/>
      <c r="AA150" s="91"/>
      <c r="AB150" s="94"/>
      <c r="AC150" s="98"/>
      <c r="AD150" s="94"/>
      <c r="AE150" s="98"/>
      <c r="AF150" s="98"/>
      <c r="AG150" s="91"/>
      <c r="AH150" s="91"/>
      <c r="AI150" s="94"/>
      <c r="AJ150" s="91"/>
      <c r="AK150" s="91"/>
    </row>
    <row r="151" spans="1:37">
      <c r="A151" s="113"/>
      <c r="B151" s="126"/>
      <c r="C151" s="91"/>
      <c r="D151" s="94"/>
      <c r="E151" s="94"/>
      <c r="F151" s="91"/>
      <c r="G151" s="94"/>
      <c r="H151" s="94"/>
      <c r="I151" s="91"/>
      <c r="J151" s="94"/>
      <c r="K151" s="94"/>
      <c r="L151" s="94"/>
      <c r="M151" s="91"/>
      <c r="N151" s="91"/>
      <c r="O151" s="94"/>
      <c r="P151" s="91"/>
      <c r="Q151" s="94"/>
      <c r="R151" s="94"/>
      <c r="S151" s="94"/>
      <c r="T151" s="91"/>
      <c r="U151" s="91"/>
      <c r="V151" s="91"/>
      <c r="W151" s="91"/>
      <c r="X151" s="91"/>
      <c r="Y151" s="94"/>
      <c r="Z151" s="91"/>
      <c r="AA151" s="91"/>
      <c r="AB151" s="94"/>
      <c r="AC151" s="98"/>
      <c r="AD151" s="94"/>
      <c r="AE151" s="98"/>
      <c r="AF151" s="98"/>
      <c r="AG151" s="91"/>
      <c r="AH151" s="91"/>
      <c r="AI151" s="94"/>
      <c r="AJ151" s="91"/>
      <c r="AK151" s="91"/>
    </row>
    <row r="152" spans="1:37">
      <c r="A152" s="113"/>
      <c r="B152" s="126"/>
      <c r="C152" s="91"/>
      <c r="D152" s="94"/>
      <c r="E152" s="94"/>
      <c r="F152" s="91"/>
      <c r="G152" s="94"/>
      <c r="H152" s="94"/>
      <c r="I152" s="91"/>
      <c r="J152" s="94"/>
      <c r="K152" s="94"/>
      <c r="L152" s="94"/>
      <c r="M152" s="91"/>
      <c r="N152" s="91"/>
      <c r="O152" s="94"/>
      <c r="P152" s="91"/>
      <c r="Q152" s="94"/>
      <c r="R152" s="94"/>
      <c r="S152" s="94"/>
      <c r="T152" s="91"/>
      <c r="U152" s="91"/>
      <c r="V152" s="91"/>
      <c r="W152" s="91"/>
      <c r="X152" s="91"/>
      <c r="Y152" s="94"/>
      <c r="Z152" s="91"/>
      <c r="AA152" s="91"/>
      <c r="AB152" s="94"/>
      <c r="AC152" s="98"/>
      <c r="AD152" s="94"/>
      <c r="AE152" s="98"/>
      <c r="AF152" s="98"/>
      <c r="AG152" s="91"/>
      <c r="AH152" s="91"/>
      <c r="AI152" s="94"/>
      <c r="AJ152" s="91"/>
      <c r="AK152" s="91"/>
    </row>
    <row r="153" spans="1:37">
      <c r="A153" s="113"/>
      <c r="B153" s="126"/>
      <c r="C153" s="91"/>
      <c r="D153" s="94"/>
      <c r="E153" s="94"/>
      <c r="F153" s="91"/>
      <c r="G153" s="94"/>
      <c r="H153" s="94"/>
      <c r="I153" s="91"/>
      <c r="J153" s="94"/>
      <c r="K153" s="94"/>
      <c r="L153" s="94"/>
      <c r="M153" s="91"/>
      <c r="N153" s="91"/>
      <c r="O153" s="94"/>
      <c r="P153" s="91"/>
      <c r="Q153" s="94"/>
      <c r="R153" s="94"/>
      <c r="S153" s="94"/>
      <c r="T153" s="91"/>
      <c r="U153" s="91"/>
      <c r="V153" s="91"/>
      <c r="W153" s="91"/>
      <c r="X153" s="91"/>
      <c r="Y153" s="94"/>
      <c r="Z153" s="91"/>
      <c r="AA153" s="91"/>
      <c r="AB153" s="94"/>
      <c r="AC153" s="98"/>
      <c r="AD153" s="94"/>
      <c r="AE153" s="98"/>
      <c r="AF153" s="98"/>
      <c r="AG153" s="91"/>
      <c r="AH153" s="91"/>
      <c r="AI153" s="94"/>
      <c r="AJ153" s="91"/>
      <c r="AK153" s="91"/>
    </row>
    <row r="154" spans="1:37">
      <c r="A154" s="113"/>
      <c r="B154" s="126"/>
      <c r="C154" s="91"/>
      <c r="D154" s="94"/>
      <c r="E154" s="94"/>
      <c r="F154" s="91"/>
      <c r="G154" s="94"/>
      <c r="H154" s="94"/>
      <c r="I154" s="91"/>
      <c r="J154" s="94"/>
      <c r="K154" s="94"/>
      <c r="L154" s="94"/>
      <c r="M154" s="91"/>
      <c r="N154" s="91"/>
      <c r="O154" s="94"/>
      <c r="P154" s="91"/>
      <c r="Q154" s="94"/>
      <c r="R154" s="94"/>
      <c r="S154" s="94"/>
      <c r="T154" s="91"/>
      <c r="U154" s="91"/>
      <c r="V154" s="91"/>
      <c r="W154" s="91"/>
      <c r="X154" s="91"/>
      <c r="Y154" s="94"/>
      <c r="Z154" s="91"/>
      <c r="AA154" s="91"/>
      <c r="AB154" s="94"/>
      <c r="AC154" s="98"/>
      <c r="AD154" s="94"/>
      <c r="AE154" s="98"/>
      <c r="AF154" s="98"/>
      <c r="AG154" s="91"/>
      <c r="AH154" s="91"/>
      <c r="AI154" s="94"/>
      <c r="AJ154" s="91"/>
      <c r="AK154" s="91"/>
    </row>
    <row r="155" spans="1:37">
      <c r="A155" s="113"/>
      <c r="B155" s="126"/>
      <c r="C155" s="91"/>
      <c r="D155" s="94"/>
      <c r="E155" s="94"/>
      <c r="F155" s="91"/>
      <c r="G155" s="94"/>
      <c r="H155" s="94"/>
      <c r="I155" s="91"/>
      <c r="J155" s="94"/>
      <c r="K155" s="94"/>
      <c r="L155" s="94"/>
      <c r="M155" s="91"/>
      <c r="N155" s="91"/>
      <c r="O155" s="94"/>
      <c r="P155" s="91"/>
      <c r="Q155" s="94"/>
      <c r="R155" s="94"/>
      <c r="S155" s="94"/>
      <c r="T155" s="91"/>
      <c r="U155" s="91"/>
      <c r="V155" s="91"/>
      <c r="W155" s="91"/>
      <c r="X155" s="91"/>
      <c r="Y155" s="94"/>
      <c r="Z155" s="91"/>
      <c r="AA155" s="91"/>
      <c r="AB155" s="94"/>
      <c r="AC155" s="98"/>
      <c r="AD155" s="94"/>
      <c r="AE155" s="98"/>
      <c r="AF155" s="98"/>
      <c r="AG155" s="91"/>
      <c r="AH155" s="91"/>
      <c r="AI155" s="94"/>
      <c r="AJ155" s="91"/>
      <c r="AK155" s="91"/>
    </row>
    <row r="156" spans="1:37">
      <c r="A156" s="113"/>
      <c r="B156" s="126"/>
      <c r="C156" s="91"/>
      <c r="D156" s="94"/>
      <c r="E156" s="94"/>
      <c r="F156" s="91"/>
      <c r="G156" s="94"/>
      <c r="H156" s="94"/>
      <c r="I156" s="91"/>
      <c r="J156" s="94"/>
      <c r="K156" s="94"/>
      <c r="L156" s="94"/>
      <c r="M156" s="91"/>
      <c r="N156" s="91"/>
      <c r="O156" s="94"/>
      <c r="P156" s="91"/>
      <c r="Q156" s="94"/>
      <c r="R156" s="94"/>
      <c r="S156" s="94"/>
      <c r="T156" s="91"/>
      <c r="U156" s="91"/>
      <c r="V156" s="91"/>
      <c r="W156" s="91"/>
      <c r="X156" s="91"/>
      <c r="Y156" s="94"/>
      <c r="Z156" s="91"/>
      <c r="AA156" s="91"/>
      <c r="AB156" s="94"/>
      <c r="AC156" s="98"/>
      <c r="AD156" s="94"/>
      <c r="AE156" s="98"/>
      <c r="AF156" s="98"/>
      <c r="AG156" s="91"/>
      <c r="AH156" s="91"/>
      <c r="AI156" s="94"/>
      <c r="AJ156" s="91"/>
      <c r="AK156" s="91"/>
    </row>
    <row r="157" spans="1:37">
      <c r="A157" s="113"/>
      <c r="B157" s="126"/>
      <c r="C157" s="91"/>
      <c r="D157" s="94"/>
      <c r="E157" s="94"/>
      <c r="F157" s="91"/>
      <c r="G157" s="94"/>
      <c r="H157" s="94"/>
      <c r="I157" s="91"/>
      <c r="J157" s="94"/>
      <c r="K157" s="94"/>
      <c r="L157" s="94"/>
      <c r="M157" s="91"/>
      <c r="N157" s="91"/>
      <c r="O157" s="94"/>
      <c r="P157" s="91"/>
      <c r="Q157" s="94"/>
      <c r="R157" s="94"/>
      <c r="S157" s="94"/>
      <c r="T157" s="91"/>
      <c r="U157" s="91"/>
      <c r="V157" s="91"/>
      <c r="W157" s="91"/>
      <c r="X157" s="91"/>
      <c r="Y157" s="94"/>
      <c r="Z157" s="91"/>
      <c r="AA157" s="91"/>
      <c r="AB157" s="94"/>
      <c r="AC157" s="98"/>
      <c r="AD157" s="94"/>
      <c r="AE157" s="98"/>
      <c r="AF157" s="98"/>
      <c r="AG157" s="91"/>
      <c r="AH157" s="91"/>
      <c r="AI157" s="94"/>
      <c r="AJ157" s="91"/>
      <c r="AK157" s="91"/>
    </row>
    <row r="158" spans="1:37">
      <c r="A158" s="113"/>
      <c r="B158" s="126"/>
      <c r="C158" s="91"/>
      <c r="D158" s="94"/>
      <c r="E158" s="94"/>
      <c r="F158" s="91"/>
      <c r="G158" s="94"/>
      <c r="H158" s="94"/>
      <c r="I158" s="91"/>
      <c r="J158" s="94"/>
      <c r="K158" s="94"/>
      <c r="L158" s="94"/>
      <c r="M158" s="91"/>
      <c r="N158" s="91"/>
      <c r="O158" s="94"/>
      <c r="P158" s="91"/>
      <c r="Q158" s="94"/>
      <c r="R158" s="94"/>
      <c r="S158" s="94"/>
      <c r="T158" s="91"/>
      <c r="U158" s="91"/>
      <c r="V158" s="91"/>
      <c r="W158" s="91"/>
      <c r="X158" s="91"/>
      <c r="Y158" s="94"/>
      <c r="Z158" s="91"/>
      <c r="AA158" s="91"/>
      <c r="AB158" s="94"/>
      <c r="AC158" s="98"/>
      <c r="AD158" s="94"/>
      <c r="AE158" s="98"/>
      <c r="AF158" s="98"/>
      <c r="AG158" s="91"/>
      <c r="AH158" s="91"/>
      <c r="AI158" s="94"/>
      <c r="AJ158" s="91"/>
      <c r="AK158" s="91"/>
    </row>
    <row r="159" spans="1:37">
      <c r="A159" s="113"/>
      <c r="B159" s="126"/>
      <c r="C159" s="91"/>
      <c r="D159" s="94"/>
      <c r="E159" s="94"/>
      <c r="F159" s="91"/>
      <c r="G159" s="94"/>
      <c r="H159" s="94"/>
      <c r="I159" s="91"/>
      <c r="J159" s="94"/>
      <c r="K159" s="94"/>
      <c r="L159" s="94"/>
      <c r="M159" s="91"/>
      <c r="N159" s="91"/>
      <c r="O159" s="94"/>
      <c r="P159" s="91"/>
      <c r="Q159" s="94"/>
      <c r="R159" s="94"/>
      <c r="S159" s="94"/>
      <c r="T159" s="91"/>
      <c r="U159" s="91"/>
      <c r="V159" s="91"/>
      <c r="W159" s="91"/>
      <c r="X159" s="91"/>
      <c r="Y159" s="94"/>
      <c r="Z159" s="91"/>
      <c r="AA159" s="91"/>
      <c r="AB159" s="94"/>
      <c r="AC159" s="98"/>
      <c r="AD159" s="94"/>
      <c r="AE159" s="98"/>
      <c r="AF159" s="98"/>
      <c r="AG159" s="91"/>
      <c r="AH159" s="91"/>
      <c r="AI159" s="94"/>
      <c r="AJ159" s="91"/>
      <c r="AK159" s="91"/>
    </row>
    <row r="160" spans="1:37">
      <c r="A160" s="113"/>
      <c r="B160" s="126"/>
      <c r="C160" s="91"/>
      <c r="D160" s="94"/>
      <c r="E160" s="94"/>
      <c r="F160" s="91"/>
      <c r="G160" s="94"/>
      <c r="H160" s="94"/>
      <c r="I160" s="91"/>
      <c r="J160" s="94"/>
      <c r="K160" s="94"/>
      <c r="L160" s="94"/>
      <c r="M160" s="91"/>
      <c r="N160" s="91"/>
      <c r="O160" s="94"/>
      <c r="P160" s="91"/>
      <c r="Q160" s="94"/>
      <c r="R160" s="94"/>
      <c r="S160" s="94"/>
      <c r="T160" s="91"/>
      <c r="U160" s="91"/>
      <c r="V160" s="91"/>
      <c r="W160" s="91"/>
      <c r="X160" s="91"/>
      <c r="Y160" s="94"/>
      <c r="Z160" s="91"/>
      <c r="AA160" s="91"/>
      <c r="AB160" s="94"/>
      <c r="AC160" s="98"/>
      <c r="AD160" s="94"/>
      <c r="AE160" s="98"/>
      <c r="AF160" s="98"/>
      <c r="AG160" s="91"/>
      <c r="AH160" s="91"/>
      <c r="AI160" s="94"/>
      <c r="AJ160" s="91"/>
      <c r="AK160" s="91"/>
    </row>
    <row r="161" spans="1:37">
      <c r="A161" s="113"/>
      <c r="B161" s="126"/>
      <c r="C161" s="91"/>
      <c r="D161" s="94"/>
      <c r="E161" s="94"/>
      <c r="F161" s="91"/>
      <c r="G161" s="94"/>
      <c r="H161" s="94"/>
      <c r="I161" s="91"/>
      <c r="J161" s="94"/>
      <c r="K161" s="94"/>
      <c r="L161" s="94"/>
      <c r="M161" s="91"/>
      <c r="N161" s="91"/>
      <c r="O161" s="94"/>
      <c r="P161" s="91"/>
      <c r="Q161" s="94"/>
      <c r="R161" s="94"/>
      <c r="S161" s="94"/>
      <c r="T161" s="91"/>
      <c r="U161" s="91"/>
      <c r="V161" s="91"/>
      <c r="W161" s="91"/>
      <c r="X161" s="91"/>
      <c r="Y161" s="94"/>
      <c r="Z161" s="91"/>
      <c r="AA161" s="91"/>
      <c r="AB161" s="94"/>
      <c r="AC161" s="98"/>
      <c r="AD161" s="94"/>
      <c r="AE161" s="98"/>
      <c r="AF161" s="98"/>
      <c r="AG161" s="91"/>
      <c r="AH161" s="91"/>
      <c r="AI161" s="94"/>
      <c r="AJ161" s="91"/>
      <c r="AK161" s="91"/>
    </row>
    <row r="162" spans="1:37">
      <c r="A162" s="126"/>
      <c r="B162" s="126"/>
      <c r="C162" s="91"/>
      <c r="D162" s="91"/>
      <c r="E162" s="91"/>
      <c r="F162" s="94"/>
      <c r="G162" s="91"/>
      <c r="H162" s="91"/>
      <c r="I162" s="91"/>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row>
    <row r="163" spans="1:37">
      <c r="A163" s="126"/>
      <c r="B163" s="126"/>
      <c r="C163" s="91"/>
      <c r="D163" s="91"/>
      <c r="E163" s="91"/>
      <c r="F163" s="94"/>
      <c r="G163" s="91"/>
      <c r="H163" s="91"/>
      <c r="I163" s="91"/>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row>
    <row r="164" spans="1:37">
      <c r="A164" s="126"/>
      <c r="B164" s="126"/>
      <c r="C164" s="91"/>
      <c r="D164" s="91"/>
      <c r="E164" s="91"/>
      <c r="F164" s="94"/>
      <c r="G164" s="91"/>
      <c r="H164" s="91"/>
      <c r="I164" s="91"/>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row>
    <row r="165" spans="1:37">
      <c r="A165" s="126"/>
      <c r="B165" s="126"/>
      <c r="C165" s="91"/>
      <c r="D165" s="91"/>
      <c r="E165" s="91"/>
      <c r="F165" s="94"/>
      <c r="G165" s="91"/>
      <c r="H165" s="91"/>
      <c r="I165" s="91"/>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row>
    <row r="166" spans="1:37">
      <c r="A166" s="126"/>
      <c r="B166" s="126"/>
      <c r="C166" s="91"/>
      <c r="D166" s="91"/>
      <c r="E166" s="91"/>
      <c r="F166" s="94"/>
      <c r="G166" s="91"/>
      <c r="H166" s="91"/>
      <c r="I166" s="91"/>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row>
    <row r="167" spans="1:37">
      <c r="A167" s="126"/>
      <c r="B167" s="126"/>
      <c r="C167" s="91"/>
      <c r="D167" s="91"/>
      <c r="E167" s="91"/>
      <c r="F167" s="94"/>
      <c r="G167" s="91"/>
      <c r="H167" s="91"/>
      <c r="I167" s="91"/>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row>
    <row r="168" spans="1:37">
      <c r="A168" s="126"/>
      <c r="B168" s="126"/>
      <c r="C168" s="91"/>
      <c r="D168" s="91"/>
      <c r="E168" s="91"/>
      <c r="F168" s="94"/>
      <c r="G168" s="91"/>
      <c r="H168" s="91"/>
      <c r="I168" s="91"/>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row>
    <row r="169" spans="1:37">
      <c r="A169" s="126"/>
      <c r="B169" s="126"/>
      <c r="C169" s="91"/>
      <c r="D169" s="91"/>
      <c r="E169" s="91"/>
      <c r="F169" s="94"/>
      <c r="G169" s="91"/>
      <c r="H169" s="91"/>
      <c r="I169" s="91"/>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row>
    <row r="170" spans="1:37">
      <c r="A170" s="126"/>
      <c r="B170" s="126"/>
      <c r="C170" s="91"/>
      <c r="D170" s="91"/>
      <c r="E170" s="91"/>
      <c r="F170" s="94"/>
      <c r="G170" s="91"/>
      <c r="H170" s="91"/>
      <c r="I170" s="91"/>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row>
    <row r="171" spans="1:37">
      <c r="A171" s="126"/>
      <c r="B171" s="126"/>
      <c r="C171" s="91"/>
      <c r="D171" s="91"/>
      <c r="E171" s="91"/>
      <c r="F171" s="94"/>
      <c r="G171" s="91"/>
      <c r="H171" s="91"/>
      <c r="I171" s="91"/>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row>
    <row r="172" spans="1:37">
      <c r="A172" s="126"/>
      <c r="B172" s="126"/>
      <c r="C172" s="91"/>
      <c r="D172" s="91"/>
      <c r="E172" s="91"/>
      <c r="F172" s="94"/>
      <c r="G172" s="91"/>
      <c r="H172" s="91"/>
      <c r="I172" s="91"/>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row>
    <row r="173" spans="1:37">
      <c r="A173" s="126"/>
      <c r="B173" s="126"/>
      <c r="C173" s="91"/>
      <c r="D173" s="91"/>
      <c r="E173" s="91"/>
      <c r="F173" s="94"/>
      <c r="G173" s="91"/>
      <c r="H173" s="91"/>
      <c r="I173" s="91"/>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row>
    <row r="174" spans="1:37">
      <c r="A174" s="126"/>
      <c r="B174" s="126"/>
      <c r="C174" s="91"/>
      <c r="D174" s="91"/>
      <c r="E174" s="91"/>
      <c r="F174" s="94"/>
      <c r="G174" s="91"/>
      <c r="H174" s="91"/>
      <c r="I174" s="91"/>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row>
    <row r="175" spans="1:37">
      <c r="A175" s="126"/>
      <c r="B175" s="126"/>
      <c r="C175" s="91"/>
      <c r="D175" s="91"/>
      <c r="E175" s="91"/>
      <c r="F175" s="94"/>
      <c r="G175" s="91"/>
      <c r="H175" s="91"/>
      <c r="I175" s="91"/>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row>
    <row r="176" spans="1:37">
      <c r="A176" s="126"/>
      <c r="B176" s="126"/>
      <c r="C176" s="91"/>
      <c r="D176" s="91"/>
      <c r="E176" s="91"/>
      <c r="F176" s="94"/>
      <c r="G176" s="91"/>
      <c r="H176" s="91"/>
      <c r="I176" s="91"/>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row>
    <row r="177" spans="1:37">
      <c r="A177" s="126"/>
      <c r="B177" s="126"/>
      <c r="C177" s="91"/>
      <c r="D177" s="91"/>
      <c r="E177" s="91"/>
      <c r="F177" s="94"/>
      <c r="G177" s="91"/>
      <c r="H177" s="91"/>
      <c r="I177" s="91"/>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row>
    <row r="178" spans="1:37">
      <c r="A178" s="126"/>
      <c r="B178" s="126"/>
      <c r="C178" s="91"/>
      <c r="D178" s="91"/>
      <c r="E178" s="91"/>
      <c r="F178" s="94"/>
      <c r="G178" s="91"/>
      <c r="H178" s="91"/>
      <c r="I178" s="91"/>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row>
    <row r="179" spans="1:37">
      <c r="A179" s="126"/>
      <c r="B179" s="126"/>
      <c r="C179" s="91"/>
      <c r="D179" s="91"/>
      <c r="E179" s="91"/>
      <c r="F179" s="94"/>
      <c r="G179" s="91"/>
      <c r="H179" s="91"/>
      <c r="I179" s="91"/>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row>
    <row r="180" spans="1:37">
      <c r="A180" s="126"/>
      <c r="B180" s="126"/>
      <c r="C180" s="91"/>
      <c r="D180" s="91"/>
      <c r="E180" s="91"/>
      <c r="F180" s="94"/>
      <c r="G180" s="91"/>
      <c r="H180" s="91"/>
      <c r="I180" s="91"/>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row>
    <row r="181" spans="1:37">
      <c r="A181" s="126"/>
      <c r="B181" s="126"/>
      <c r="C181" s="91"/>
      <c r="D181" s="91"/>
      <c r="E181" s="91"/>
      <c r="F181" s="94"/>
      <c r="G181" s="91"/>
      <c r="H181" s="91"/>
      <c r="I181" s="91"/>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row>
    <row r="182" spans="1:37">
      <c r="A182" s="126"/>
      <c r="B182" s="126"/>
      <c r="C182" s="91"/>
      <c r="D182" s="91"/>
      <c r="E182" s="91"/>
      <c r="F182" s="94"/>
      <c r="G182" s="91"/>
      <c r="H182" s="91"/>
      <c r="I182" s="91"/>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row>
    <row r="183" spans="1:37">
      <c r="A183" s="126"/>
      <c r="B183" s="126"/>
      <c r="C183" s="91"/>
      <c r="D183" s="91"/>
      <c r="E183" s="91"/>
      <c r="F183" s="94"/>
      <c r="G183" s="91"/>
      <c r="H183" s="91"/>
      <c r="I183" s="91"/>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row>
    <row r="184" spans="1:37">
      <c r="A184" s="126"/>
      <c r="B184" s="126"/>
      <c r="C184" s="91"/>
      <c r="D184" s="91"/>
      <c r="E184" s="91"/>
      <c r="F184" s="94"/>
      <c r="G184" s="91"/>
      <c r="H184" s="91"/>
      <c r="I184" s="91"/>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row>
    <row r="185" spans="1:37">
      <c r="A185" s="126"/>
      <c r="B185" s="126"/>
      <c r="C185" s="91"/>
      <c r="D185" s="91"/>
      <c r="E185" s="91"/>
      <c r="F185" s="94"/>
      <c r="G185" s="91"/>
      <c r="H185" s="91"/>
      <c r="I185" s="91"/>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row>
    <row r="186" spans="1:37">
      <c r="A186" s="126"/>
      <c r="B186" s="126"/>
      <c r="C186" s="91"/>
      <c r="D186" s="91"/>
      <c r="E186" s="91"/>
      <c r="F186" s="94"/>
      <c r="G186" s="91"/>
      <c r="H186" s="91"/>
      <c r="I186" s="91"/>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row>
    <row r="187" spans="1:37">
      <c r="A187" s="126"/>
      <c r="B187" s="126"/>
      <c r="C187" s="91"/>
      <c r="D187" s="91"/>
      <c r="E187" s="91"/>
      <c r="F187" s="94"/>
      <c r="G187" s="91"/>
      <c r="H187" s="91"/>
      <c r="I187" s="91"/>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row>
    <row r="188" spans="1:37">
      <c r="A188" s="126"/>
      <c r="B188" s="126"/>
      <c r="C188" s="91"/>
      <c r="D188" s="91"/>
      <c r="E188" s="91"/>
      <c r="F188" s="94"/>
      <c r="G188" s="91"/>
      <c r="H188" s="91"/>
      <c r="I188" s="91"/>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row>
    <row r="189" spans="1:37">
      <c r="A189" s="126"/>
      <c r="B189" s="126"/>
      <c r="C189" s="91"/>
      <c r="D189" s="91"/>
      <c r="E189" s="91"/>
      <c r="F189" s="94"/>
      <c r="G189" s="91"/>
      <c r="H189" s="91"/>
      <c r="I189" s="91"/>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row>
    <row r="190" spans="1:37">
      <c r="A190" s="126"/>
      <c r="B190" s="126"/>
      <c r="C190" s="91"/>
      <c r="D190" s="91"/>
      <c r="E190" s="91"/>
      <c r="F190" s="94"/>
      <c r="G190" s="91"/>
      <c r="H190" s="91"/>
      <c r="I190" s="91"/>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row>
    <row r="191" spans="1:37">
      <c r="A191" s="126"/>
      <c r="B191" s="126"/>
      <c r="C191" s="91"/>
      <c r="D191" s="91"/>
      <c r="E191" s="91"/>
      <c r="F191" s="94"/>
      <c r="G191" s="91"/>
      <c r="H191" s="91"/>
      <c r="I191" s="91"/>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row>
    <row r="192" spans="1:37">
      <c r="A192" s="126"/>
      <c r="B192" s="126"/>
      <c r="C192" s="91"/>
      <c r="D192" s="91"/>
      <c r="E192" s="91"/>
      <c r="F192" s="94"/>
      <c r="G192" s="91"/>
      <c r="H192" s="91"/>
      <c r="I192" s="91"/>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row>
    <row r="193" spans="1:37">
      <c r="A193" s="126"/>
      <c r="B193" s="126"/>
      <c r="C193" s="91"/>
      <c r="D193" s="91"/>
      <c r="E193" s="91"/>
      <c r="F193" s="94"/>
      <c r="G193" s="91"/>
      <c r="H193" s="91"/>
      <c r="I193" s="91"/>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row>
    <row r="194" spans="1:37">
      <c r="A194" s="94"/>
      <c r="B194" s="94"/>
      <c r="C194" s="94"/>
      <c r="D194" s="94"/>
      <c r="E194" s="94"/>
      <c r="F194" s="94"/>
      <c r="G194" s="94"/>
      <c r="H194" s="94"/>
      <c r="I194" s="94"/>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row>
    <row r="195" spans="1:37">
      <c r="A195" s="94"/>
      <c r="B195" s="94"/>
      <c r="C195" s="94"/>
      <c r="D195" s="94"/>
      <c r="E195" s="94"/>
      <c r="F195" s="94"/>
      <c r="G195" s="94"/>
      <c r="H195" s="94"/>
      <c r="I195" s="94"/>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row>
    <row r="196" spans="1:37">
      <c r="A196" s="94"/>
      <c r="B196" s="94"/>
      <c r="C196" s="94"/>
      <c r="D196" s="94"/>
      <c r="E196" s="94"/>
      <c r="F196" s="94"/>
      <c r="G196" s="94"/>
      <c r="H196" s="94"/>
      <c r="I196" s="94"/>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row>
    <row r="197" spans="1:37">
      <c r="A197" s="94"/>
      <c r="B197" s="94"/>
      <c r="C197" s="94"/>
      <c r="D197" s="94"/>
      <c r="E197" s="94"/>
      <c r="F197" s="94"/>
      <c r="G197" s="94"/>
      <c r="H197" s="94"/>
      <c r="I197" s="94"/>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row>
    <row r="198" spans="1:37">
      <c r="A198" s="94"/>
      <c r="B198" s="94"/>
      <c r="C198" s="94"/>
      <c r="D198" s="94"/>
      <c r="E198" s="94"/>
      <c r="F198" s="94"/>
      <c r="G198" s="94"/>
      <c r="H198" s="94"/>
      <c r="I198" s="94"/>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row>
    <row r="199" spans="1:37">
      <c r="A199" s="94"/>
      <c r="B199" s="94"/>
      <c r="C199" s="94"/>
      <c r="D199" s="94"/>
      <c r="E199" s="94"/>
      <c r="F199" s="94"/>
      <c r="G199" s="94"/>
      <c r="H199" s="94"/>
      <c r="I199" s="94"/>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row>
    <row r="200" spans="1:37">
      <c r="A200" s="94"/>
      <c r="B200" s="94"/>
      <c r="C200" s="94"/>
      <c r="D200" s="94"/>
      <c r="E200" s="94"/>
      <c r="F200" s="94"/>
      <c r="G200" s="94"/>
      <c r="H200" s="94"/>
      <c r="I200" s="94"/>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row>
    <row r="201" spans="1:37">
      <c r="A201" s="94"/>
      <c r="B201" s="94"/>
      <c r="C201" s="94"/>
      <c r="D201" s="94"/>
      <c r="E201" s="94"/>
      <c r="F201" s="94"/>
      <c r="G201" s="94"/>
      <c r="H201" s="94"/>
      <c r="I201" s="94"/>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row>
    <row r="202" spans="1:37">
      <c r="A202" s="94"/>
      <c r="B202" s="94"/>
      <c r="C202" s="94"/>
      <c r="D202" s="94"/>
      <c r="E202" s="94"/>
      <c r="F202" s="94"/>
      <c r="G202" s="94"/>
      <c r="H202" s="94"/>
      <c r="I202" s="94"/>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row>
    <row r="203" spans="1:37">
      <c r="A203" s="94"/>
      <c r="B203" s="94"/>
      <c r="C203" s="94"/>
      <c r="D203" s="94"/>
      <c r="E203" s="94"/>
      <c r="F203" s="94"/>
      <c r="G203" s="94"/>
      <c r="H203" s="94"/>
      <c r="I203" s="94"/>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row>
    <row r="204" spans="1:37">
      <c r="A204" s="94"/>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row>
    <row r="205" spans="1:37">
      <c r="A205" s="94"/>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row>
    <row r="206" spans="1:37">
      <c r="A206" s="94"/>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row>
    <row r="207" spans="1:37">
      <c r="A207" s="94"/>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row>
    <row r="208" spans="1:37">
      <c r="A208" s="94"/>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row>
    <row r="209" spans="1:37">
      <c r="A209" s="94"/>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row>
    <row r="210" spans="1:37">
      <c r="A210" s="94"/>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row>
    <row r="211" spans="1:37">
      <c r="A211" s="94"/>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row>
    <row r="212" spans="1:37">
      <c r="A212" s="94"/>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row>
    <row r="213" spans="1:37">
      <c r="A213" s="94"/>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row>
    <row r="214" spans="1:37">
      <c r="A214" s="94"/>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row>
    <row r="215" spans="1:37">
      <c r="A215" s="94"/>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row>
    <row r="216" spans="1:37">
      <c r="A216" s="94"/>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row>
    <row r="217" spans="1:37">
      <c r="A217" s="94"/>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row>
    <row r="218" spans="1:37">
      <c r="A218" s="94"/>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row>
    <row r="219" spans="1:37">
      <c r="A219" s="94"/>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row>
    <row r="220" spans="1:37">
      <c r="A220" s="94"/>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row>
    <row r="221" spans="1:37">
      <c r="A221" s="94"/>
      <c r="B221" s="94"/>
      <c r="C221" s="94"/>
      <c r="D221" s="94"/>
      <c r="E221" s="94"/>
      <c r="F221" s="94"/>
      <c r="G221" s="94"/>
      <c r="H221" s="94"/>
      <c r="I221" s="94"/>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row>
    <row r="222" spans="1:37">
      <c r="A222" s="94"/>
      <c r="B222" s="94"/>
      <c r="C222" s="94"/>
      <c r="D222" s="94"/>
      <c r="E222" s="94"/>
      <c r="F222" s="94"/>
      <c r="G222" s="94"/>
      <c r="H222" s="94"/>
      <c r="I222" s="94"/>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row>
    <row r="223" spans="1:37">
      <c r="A223" s="94"/>
      <c r="B223" s="94"/>
      <c r="C223" s="94"/>
      <c r="D223" s="94"/>
      <c r="E223" s="94"/>
      <c r="F223" s="94"/>
      <c r="G223" s="94"/>
      <c r="H223" s="94"/>
      <c r="I223" s="94"/>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row>
    <row r="224" spans="1:37">
      <c r="A224" s="94"/>
      <c r="B224" s="94"/>
      <c r="C224" s="94"/>
      <c r="D224" s="94"/>
      <c r="E224" s="94"/>
      <c r="F224" s="94"/>
      <c r="G224" s="94"/>
      <c r="H224" s="94"/>
      <c r="I224" s="94"/>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row>
    <row r="225" spans="1:37">
      <c r="A225" s="94"/>
      <c r="B225" s="94"/>
      <c r="C225" s="94"/>
      <c r="D225" s="94"/>
      <c r="E225" s="94"/>
      <c r="F225" s="94"/>
      <c r="G225" s="94"/>
      <c r="H225" s="94"/>
      <c r="I225" s="94"/>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row>
    <row r="226" spans="1:37">
      <c r="A226" s="94"/>
      <c r="B226" s="94"/>
      <c r="C226" s="94"/>
      <c r="D226" s="94"/>
      <c r="E226" s="94"/>
      <c r="F226" s="94"/>
      <c r="G226" s="94"/>
      <c r="H226" s="94"/>
      <c r="I226" s="94"/>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row>
    <row r="227" spans="1:37">
      <c r="A227" s="94"/>
      <c r="B227" s="94"/>
      <c r="C227" s="94"/>
      <c r="D227" s="94"/>
      <c r="E227" s="94"/>
      <c r="F227" s="94"/>
      <c r="G227" s="94"/>
      <c r="H227" s="94"/>
      <c r="I227" s="94"/>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row>
    <row r="228" spans="1:37">
      <c r="A228" s="94"/>
      <c r="B228" s="94"/>
      <c r="C228" s="94"/>
      <c r="D228" s="94"/>
      <c r="E228" s="94"/>
      <c r="F228" s="94"/>
      <c r="G228" s="94"/>
      <c r="H228" s="94"/>
      <c r="I228" s="94"/>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row>
    <row r="229" spans="1:37">
      <c r="A229" s="94"/>
      <c r="B229" s="94"/>
      <c r="C229" s="94"/>
      <c r="D229" s="94"/>
      <c r="E229" s="94"/>
      <c r="F229" s="94"/>
      <c r="G229" s="94"/>
      <c r="H229" s="94"/>
      <c r="I229" s="94"/>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row>
    <row r="230" spans="1:37">
      <c r="A230" s="94"/>
      <c r="B230" s="94"/>
      <c r="C230" s="94"/>
      <c r="D230" s="94"/>
      <c r="E230" s="94"/>
      <c r="F230" s="94"/>
      <c r="G230" s="94"/>
      <c r="H230" s="94"/>
      <c r="I230" s="94"/>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row>
    <row r="231" spans="1:37">
      <c r="A231" s="94"/>
      <c r="B231" s="94"/>
      <c r="C231" s="94"/>
      <c r="D231" s="94"/>
      <c r="E231" s="94"/>
      <c r="F231" s="94"/>
      <c r="G231" s="94"/>
      <c r="H231" s="94"/>
      <c r="I231" s="94"/>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row>
    <row r="232" spans="1:37">
      <c r="A232" s="94"/>
      <c r="B232" s="94"/>
      <c r="C232" s="94"/>
      <c r="D232" s="94"/>
      <c r="E232" s="94"/>
      <c r="F232" s="94"/>
      <c r="G232" s="94"/>
      <c r="H232" s="94"/>
      <c r="I232" s="94"/>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row>
    <row r="233" spans="1:37">
      <c r="A233" s="94"/>
      <c r="B233" s="94"/>
      <c r="C233" s="94"/>
      <c r="D233" s="94"/>
      <c r="E233" s="94"/>
      <c r="F233" s="94"/>
      <c r="G233" s="94"/>
      <c r="H233" s="94"/>
      <c r="I233" s="94"/>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row>
    <row r="234" spans="1:37">
      <c r="A234" s="94"/>
      <c r="B234" s="94"/>
      <c r="C234" s="94"/>
      <c r="D234" s="94"/>
      <c r="E234" s="94"/>
      <c r="F234" s="94"/>
      <c r="G234" s="94"/>
      <c r="H234" s="94"/>
      <c r="I234" s="94"/>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row>
    <row r="235" spans="1:37">
      <c r="A235" s="94"/>
      <c r="B235" s="94"/>
      <c r="C235" s="94"/>
      <c r="D235" s="94"/>
      <c r="E235" s="94"/>
      <c r="F235" s="94"/>
      <c r="G235" s="94"/>
      <c r="H235" s="94"/>
      <c r="I235" s="94"/>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row>
    <row r="236" spans="1:37">
      <c r="A236" s="94"/>
      <c r="B236" s="94"/>
      <c r="C236" s="94"/>
      <c r="D236" s="94"/>
      <c r="E236" s="94"/>
      <c r="F236" s="94"/>
      <c r="G236" s="94"/>
      <c r="H236" s="94"/>
      <c r="I236" s="94"/>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row>
    <row r="237" spans="1:37">
      <c r="A237" s="94"/>
      <c r="B237" s="94"/>
      <c r="C237" s="94"/>
      <c r="D237" s="94"/>
      <c r="E237" s="94"/>
      <c r="F237" s="94"/>
      <c r="G237" s="94"/>
      <c r="H237" s="94"/>
      <c r="I237" s="94"/>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row>
    <row r="238" spans="1:37">
      <c r="A238" s="94"/>
      <c r="B238" s="94"/>
      <c r="C238" s="94"/>
      <c r="D238" s="94"/>
      <c r="E238" s="94"/>
      <c r="F238" s="94"/>
      <c r="G238" s="94"/>
      <c r="H238" s="94"/>
      <c r="I238" s="94"/>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row>
    <row r="239" spans="1:37">
      <c r="A239" s="94"/>
      <c r="B239" s="94"/>
      <c r="C239" s="94"/>
      <c r="D239" s="94"/>
      <c r="E239" s="94"/>
      <c r="F239" s="94"/>
      <c r="G239" s="94"/>
      <c r="H239" s="94"/>
      <c r="I239" s="94"/>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row>
    <row r="240" spans="1:37">
      <c r="A240" s="94"/>
      <c r="B240" s="94"/>
      <c r="C240" s="94"/>
      <c r="D240" s="94"/>
      <c r="E240" s="94"/>
      <c r="F240" s="94"/>
      <c r="G240" s="94"/>
      <c r="H240" s="94"/>
      <c r="I240" s="94"/>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row>
    <row r="241" spans="1:37">
      <c r="A241" s="94"/>
      <c r="B241" s="94"/>
      <c r="C241" s="94"/>
      <c r="D241" s="94"/>
      <c r="E241" s="94"/>
      <c r="F241" s="94"/>
      <c r="G241" s="94"/>
      <c r="H241" s="94"/>
      <c r="I241" s="94"/>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row>
    <row r="242" spans="1:37">
      <c r="A242" s="94"/>
      <c r="B242" s="94"/>
      <c r="C242" s="94"/>
      <c r="D242" s="94"/>
      <c r="E242" s="94"/>
      <c r="F242" s="94"/>
      <c r="G242" s="94"/>
      <c r="H242" s="94"/>
      <c r="I242" s="94"/>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row>
    <row r="243" spans="1:37">
      <c r="A243" s="94"/>
      <c r="B243" s="94"/>
      <c r="C243" s="94"/>
      <c r="D243" s="94"/>
      <c r="E243" s="94"/>
      <c r="F243" s="94"/>
      <c r="G243" s="94"/>
      <c r="H243" s="94"/>
      <c r="I243" s="94"/>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row>
    <row r="244" spans="1:37">
      <c r="A244" s="94"/>
      <c r="B244" s="94"/>
      <c r="C244" s="94"/>
      <c r="D244" s="94"/>
      <c r="E244" s="94"/>
      <c r="F244" s="94"/>
      <c r="G244" s="94"/>
      <c r="H244" s="94"/>
      <c r="I244" s="94"/>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row>
    <row r="245" spans="1:37">
      <c r="A245" s="94"/>
      <c r="B245" s="94"/>
      <c r="C245" s="94"/>
      <c r="D245" s="94"/>
      <c r="E245" s="94"/>
      <c r="F245" s="94"/>
      <c r="G245" s="94"/>
      <c r="H245" s="94"/>
      <c r="I245" s="94"/>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row>
    <row r="246" spans="1:37">
      <c r="A246" s="94"/>
      <c r="B246" s="94"/>
      <c r="C246" s="94"/>
      <c r="D246" s="94"/>
      <c r="E246" s="94"/>
      <c r="F246" s="94"/>
      <c r="G246" s="94"/>
      <c r="H246" s="94"/>
      <c r="I246" s="94"/>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row>
    <row r="247" spans="1:37">
      <c r="A247" s="94"/>
      <c r="B247" s="94"/>
      <c r="C247" s="94"/>
      <c r="D247" s="94"/>
      <c r="E247" s="94"/>
      <c r="F247" s="94"/>
      <c r="G247" s="94"/>
      <c r="H247" s="94"/>
      <c r="I247" s="94"/>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row>
    <row r="248" spans="1:37">
      <c r="A248" s="94"/>
      <c r="B248" s="94"/>
      <c r="C248" s="94"/>
      <c r="D248" s="94"/>
      <c r="E248" s="94"/>
      <c r="F248" s="94"/>
      <c r="G248" s="94"/>
      <c r="H248" s="94"/>
      <c r="I248" s="94"/>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row>
    <row r="249" spans="1:37">
      <c r="A249" s="94"/>
      <c r="B249" s="94"/>
      <c r="C249" s="94"/>
      <c r="D249" s="94"/>
      <c r="E249" s="94"/>
      <c r="F249" s="94"/>
      <c r="G249" s="94"/>
      <c r="H249" s="94"/>
      <c r="I249" s="94"/>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row>
    <row r="250" spans="1:37">
      <c r="A250" s="94"/>
      <c r="B250" s="94"/>
      <c r="C250" s="94"/>
      <c r="D250" s="94"/>
      <c r="E250" s="94"/>
      <c r="F250" s="94"/>
      <c r="G250" s="94"/>
      <c r="H250" s="94"/>
      <c r="I250" s="94"/>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row>
    <row r="251" spans="1:37">
      <c r="A251" s="94"/>
      <c r="B251" s="94"/>
      <c r="C251" s="94"/>
      <c r="D251" s="94"/>
      <c r="E251" s="94"/>
      <c r="F251" s="94"/>
      <c r="G251" s="94"/>
      <c r="H251" s="94"/>
      <c r="I251" s="94"/>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row>
    <row r="252" spans="1:37">
      <c r="A252" s="94"/>
      <c r="B252" s="94"/>
      <c r="C252" s="94"/>
      <c r="D252" s="94"/>
      <c r="E252" s="94"/>
      <c r="F252" s="94"/>
      <c r="G252" s="94"/>
      <c r="H252" s="94"/>
      <c r="I252" s="94"/>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row>
    <row r="253" spans="1:37">
      <c r="A253" s="94"/>
      <c r="B253" s="94"/>
      <c r="C253" s="94"/>
      <c r="D253" s="94"/>
      <c r="E253" s="94"/>
      <c r="F253" s="94"/>
      <c r="G253" s="94"/>
      <c r="H253" s="94"/>
      <c r="I253" s="94"/>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row>
    <row r="254" spans="1:37">
      <c r="A254" s="94"/>
      <c r="B254" s="94"/>
      <c r="C254" s="94"/>
      <c r="D254" s="94"/>
      <c r="E254" s="94"/>
      <c r="F254" s="94"/>
      <c r="G254" s="94"/>
      <c r="H254" s="94"/>
      <c r="I254" s="94"/>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row>
    <row r="255" spans="1:37">
      <c r="A255" s="94"/>
      <c r="B255" s="94"/>
      <c r="C255" s="94"/>
      <c r="D255" s="94"/>
      <c r="E255" s="94"/>
      <c r="F255" s="94"/>
      <c r="G255" s="94"/>
      <c r="H255" s="94"/>
      <c r="I255" s="94"/>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row>
    <row r="256" spans="1:37">
      <c r="A256" s="94"/>
      <c r="B256" s="94"/>
      <c r="C256" s="94"/>
      <c r="D256" s="94"/>
      <c r="E256" s="94"/>
      <c r="F256" s="94"/>
      <c r="G256" s="94"/>
      <c r="H256" s="94"/>
      <c r="I256" s="94"/>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row>
    <row r="257" spans="1:37">
      <c r="A257" s="94"/>
      <c r="B257" s="94"/>
      <c r="C257" s="94"/>
      <c r="D257" s="94"/>
      <c r="E257" s="94"/>
      <c r="F257" s="94"/>
      <c r="G257" s="94"/>
      <c r="H257" s="94"/>
      <c r="I257" s="94"/>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row>
    <row r="258" spans="1:37">
      <c r="A258" s="94"/>
      <c r="B258" s="94"/>
      <c r="C258" s="94"/>
      <c r="D258" s="94"/>
      <c r="E258" s="94"/>
      <c r="F258" s="94"/>
      <c r="G258" s="94"/>
      <c r="H258" s="94"/>
      <c r="I258" s="94"/>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row>
    <row r="259" spans="1:37">
      <c r="A259" s="94"/>
      <c r="B259" s="94"/>
      <c r="C259" s="94"/>
      <c r="D259" s="94"/>
      <c r="E259" s="94"/>
      <c r="F259" s="94"/>
      <c r="G259" s="94"/>
      <c r="H259" s="94"/>
      <c r="I259" s="94"/>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row>
    <row r="260" spans="1:37">
      <c r="A260" s="94"/>
      <c r="B260" s="94"/>
      <c r="C260" s="94"/>
      <c r="D260" s="94"/>
      <c r="E260" s="94"/>
      <c r="F260" s="94"/>
      <c r="G260" s="94"/>
      <c r="H260" s="94"/>
      <c r="I260" s="94"/>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row>
    <row r="261" spans="1:37">
      <c r="A261" s="94"/>
      <c r="B261" s="94"/>
      <c r="C261" s="94"/>
      <c r="D261" s="94"/>
      <c r="E261" s="94"/>
      <c r="F261" s="94"/>
      <c r="G261" s="94"/>
      <c r="H261" s="94"/>
      <c r="I261" s="94"/>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row>
    <row r="262" spans="1:37">
      <c r="A262" s="94"/>
      <c r="B262" s="94"/>
      <c r="C262" s="94"/>
      <c r="D262" s="94"/>
      <c r="E262" s="94"/>
      <c r="F262" s="94"/>
      <c r="G262" s="94"/>
      <c r="H262" s="94"/>
      <c r="I262" s="94"/>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row>
    <row r="263" spans="1:37">
      <c r="A263" s="94"/>
      <c r="B263" s="94"/>
      <c r="C263" s="94"/>
      <c r="D263" s="94"/>
      <c r="E263" s="94"/>
      <c r="F263" s="94"/>
      <c r="G263" s="94"/>
      <c r="H263" s="94"/>
      <c r="I263" s="94"/>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row>
    <row r="264" spans="1:37">
      <c r="A264" s="94"/>
      <c r="B264" s="94"/>
      <c r="C264" s="94"/>
      <c r="D264" s="94"/>
      <c r="E264" s="94"/>
      <c r="F264" s="94"/>
      <c r="G264" s="94"/>
      <c r="H264" s="94"/>
      <c r="I264" s="94"/>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row>
    <row r="265" spans="1:37">
      <c r="A265" s="94"/>
      <c r="B265" s="94"/>
      <c r="C265" s="94"/>
      <c r="D265" s="94"/>
      <c r="E265" s="94"/>
      <c r="F265" s="94"/>
      <c r="G265" s="94"/>
      <c r="H265" s="94"/>
      <c r="I265" s="94"/>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row>
    <row r="266" spans="1:37">
      <c r="A266" s="94"/>
      <c r="B266" s="94"/>
      <c r="C266" s="94"/>
      <c r="D266" s="94"/>
      <c r="E266" s="94"/>
      <c r="F266" s="94"/>
      <c r="G266" s="94"/>
      <c r="H266" s="94"/>
      <c r="I266" s="94"/>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row>
    <row r="267" spans="1:37">
      <c r="A267" s="94"/>
      <c r="B267" s="94"/>
      <c r="C267" s="94"/>
      <c r="D267" s="94"/>
      <c r="E267" s="94"/>
      <c r="F267" s="94"/>
      <c r="G267" s="94"/>
      <c r="H267" s="94"/>
      <c r="I267" s="94"/>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row>
    <row r="268" spans="1:37">
      <c r="A268" s="94"/>
      <c r="B268" s="94"/>
      <c r="C268" s="94"/>
      <c r="D268" s="94"/>
      <c r="E268" s="94"/>
      <c r="F268" s="94"/>
      <c r="G268" s="94"/>
      <c r="H268" s="94"/>
      <c r="I268" s="94"/>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row>
    <row r="269" spans="1:37">
      <c r="A269" s="94"/>
      <c r="B269" s="94"/>
      <c r="C269" s="94"/>
      <c r="D269" s="94"/>
      <c r="E269" s="94"/>
      <c r="F269" s="94"/>
      <c r="G269" s="94"/>
      <c r="H269" s="94"/>
      <c r="I269" s="94"/>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row>
    <row r="270" spans="1:37">
      <c r="A270" s="94"/>
      <c r="B270" s="94"/>
      <c r="C270" s="94"/>
      <c r="D270" s="94"/>
      <c r="E270" s="94"/>
      <c r="F270" s="94"/>
      <c r="G270" s="94"/>
      <c r="H270" s="94"/>
      <c r="I270" s="94"/>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row>
    <row r="271" spans="1:37">
      <c r="A271" s="94"/>
      <c r="B271" s="94"/>
      <c r="C271" s="94"/>
      <c r="D271" s="94"/>
      <c r="E271" s="94"/>
      <c r="F271" s="94"/>
      <c r="G271" s="94"/>
      <c r="H271" s="94"/>
      <c r="I271" s="94"/>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row>
    <row r="272" spans="1:37">
      <c r="A272" s="94"/>
      <c r="B272" s="94"/>
      <c r="C272" s="94"/>
      <c r="D272" s="94"/>
      <c r="E272" s="94"/>
      <c r="F272" s="94"/>
      <c r="G272" s="94"/>
      <c r="H272" s="94"/>
      <c r="I272" s="94"/>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row>
    <row r="273" spans="1:37">
      <c r="A273" s="94"/>
      <c r="B273" s="94"/>
      <c r="C273" s="94"/>
      <c r="D273" s="94"/>
      <c r="E273" s="94"/>
      <c r="F273" s="94"/>
      <c r="G273" s="94"/>
      <c r="H273" s="94"/>
      <c r="I273" s="94"/>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row>
    <row r="274" spans="1:37">
      <c r="A274" s="94"/>
      <c r="B274" s="94"/>
      <c r="C274" s="94"/>
      <c r="D274" s="94"/>
      <c r="E274" s="94"/>
      <c r="F274" s="94"/>
      <c r="G274" s="94"/>
      <c r="H274" s="94"/>
      <c r="I274" s="94"/>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row>
    <row r="275" spans="1:37">
      <c r="A275" s="94"/>
      <c r="B275" s="94"/>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row>
    <row r="276" spans="1:37">
      <c r="A276" s="94"/>
      <c r="B276" s="94"/>
      <c r="C276" s="94"/>
      <c r="D276" s="94"/>
      <c r="E276" s="94"/>
      <c r="F276" s="94"/>
      <c r="G276" s="94"/>
      <c r="H276" s="94"/>
      <c r="I276" s="94"/>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row>
    <row r="277" spans="1:37">
      <c r="A277" s="94"/>
      <c r="B277" s="94"/>
      <c r="C277" s="94"/>
      <c r="D277" s="94"/>
      <c r="E277" s="94"/>
      <c r="F277" s="94"/>
      <c r="G277" s="94"/>
      <c r="H277" s="94"/>
      <c r="I277" s="94"/>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row>
    <row r="278" spans="1:37">
      <c r="A278" s="94"/>
      <c r="B278" s="94"/>
      <c r="C278" s="94"/>
      <c r="D278" s="94"/>
      <c r="E278" s="94"/>
      <c r="F278" s="94"/>
      <c r="G278" s="94"/>
      <c r="H278" s="94"/>
      <c r="I278" s="94"/>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row>
    <row r="279" spans="1:37">
      <c r="A279" s="94"/>
      <c r="B279" s="94"/>
      <c r="C279" s="94"/>
      <c r="D279" s="94"/>
      <c r="E279" s="94"/>
      <c r="F279" s="94"/>
      <c r="G279" s="94"/>
      <c r="H279" s="94"/>
      <c r="I279" s="94"/>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row>
    <row r="280" spans="1:37">
      <c r="A280" s="94"/>
      <c r="B280" s="94"/>
      <c r="C280" s="94"/>
      <c r="D280" s="94"/>
      <c r="E280" s="94"/>
      <c r="F280" s="94"/>
      <c r="G280" s="94"/>
      <c r="H280" s="94"/>
      <c r="I280" s="94"/>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row>
    <row r="281" spans="1:37">
      <c r="A281" s="94"/>
      <c r="B281" s="94"/>
      <c r="C281" s="94"/>
      <c r="D281" s="94"/>
      <c r="E281" s="94"/>
      <c r="F281" s="94"/>
      <c r="G281" s="94"/>
      <c r="H281" s="94"/>
      <c r="I281" s="94"/>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row>
    <row r="282" spans="1:37">
      <c r="A282" s="94"/>
      <c r="B282" s="94"/>
      <c r="C282" s="94"/>
      <c r="D282" s="94"/>
      <c r="E282" s="94"/>
      <c r="F282" s="94"/>
      <c r="G282" s="94"/>
      <c r="H282" s="94"/>
      <c r="I282" s="94"/>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row>
    <row r="283" spans="1:37">
      <c r="A283" s="94"/>
      <c r="B283" s="94"/>
      <c r="C283" s="94"/>
      <c r="D283" s="94"/>
      <c r="E283" s="94"/>
      <c r="F283" s="94"/>
      <c r="G283" s="94"/>
      <c r="H283" s="94"/>
      <c r="I283" s="94"/>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row>
    <row r="284" spans="1:37">
      <c r="A284" s="94"/>
      <c r="B284" s="94"/>
      <c r="C284" s="94"/>
      <c r="D284" s="94"/>
      <c r="E284" s="94"/>
      <c r="F284" s="94"/>
      <c r="G284" s="94"/>
      <c r="H284" s="94"/>
      <c r="I284" s="94"/>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row>
    <row r="285" spans="1:37">
      <c r="A285" s="94"/>
      <c r="B285" s="94"/>
      <c r="C285" s="94"/>
      <c r="D285" s="94"/>
      <c r="E285" s="94"/>
      <c r="F285" s="94"/>
      <c r="G285" s="94"/>
      <c r="H285" s="94"/>
      <c r="I285" s="94"/>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row>
    <row r="286" spans="1:37">
      <c r="A286" s="94"/>
      <c r="B286" s="94"/>
      <c r="C286" s="94"/>
      <c r="D286" s="94"/>
      <c r="E286" s="94"/>
      <c r="F286" s="94"/>
      <c r="G286" s="94"/>
      <c r="H286" s="94"/>
      <c r="I286" s="94"/>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row>
    <row r="287" spans="1:37">
      <c r="A287" s="94"/>
      <c r="B287" s="94"/>
      <c r="C287" s="94"/>
      <c r="D287" s="94"/>
      <c r="E287" s="94"/>
      <c r="F287" s="94"/>
      <c r="G287" s="94"/>
      <c r="H287" s="94"/>
      <c r="I287" s="94"/>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row>
    <row r="288" spans="1:37">
      <c r="A288" s="94"/>
      <c r="B288" s="94"/>
      <c r="C288" s="94"/>
      <c r="D288" s="94"/>
      <c r="E288" s="94"/>
      <c r="F288" s="94"/>
      <c r="G288" s="94"/>
      <c r="H288" s="94"/>
      <c r="I288" s="94"/>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row>
    <row r="289" spans="1:37">
      <c r="A289" s="94"/>
      <c r="B289" s="94"/>
      <c r="C289" s="94"/>
      <c r="D289" s="94"/>
      <c r="E289" s="94"/>
      <c r="F289" s="94"/>
      <c r="G289" s="94"/>
      <c r="H289" s="94"/>
      <c r="I289" s="94"/>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row>
    <row r="290" spans="1:37">
      <c r="A290" s="94"/>
      <c r="B290" s="94"/>
      <c r="C290" s="94"/>
      <c r="D290" s="94"/>
      <c r="E290" s="94"/>
      <c r="F290" s="94"/>
      <c r="G290" s="94"/>
      <c r="H290" s="94"/>
      <c r="I290" s="94"/>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row>
    <row r="291" spans="1:37">
      <c r="A291" s="94"/>
      <c r="B291" s="94"/>
      <c r="C291" s="94"/>
      <c r="D291" s="94"/>
      <c r="E291" s="94"/>
      <c r="F291" s="94"/>
      <c r="G291" s="94"/>
      <c r="H291" s="94"/>
      <c r="I291" s="94"/>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row>
    <row r="292" spans="1:37">
      <c r="A292" s="94"/>
      <c r="B292" s="94"/>
      <c r="C292" s="94"/>
      <c r="D292" s="94"/>
      <c r="E292" s="94"/>
      <c r="F292" s="94"/>
      <c r="G292" s="94"/>
      <c r="H292" s="94"/>
      <c r="I292" s="94"/>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row>
    <row r="293" spans="1:37">
      <c r="A293" s="94"/>
      <c r="B293" s="94"/>
      <c r="C293" s="94"/>
      <c r="D293" s="94"/>
      <c r="E293" s="94"/>
      <c r="F293" s="94"/>
      <c r="G293" s="94"/>
      <c r="H293" s="94"/>
      <c r="I293" s="94"/>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row>
    <row r="294" spans="1:37">
      <c r="A294" s="94"/>
      <c r="B294" s="94"/>
      <c r="C294" s="94"/>
      <c r="D294" s="94"/>
      <c r="E294" s="94"/>
      <c r="F294" s="94"/>
      <c r="G294" s="94"/>
      <c r="H294" s="94"/>
      <c r="I294" s="94"/>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row>
    <row r="295" spans="1:37">
      <c r="A295" s="94"/>
      <c r="B295" s="94"/>
      <c r="C295" s="94"/>
      <c r="D295" s="94"/>
      <c r="E295" s="94"/>
      <c r="F295" s="94"/>
      <c r="G295" s="94"/>
      <c r="H295" s="94"/>
      <c r="I295" s="94"/>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row>
    <row r="296" spans="1:37">
      <c r="A296" s="94"/>
      <c r="B296" s="94"/>
      <c r="C296" s="94"/>
      <c r="D296" s="94"/>
      <c r="E296" s="94"/>
      <c r="F296" s="9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row>
    <row r="297" spans="1:37">
      <c r="A297" s="94"/>
      <c r="B297" s="94"/>
      <c r="C297" s="94"/>
      <c r="D297" s="94"/>
      <c r="E297" s="94"/>
      <c r="F297" s="94"/>
      <c r="G297" s="94"/>
      <c r="H297" s="94"/>
      <c r="I297" s="94"/>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row>
    <row r="298" spans="1:37">
      <c r="A298" s="94"/>
      <c r="B298" s="94"/>
      <c r="C298" s="94"/>
      <c r="D298" s="94"/>
      <c r="E298" s="94"/>
      <c r="F298" s="94"/>
      <c r="G298" s="94"/>
      <c r="H298" s="94"/>
      <c r="I298" s="94"/>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row>
    <row r="299" spans="1:37">
      <c r="A299" s="94"/>
      <c r="B299" s="94"/>
      <c r="C299" s="94"/>
      <c r="D299" s="94"/>
      <c r="E299" s="94"/>
      <c r="F299" s="94"/>
      <c r="G299" s="94"/>
      <c r="H299" s="94"/>
      <c r="I299" s="94"/>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row>
    <row r="300" spans="1:37">
      <c r="A300" s="94"/>
      <c r="B300" s="94"/>
      <c r="C300" s="94"/>
      <c r="D300" s="94"/>
      <c r="E300" s="94"/>
      <c r="F300" s="94"/>
      <c r="G300" s="94"/>
      <c r="H300" s="94"/>
      <c r="I300" s="94"/>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row>
    <row r="301" spans="1:37">
      <c r="A301" s="94"/>
      <c r="B301" s="94"/>
      <c r="C301" s="94"/>
      <c r="D301" s="94"/>
      <c r="E301" s="94"/>
      <c r="F301" s="94"/>
      <c r="G301" s="94"/>
      <c r="H301" s="94"/>
      <c r="I301" s="94"/>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row>
    <row r="302" spans="1:37">
      <c r="A302" s="94"/>
      <c r="B302" s="94"/>
      <c r="C302" s="94"/>
      <c r="D302" s="94"/>
      <c r="E302" s="94"/>
      <c r="F302" s="94"/>
      <c r="G302" s="94"/>
      <c r="H302" s="94"/>
      <c r="I302" s="94"/>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row>
    <row r="303" spans="1:37">
      <c r="A303" s="94"/>
      <c r="B303" s="94"/>
      <c r="C303" s="94"/>
      <c r="D303" s="94"/>
      <c r="E303" s="94"/>
      <c r="F303" s="94"/>
      <c r="G303" s="94"/>
      <c r="H303" s="94"/>
      <c r="I303" s="94"/>
      <c r="J303" s="94"/>
      <c r="K303" s="94"/>
      <c r="L303" s="94"/>
      <c r="M303" s="94"/>
      <c r="N303" s="94"/>
      <c r="O303" s="94"/>
      <c r="P303" s="94"/>
      <c r="Q303" s="94"/>
      <c r="R303" s="94"/>
      <c r="S303" s="94"/>
      <c r="T303" s="94"/>
      <c r="U303" s="94"/>
      <c r="V303" s="94"/>
      <c r="W303" s="94"/>
      <c r="X303" s="94"/>
      <c r="Y303" s="94"/>
      <c r="Z303" s="94"/>
      <c r="AA303" s="94"/>
      <c r="AB303" s="94"/>
      <c r="AC303" s="94"/>
      <c r="AD303" s="94"/>
      <c r="AE303" s="94"/>
      <c r="AF303" s="94"/>
      <c r="AG303" s="94"/>
      <c r="AH303" s="94"/>
      <c r="AI303" s="94"/>
      <c r="AJ303" s="94"/>
      <c r="AK303" s="94"/>
    </row>
    <row r="304" spans="1:37">
      <c r="A304" s="94"/>
      <c r="B304" s="94"/>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94"/>
      <c r="AI304" s="94"/>
      <c r="AJ304" s="94"/>
      <c r="AK304" s="94"/>
    </row>
    <row r="305" spans="1:37">
      <c r="A305" s="94"/>
      <c r="B305" s="94"/>
      <c r="C305" s="94"/>
      <c r="D305" s="94"/>
      <c r="E305" s="94"/>
      <c r="F305" s="94"/>
      <c r="G305" s="94"/>
      <c r="H305" s="94"/>
      <c r="I305" s="94"/>
      <c r="J305" s="94"/>
      <c r="K305" s="94"/>
      <c r="L305" s="94"/>
      <c r="M305" s="94"/>
      <c r="N305" s="94"/>
      <c r="O305" s="94"/>
      <c r="P305" s="94"/>
      <c r="Q305" s="94"/>
      <c r="R305" s="94"/>
      <c r="S305" s="94"/>
      <c r="T305" s="94"/>
      <c r="U305" s="94"/>
      <c r="V305" s="94"/>
      <c r="W305" s="94"/>
      <c r="X305" s="94"/>
      <c r="Y305" s="94"/>
      <c r="Z305" s="94"/>
      <c r="AA305" s="94"/>
      <c r="AB305" s="94"/>
      <c r="AC305" s="94"/>
      <c r="AD305" s="94"/>
      <c r="AE305" s="94"/>
      <c r="AF305" s="94"/>
      <c r="AG305" s="94"/>
      <c r="AH305" s="94"/>
      <c r="AI305" s="94"/>
      <c r="AJ305" s="94"/>
      <c r="AK305" s="94"/>
    </row>
    <row r="306" spans="1:37">
      <c r="A306" s="94"/>
      <c r="B306" s="94"/>
      <c r="C306" s="94"/>
      <c r="D306" s="94"/>
      <c r="E306" s="94"/>
      <c r="F306" s="94"/>
      <c r="G306" s="94"/>
      <c r="H306" s="94"/>
      <c r="I306" s="94"/>
      <c r="J306" s="94"/>
      <c r="K306" s="94"/>
      <c r="L306" s="94"/>
      <c r="M306" s="94"/>
      <c r="N306" s="94"/>
      <c r="O306" s="94"/>
      <c r="P306" s="94"/>
      <c r="Q306" s="94"/>
      <c r="R306" s="94"/>
      <c r="S306" s="94"/>
      <c r="T306" s="94"/>
      <c r="U306" s="94"/>
      <c r="V306" s="94"/>
      <c r="W306" s="94"/>
      <c r="X306" s="94"/>
      <c r="Y306" s="94"/>
      <c r="Z306" s="94"/>
      <c r="AA306" s="94"/>
      <c r="AB306" s="94"/>
      <c r="AC306" s="94"/>
      <c r="AD306" s="94"/>
      <c r="AE306" s="94"/>
      <c r="AF306" s="94"/>
      <c r="AG306" s="94"/>
      <c r="AH306" s="94"/>
      <c r="AI306" s="94"/>
      <c r="AJ306" s="94"/>
      <c r="AK306" s="94"/>
    </row>
    <row r="307" spans="1:37">
      <c r="A307" s="94"/>
      <c r="B307" s="94"/>
      <c r="C307" s="94"/>
      <c r="D307" s="94"/>
      <c r="E307" s="94"/>
      <c r="F307" s="9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c r="AE307" s="94"/>
      <c r="AF307" s="94"/>
      <c r="AG307" s="94"/>
      <c r="AH307" s="94"/>
      <c r="AI307" s="94"/>
      <c r="AJ307" s="94"/>
      <c r="AK307" s="94"/>
    </row>
    <row r="308" spans="1:37">
      <c r="A308" s="94"/>
      <c r="B308" s="94"/>
      <c r="C308" s="94"/>
      <c r="D308" s="94"/>
      <c r="E308" s="94"/>
      <c r="F308" s="94"/>
      <c r="G308" s="94"/>
      <c r="H308" s="94"/>
      <c r="I308" s="94"/>
      <c r="J308" s="94"/>
      <c r="K308" s="94"/>
      <c r="L308" s="94"/>
      <c r="M308" s="94"/>
      <c r="N308" s="94"/>
      <c r="O308" s="94"/>
      <c r="P308" s="94"/>
      <c r="Q308" s="94"/>
      <c r="R308" s="94"/>
      <c r="S308" s="94"/>
      <c r="T308" s="94"/>
      <c r="U308" s="94"/>
      <c r="V308" s="94"/>
      <c r="W308" s="94"/>
      <c r="X308" s="94"/>
      <c r="Y308" s="94"/>
      <c r="Z308" s="94"/>
      <c r="AA308" s="94"/>
      <c r="AB308" s="94"/>
      <c r="AC308" s="94"/>
      <c r="AD308" s="94"/>
      <c r="AE308" s="94"/>
      <c r="AF308" s="94"/>
      <c r="AG308" s="94"/>
      <c r="AH308" s="94"/>
      <c r="AI308" s="94"/>
      <c r="AJ308" s="94"/>
      <c r="AK308" s="94"/>
    </row>
    <row r="309" spans="1:37">
      <c r="A309" s="94"/>
      <c r="B309" s="94"/>
      <c r="C309" s="94"/>
      <c r="D309" s="94"/>
      <c r="E309" s="94"/>
      <c r="F309" s="94"/>
      <c r="G309" s="94"/>
      <c r="H309" s="94"/>
      <c r="I309" s="94"/>
      <c r="J309" s="94"/>
      <c r="K309" s="94"/>
      <c r="L309" s="94"/>
      <c r="M309" s="94"/>
      <c r="N309" s="94"/>
      <c r="O309" s="94"/>
      <c r="P309" s="94"/>
      <c r="Q309" s="94"/>
      <c r="R309" s="94"/>
      <c r="S309" s="94"/>
      <c r="T309" s="94"/>
      <c r="U309" s="94"/>
      <c r="V309" s="94"/>
      <c r="W309" s="94"/>
      <c r="X309" s="94"/>
      <c r="Y309" s="94"/>
      <c r="Z309" s="94"/>
      <c r="AA309" s="94"/>
      <c r="AB309" s="94"/>
      <c r="AC309" s="94"/>
      <c r="AD309" s="94"/>
      <c r="AE309" s="94"/>
      <c r="AF309" s="94"/>
      <c r="AG309" s="94"/>
      <c r="AH309" s="94"/>
      <c r="AI309" s="94"/>
      <c r="AJ309" s="94"/>
      <c r="AK309" s="94"/>
    </row>
    <row r="310" spans="1:37">
      <c r="A310" s="94"/>
      <c r="B310" s="94"/>
      <c r="C310" s="94"/>
      <c r="D310" s="94"/>
      <c r="E310" s="94"/>
      <c r="F310" s="94"/>
      <c r="G310" s="94"/>
      <c r="H310" s="94"/>
      <c r="I310" s="94"/>
      <c r="J310" s="94"/>
      <c r="K310" s="94"/>
      <c r="L310" s="94"/>
      <c r="M310" s="94"/>
      <c r="N310" s="94"/>
      <c r="O310" s="94"/>
      <c r="P310" s="94"/>
      <c r="Q310" s="94"/>
      <c r="R310" s="94"/>
      <c r="S310" s="94"/>
      <c r="T310" s="94"/>
      <c r="U310" s="94"/>
      <c r="V310" s="94"/>
      <c r="W310" s="94"/>
      <c r="X310" s="94"/>
      <c r="Y310" s="94"/>
      <c r="Z310" s="94"/>
      <c r="AA310" s="94"/>
      <c r="AB310" s="94"/>
      <c r="AC310" s="94"/>
      <c r="AD310" s="94"/>
      <c r="AE310" s="94"/>
      <c r="AF310" s="94"/>
      <c r="AG310" s="94"/>
      <c r="AH310" s="94"/>
      <c r="AI310" s="94"/>
      <c r="AJ310" s="94"/>
      <c r="AK310" s="94"/>
    </row>
    <row r="311" spans="1:37">
      <c r="A311" s="94"/>
      <c r="B311" s="94"/>
      <c r="C311" s="94"/>
      <c r="D311" s="94"/>
      <c r="E311" s="94"/>
      <c r="F311" s="94"/>
      <c r="G311" s="94"/>
      <c r="H311" s="94"/>
      <c r="I311" s="94"/>
      <c r="J311" s="94"/>
      <c r="K311" s="94"/>
      <c r="L311" s="94"/>
      <c r="M311" s="94"/>
      <c r="N311" s="94"/>
      <c r="O311" s="94"/>
      <c r="P311" s="94"/>
      <c r="Q311" s="94"/>
      <c r="R311" s="94"/>
      <c r="S311" s="94"/>
      <c r="T311" s="94"/>
      <c r="U311" s="94"/>
      <c r="V311" s="94"/>
      <c r="W311" s="94"/>
      <c r="X311" s="94"/>
      <c r="Y311" s="94"/>
      <c r="Z311" s="94"/>
      <c r="AA311" s="94"/>
      <c r="AB311" s="94"/>
      <c r="AC311" s="94"/>
      <c r="AD311" s="94"/>
      <c r="AE311" s="94"/>
      <c r="AF311" s="94"/>
      <c r="AG311" s="94"/>
      <c r="AH311" s="94"/>
      <c r="AI311" s="94"/>
      <c r="AJ311" s="94"/>
      <c r="AK311" s="94"/>
    </row>
    <row r="312" spans="1:37">
      <c r="A312" s="94"/>
      <c r="B312" s="94"/>
      <c r="C312" s="94"/>
      <c r="D312" s="94"/>
      <c r="E312" s="94"/>
      <c r="F312" s="94"/>
      <c r="G312" s="94"/>
      <c r="H312" s="94"/>
      <c r="I312" s="94"/>
      <c r="J312" s="94"/>
      <c r="K312" s="94"/>
      <c r="L312" s="94"/>
      <c r="M312" s="94"/>
      <c r="N312" s="94"/>
      <c r="O312" s="94"/>
      <c r="P312" s="94"/>
      <c r="Q312" s="94"/>
      <c r="R312" s="94"/>
      <c r="S312" s="94"/>
      <c r="T312" s="94"/>
      <c r="U312" s="94"/>
      <c r="V312" s="94"/>
      <c r="W312" s="94"/>
      <c r="X312" s="94"/>
      <c r="Y312" s="94"/>
      <c r="Z312" s="94"/>
      <c r="AA312" s="94"/>
      <c r="AB312" s="94"/>
      <c r="AC312" s="94"/>
      <c r="AD312" s="94"/>
      <c r="AE312" s="94"/>
      <c r="AF312" s="94"/>
      <c r="AG312" s="94"/>
      <c r="AH312" s="94"/>
      <c r="AI312" s="94"/>
      <c r="AJ312" s="94"/>
      <c r="AK312" s="94"/>
    </row>
    <row r="313" spans="1:37">
      <c r="A313" s="94"/>
      <c r="B313" s="94"/>
      <c r="C313" s="94"/>
      <c r="D313" s="94"/>
      <c r="E313" s="94"/>
      <c r="F313" s="94"/>
      <c r="G313" s="94"/>
      <c r="H313" s="94"/>
      <c r="I313" s="94"/>
      <c r="J313" s="94"/>
      <c r="K313" s="94"/>
      <c r="L313" s="94"/>
      <c r="M313" s="94"/>
      <c r="N313" s="94"/>
      <c r="O313" s="94"/>
      <c r="P313" s="94"/>
      <c r="Q313" s="94"/>
      <c r="R313" s="94"/>
      <c r="S313" s="94"/>
      <c r="T313" s="94"/>
      <c r="U313" s="94"/>
      <c r="V313" s="94"/>
      <c r="W313" s="94"/>
      <c r="X313" s="94"/>
      <c r="Y313" s="94"/>
      <c r="Z313" s="94"/>
      <c r="AA313" s="94"/>
      <c r="AB313" s="94"/>
      <c r="AC313" s="94"/>
      <c r="AD313" s="94"/>
      <c r="AE313" s="94"/>
      <c r="AF313" s="94"/>
      <c r="AG313" s="94"/>
      <c r="AH313" s="94"/>
      <c r="AI313" s="94"/>
      <c r="AJ313" s="94"/>
      <c r="AK313" s="94"/>
    </row>
    <row r="314" spans="1:37">
      <c r="A314" s="94"/>
      <c r="B314" s="94"/>
      <c r="C314" s="94"/>
      <c r="D314" s="94"/>
      <c r="E314" s="94"/>
      <c r="F314" s="94"/>
      <c r="G314" s="94"/>
      <c r="H314" s="94"/>
      <c r="I314" s="94"/>
      <c r="J314" s="94"/>
      <c r="K314" s="94"/>
      <c r="L314" s="94"/>
      <c r="M314" s="94"/>
      <c r="N314" s="94"/>
      <c r="O314" s="94"/>
      <c r="P314" s="94"/>
      <c r="Q314" s="94"/>
      <c r="R314" s="94"/>
      <c r="S314" s="94"/>
      <c r="T314" s="94"/>
      <c r="U314" s="94"/>
      <c r="V314" s="94"/>
      <c r="W314" s="94"/>
      <c r="X314" s="94"/>
      <c r="Y314" s="94"/>
      <c r="Z314" s="94"/>
      <c r="AA314" s="94"/>
      <c r="AB314" s="94"/>
      <c r="AC314" s="94"/>
      <c r="AD314" s="94"/>
      <c r="AE314" s="94"/>
      <c r="AF314" s="94"/>
      <c r="AG314" s="94"/>
      <c r="AH314" s="94"/>
      <c r="AI314" s="94"/>
      <c r="AJ314" s="94"/>
      <c r="AK314" s="94"/>
    </row>
    <row r="315" spans="1:37">
      <c r="A315" s="94"/>
      <c r="B315" s="94"/>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c r="AE315" s="94"/>
      <c r="AF315" s="94"/>
      <c r="AG315" s="94"/>
      <c r="AH315" s="94"/>
      <c r="AI315" s="94"/>
      <c r="AJ315" s="94"/>
      <c r="AK315" s="94"/>
    </row>
    <row r="316" spans="1:37">
      <c r="A316" s="94"/>
      <c r="B316" s="94"/>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94"/>
      <c r="AI316" s="94"/>
      <c r="AJ316" s="94"/>
      <c r="AK316" s="94"/>
    </row>
    <row r="317" spans="1:37">
      <c r="A317" s="94"/>
      <c r="B317" s="94"/>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c r="AE317" s="94"/>
      <c r="AF317" s="94"/>
      <c r="AG317" s="94"/>
      <c r="AH317" s="94"/>
      <c r="AI317" s="94"/>
      <c r="AJ317" s="94"/>
      <c r="AK317" s="94"/>
    </row>
    <row r="318" spans="1:37">
      <c r="A318" s="94"/>
      <c r="B318" s="94"/>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c r="AE318" s="94"/>
      <c r="AF318" s="94"/>
      <c r="AG318" s="94"/>
      <c r="AH318" s="94"/>
      <c r="AI318" s="94"/>
      <c r="AJ318" s="94"/>
      <c r="AK318" s="94"/>
    </row>
    <row r="319" spans="1:37">
      <c r="A319" s="94"/>
      <c r="B319" s="94"/>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c r="AE319" s="94"/>
      <c r="AF319" s="94"/>
      <c r="AG319" s="94"/>
      <c r="AH319" s="94"/>
      <c r="AI319" s="94"/>
      <c r="AJ319" s="94"/>
      <c r="AK319" s="94"/>
    </row>
    <row r="320" spans="1:37">
      <c r="A320" s="94"/>
      <c r="B320" s="94"/>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c r="AE320" s="94"/>
      <c r="AF320" s="94"/>
      <c r="AG320" s="94"/>
      <c r="AH320" s="94"/>
      <c r="AI320" s="94"/>
      <c r="AJ320" s="94"/>
      <c r="AK320" s="94"/>
    </row>
    <row r="321" spans="1:37">
      <c r="A321" s="94"/>
      <c r="B321" s="94"/>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c r="AE321" s="94"/>
      <c r="AF321" s="94"/>
      <c r="AG321" s="94"/>
      <c r="AH321" s="94"/>
      <c r="AI321" s="94"/>
      <c r="AJ321" s="94"/>
      <c r="AK321" s="94"/>
    </row>
    <row r="322" spans="1:37">
      <c r="A322" s="94"/>
      <c r="B322" s="94"/>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c r="AE322" s="94"/>
      <c r="AF322" s="94"/>
      <c r="AG322" s="94"/>
      <c r="AH322" s="94"/>
      <c r="AI322" s="94"/>
      <c r="AJ322" s="94"/>
      <c r="AK322" s="94"/>
    </row>
    <row r="323" spans="1:37">
      <c r="A323" s="94"/>
      <c r="B323" s="94"/>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c r="AE323" s="94"/>
      <c r="AF323" s="94"/>
      <c r="AG323" s="94"/>
      <c r="AH323" s="94"/>
      <c r="AI323" s="94"/>
      <c r="AJ323" s="94"/>
      <c r="AK323" s="94"/>
    </row>
    <row r="324" spans="1:37">
      <c r="A324" s="94"/>
      <c r="B324" s="94"/>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c r="AE324" s="94"/>
      <c r="AF324" s="94"/>
      <c r="AG324" s="94"/>
      <c r="AH324" s="94"/>
      <c r="AI324" s="94"/>
      <c r="AJ324" s="94"/>
      <c r="AK324" s="94"/>
    </row>
    <row r="325" spans="1:37">
      <c r="A325" s="94"/>
      <c r="B325" s="94"/>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c r="AE325" s="94"/>
      <c r="AF325" s="94"/>
      <c r="AG325" s="94"/>
      <c r="AH325" s="94"/>
      <c r="AI325" s="94"/>
      <c r="AJ325" s="94"/>
      <c r="AK325" s="94"/>
    </row>
    <row r="326" spans="1:37">
      <c r="A326" s="94"/>
      <c r="B326" s="94"/>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c r="AE326" s="94"/>
      <c r="AF326" s="94"/>
      <c r="AG326" s="94"/>
      <c r="AH326" s="94"/>
      <c r="AI326" s="94"/>
      <c r="AJ326" s="94"/>
      <c r="AK326" s="94"/>
    </row>
    <row r="327" spans="1:37">
      <c r="A327" s="94"/>
      <c r="B327" s="94"/>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c r="AE327" s="94"/>
      <c r="AF327" s="94"/>
      <c r="AG327" s="94"/>
      <c r="AH327" s="94"/>
      <c r="AI327" s="94"/>
      <c r="AJ327" s="94"/>
      <c r="AK327" s="94"/>
    </row>
    <row r="328" spans="1:37">
      <c r="A328" s="94"/>
      <c r="B328" s="94"/>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c r="AE328" s="94"/>
      <c r="AF328" s="94"/>
      <c r="AG328" s="94"/>
      <c r="AH328" s="94"/>
      <c r="AI328" s="94"/>
      <c r="AJ328" s="94"/>
      <c r="AK328" s="94"/>
    </row>
    <row r="329" spans="1:37">
      <c r="A329" s="94"/>
      <c r="B329" s="94"/>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c r="AE329" s="94"/>
      <c r="AF329" s="94"/>
      <c r="AG329" s="94"/>
      <c r="AH329" s="94"/>
      <c r="AI329" s="94"/>
      <c r="AJ329" s="94"/>
      <c r="AK329" s="94"/>
    </row>
    <row r="330" spans="1:37">
      <c r="A330" s="94"/>
      <c r="B330" s="94"/>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c r="AE330" s="94"/>
      <c r="AF330" s="94"/>
      <c r="AG330" s="94"/>
      <c r="AH330" s="94"/>
      <c r="AI330" s="94"/>
      <c r="AJ330" s="94"/>
      <c r="AK330" s="94"/>
    </row>
    <row r="331" spans="1:37">
      <c r="A331" s="94"/>
      <c r="B331" s="94"/>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c r="AE331" s="94"/>
      <c r="AF331" s="94"/>
      <c r="AG331" s="94"/>
      <c r="AH331" s="94"/>
      <c r="AI331" s="94"/>
      <c r="AJ331" s="94"/>
      <c r="AK331" s="94"/>
    </row>
    <row r="332" spans="1:37">
      <c r="A332" s="94"/>
      <c r="B332" s="94"/>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c r="AE332" s="94"/>
      <c r="AF332" s="94"/>
      <c r="AG332" s="94"/>
      <c r="AH332" s="94"/>
      <c r="AI332" s="94"/>
      <c r="AJ332" s="94"/>
      <c r="AK332" s="94"/>
    </row>
    <row r="333" spans="1:37">
      <c r="A333" s="94"/>
      <c r="B333" s="94"/>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c r="AE333" s="94"/>
      <c r="AF333" s="94"/>
      <c r="AG333" s="94"/>
      <c r="AH333" s="94"/>
      <c r="AI333" s="94"/>
      <c r="AJ333" s="94"/>
      <c r="AK333" s="94"/>
    </row>
    <row r="334" spans="1:37">
      <c r="A334" s="94"/>
      <c r="B334" s="94"/>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c r="AE334" s="94"/>
      <c r="AF334" s="94"/>
      <c r="AG334" s="94"/>
      <c r="AH334" s="94"/>
      <c r="AI334" s="94"/>
      <c r="AJ334" s="94"/>
      <c r="AK334" s="94"/>
    </row>
    <row r="335" spans="1:37">
      <c r="A335" s="94"/>
      <c r="B335" s="94"/>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c r="AE335" s="94"/>
      <c r="AF335" s="94"/>
      <c r="AG335" s="94"/>
      <c r="AH335" s="94"/>
      <c r="AI335" s="94"/>
      <c r="AJ335" s="94"/>
      <c r="AK335" s="94"/>
    </row>
    <row r="336" spans="1:37">
      <c r="A336" s="94"/>
      <c r="B336" s="94"/>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c r="AE336" s="94"/>
      <c r="AF336" s="94"/>
      <c r="AG336" s="94"/>
      <c r="AH336" s="94"/>
      <c r="AI336" s="94"/>
      <c r="AJ336" s="94"/>
      <c r="AK336" s="94"/>
    </row>
    <row r="337" spans="1:37">
      <c r="A337" s="94"/>
      <c r="B337" s="94"/>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c r="AE337" s="94"/>
      <c r="AF337" s="94"/>
      <c r="AG337" s="94"/>
      <c r="AH337" s="94"/>
      <c r="AI337" s="94"/>
      <c r="AJ337" s="94"/>
      <c r="AK337" s="94"/>
    </row>
    <row r="338" spans="1:37">
      <c r="A338" s="94"/>
      <c r="B338" s="94"/>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c r="AE338" s="94"/>
      <c r="AF338" s="94"/>
      <c r="AG338" s="94"/>
      <c r="AH338" s="94"/>
      <c r="AI338" s="94"/>
      <c r="AJ338" s="94"/>
      <c r="AK338" s="94"/>
    </row>
    <row r="339" spans="1:37">
      <c r="A339" s="94"/>
      <c r="B339" s="94"/>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c r="AE339" s="94"/>
      <c r="AF339" s="94"/>
      <c r="AG339" s="94"/>
      <c r="AH339" s="94"/>
      <c r="AI339" s="94"/>
      <c r="AJ339" s="94"/>
      <c r="AK339" s="94"/>
    </row>
    <row r="340" spans="1:37">
      <c r="A340" s="94"/>
      <c r="B340" s="94"/>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c r="AE340" s="94"/>
      <c r="AF340" s="94"/>
      <c r="AG340" s="94"/>
      <c r="AH340" s="94"/>
      <c r="AI340" s="94"/>
      <c r="AJ340" s="94"/>
      <c r="AK340" s="94"/>
    </row>
    <row r="341" spans="1:37">
      <c r="A341" s="94"/>
      <c r="B341" s="94"/>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c r="AE341" s="94"/>
      <c r="AF341" s="94"/>
      <c r="AG341" s="94"/>
      <c r="AH341" s="94"/>
      <c r="AI341" s="94"/>
      <c r="AJ341" s="94"/>
      <c r="AK341" s="94"/>
    </row>
    <row r="342" spans="1:37">
      <c r="A342" s="94"/>
      <c r="B342" s="94"/>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c r="AE342" s="94"/>
      <c r="AF342" s="94"/>
      <c r="AG342" s="94"/>
      <c r="AH342" s="94"/>
      <c r="AI342" s="94"/>
      <c r="AJ342" s="94"/>
      <c r="AK342" s="94"/>
    </row>
    <row r="343" spans="1:37">
      <c r="A343" s="94"/>
      <c r="B343" s="94"/>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c r="AE343" s="94"/>
      <c r="AF343" s="94"/>
      <c r="AG343" s="94"/>
      <c r="AH343" s="94"/>
      <c r="AI343" s="94"/>
      <c r="AJ343" s="94"/>
      <c r="AK343" s="94"/>
    </row>
    <row r="344" spans="1:37">
      <c r="A344" s="94"/>
      <c r="B344" s="94"/>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c r="AE344" s="94"/>
      <c r="AF344" s="94"/>
      <c r="AG344" s="94"/>
      <c r="AH344" s="94"/>
      <c r="AI344" s="94"/>
      <c r="AJ344" s="94"/>
      <c r="AK344" s="94"/>
    </row>
    <row r="345" spans="1:37">
      <c r="A345" s="94"/>
      <c r="B345" s="94"/>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c r="AE345" s="94"/>
      <c r="AF345" s="94"/>
      <c r="AG345" s="94"/>
      <c r="AH345" s="94"/>
      <c r="AI345" s="94"/>
      <c r="AJ345" s="94"/>
      <c r="AK345" s="94"/>
    </row>
    <row r="346" spans="1:37">
      <c r="A346" s="94"/>
      <c r="B346" s="94"/>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c r="AE346" s="94"/>
      <c r="AF346" s="94"/>
      <c r="AG346" s="94"/>
      <c r="AH346" s="94"/>
      <c r="AI346" s="94"/>
      <c r="AJ346" s="94"/>
      <c r="AK346" s="94"/>
    </row>
    <row r="347" spans="1:37">
      <c r="A347" s="94"/>
      <c r="B347" s="94"/>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c r="AE347" s="94"/>
      <c r="AF347" s="94"/>
      <c r="AG347" s="94"/>
      <c r="AH347" s="94"/>
      <c r="AI347" s="94"/>
      <c r="AJ347" s="94"/>
      <c r="AK347" s="94"/>
    </row>
    <row r="348" spans="1:37">
      <c r="A348" s="94"/>
      <c r="B348" s="94"/>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c r="AE348" s="94"/>
      <c r="AF348" s="94"/>
      <c r="AG348" s="94"/>
      <c r="AH348" s="94"/>
      <c r="AI348" s="94"/>
      <c r="AJ348" s="94"/>
      <c r="AK348" s="94"/>
    </row>
    <row r="349" spans="1:37">
      <c r="A349" s="94"/>
      <c r="B349" s="94"/>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c r="AE349" s="94"/>
      <c r="AF349" s="94"/>
      <c r="AG349" s="94"/>
      <c r="AH349" s="94"/>
      <c r="AI349" s="94"/>
      <c r="AJ349" s="94"/>
      <c r="AK349" s="94"/>
    </row>
    <row r="350" spans="1:37">
      <c r="A350" s="94"/>
      <c r="B350" s="94"/>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c r="AE350" s="94"/>
      <c r="AF350" s="94"/>
      <c r="AG350" s="94"/>
      <c r="AH350" s="94"/>
      <c r="AI350" s="94"/>
      <c r="AJ350" s="94"/>
      <c r="AK350" s="94"/>
    </row>
    <row r="351" spans="1:37">
      <c r="A351" s="94"/>
      <c r="B351" s="94"/>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c r="AE351" s="94"/>
      <c r="AF351" s="94"/>
      <c r="AG351" s="94"/>
      <c r="AH351" s="94"/>
      <c r="AI351" s="94"/>
      <c r="AJ351" s="94"/>
      <c r="AK351" s="94"/>
    </row>
    <row r="352" spans="1:37">
      <c r="A352" s="94"/>
      <c r="B352" s="94"/>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c r="AE352" s="94"/>
      <c r="AF352" s="94"/>
      <c r="AG352" s="94"/>
      <c r="AH352" s="94"/>
      <c r="AI352" s="94"/>
      <c r="AJ352" s="94"/>
      <c r="AK352" s="94"/>
    </row>
    <row r="353" spans="1:37">
      <c r="A353" s="94"/>
      <c r="B353" s="94"/>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c r="AE353" s="94"/>
      <c r="AF353" s="94"/>
      <c r="AG353" s="94"/>
      <c r="AH353" s="94"/>
      <c r="AI353" s="94"/>
      <c r="AJ353" s="94"/>
      <c r="AK353" s="94"/>
    </row>
    <row r="354" spans="1:37">
      <c r="A354" s="94"/>
      <c r="B354" s="94"/>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c r="AE354" s="94"/>
      <c r="AF354" s="94"/>
      <c r="AG354" s="94"/>
      <c r="AH354" s="94"/>
      <c r="AI354" s="94"/>
      <c r="AJ354" s="94"/>
      <c r="AK354" s="94"/>
    </row>
    <row r="355" spans="1:37">
      <c r="A355" s="94"/>
      <c r="B355" s="94"/>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c r="AE355" s="94"/>
      <c r="AF355" s="94"/>
      <c r="AG355" s="94"/>
      <c r="AH355" s="94"/>
      <c r="AI355" s="94"/>
      <c r="AJ355" s="94"/>
      <c r="AK355" s="94"/>
    </row>
    <row r="356" spans="1:37">
      <c r="A356" s="94"/>
      <c r="B356" s="94"/>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c r="AE356" s="94"/>
      <c r="AF356" s="94"/>
      <c r="AG356" s="94"/>
      <c r="AH356" s="94"/>
      <c r="AI356" s="94"/>
      <c r="AJ356" s="94"/>
      <c r="AK356" s="94"/>
    </row>
    <row r="357" spans="1:37">
      <c r="A357" s="94"/>
      <c r="B357" s="94"/>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c r="AE357" s="94"/>
      <c r="AF357" s="94"/>
      <c r="AG357" s="94"/>
      <c r="AH357" s="94"/>
      <c r="AI357" s="94"/>
      <c r="AJ357" s="94"/>
      <c r="AK357" s="94"/>
    </row>
    <row r="358" spans="1:37">
      <c r="A358" s="94"/>
      <c r="B358" s="94"/>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c r="AE358" s="94"/>
      <c r="AF358" s="94"/>
      <c r="AG358" s="94"/>
      <c r="AH358" s="94"/>
      <c r="AI358" s="94"/>
      <c r="AJ358" s="94"/>
      <c r="AK358" s="94"/>
    </row>
    <row r="359" spans="1:37">
      <c r="A359" s="94"/>
      <c r="B359" s="94"/>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c r="AE359" s="94"/>
      <c r="AF359" s="94"/>
      <c r="AG359" s="94"/>
      <c r="AH359" s="94"/>
      <c r="AI359" s="94"/>
      <c r="AJ359" s="94"/>
      <c r="AK359" s="94"/>
    </row>
    <row r="360" spans="1:37">
      <c r="A360" s="94"/>
      <c r="B360" s="94"/>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c r="AE360" s="94"/>
      <c r="AF360" s="94"/>
      <c r="AG360" s="94"/>
      <c r="AH360" s="94"/>
      <c r="AI360" s="94"/>
      <c r="AJ360" s="94"/>
      <c r="AK360" s="94"/>
    </row>
    <row r="361" spans="1:37">
      <c r="A361" s="94"/>
      <c r="B361" s="94"/>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c r="AE361" s="94"/>
      <c r="AF361" s="94"/>
      <c r="AG361" s="94"/>
      <c r="AH361" s="94"/>
      <c r="AI361" s="94"/>
      <c r="AJ361" s="94"/>
      <c r="AK361" s="94"/>
    </row>
    <row r="362" spans="1:37">
      <c r="A362" s="94"/>
      <c r="B362" s="94"/>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c r="AE362" s="94"/>
      <c r="AF362" s="94"/>
      <c r="AG362" s="94"/>
      <c r="AH362" s="94"/>
      <c r="AI362" s="94"/>
      <c r="AJ362" s="94"/>
      <c r="AK362" s="94"/>
    </row>
    <row r="363" spans="1:37">
      <c r="A363" s="94"/>
      <c r="B363" s="94"/>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c r="AE363" s="94"/>
      <c r="AF363" s="94"/>
      <c r="AG363" s="94"/>
      <c r="AH363" s="94"/>
      <c r="AI363" s="94"/>
      <c r="AJ363" s="94"/>
      <c r="AK363" s="94"/>
    </row>
    <row r="364" spans="1:37">
      <c r="A364" s="94"/>
      <c r="B364" s="94"/>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c r="AE364" s="94"/>
      <c r="AF364" s="94"/>
      <c r="AG364" s="94"/>
      <c r="AH364" s="94"/>
      <c r="AI364" s="94"/>
      <c r="AJ364" s="94"/>
      <c r="AK364" s="94"/>
    </row>
    <row r="365" spans="1:37">
      <c r="A365" s="94"/>
      <c r="B365" s="94"/>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c r="AE365" s="94"/>
      <c r="AF365" s="94"/>
      <c r="AG365" s="94"/>
      <c r="AH365" s="94"/>
      <c r="AI365" s="94"/>
      <c r="AJ365" s="94"/>
      <c r="AK365" s="94"/>
    </row>
    <row r="366" spans="1:37">
      <c r="A366" s="94"/>
      <c r="B366" s="94"/>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c r="AE366" s="94"/>
      <c r="AF366" s="94"/>
      <c r="AG366" s="94"/>
      <c r="AH366" s="94"/>
      <c r="AI366" s="94"/>
      <c r="AJ366" s="94"/>
      <c r="AK366" s="94"/>
    </row>
    <row r="367" spans="1:37">
      <c r="A367" s="94"/>
      <c r="B367" s="94"/>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c r="AE367" s="94"/>
      <c r="AF367" s="94"/>
      <c r="AG367" s="94"/>
      <c r="AH367" s="94"/>
      <c r="AI367" s="94"/>
      <c r="AJ367" s="94"/>
      <c r="AK367" s="94"/>
    </row>
    <row r="368" spans="1:37">
      <c r="A368" s="94"/>
      <c r="B368" s="94"/>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c r="AE368" s="94"/>
      <c r="AF368" s="94"/>
      <c r="AG368" s="94"/>
      <c r="AH368" s="94"/>
      <c r="AI368" s="94"/>
      <c r="AJ368" s="94"/>
      <c r="AK368" s="94"/>
    </row>
    <row r="369" spans="1:37">
      <c r="A369" s="94"/>
      <c r="B369" s="94"/>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c r="AE369" s="94"/>
      <c r="AF369" s="94"/>
      <c r="AG369" s="94"/>
      <c r="AH369" s="94"/>
      <c r="AI369" s="94"/>
      <c r="AJ369" s="94"/>
      <c r="AK369" s="94"/>
    </row>
    <row r="370" spans="1:37">
      <c r="A370" s="94"/>
      <c r="B370" s="94"/>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c r="AE370" s="94"/>
      <c r="AF370" s="94"/>
      <c r="AG370" s="94"/>
      <c r="AH370" s="94"/>
      <c r="AI370" s="94"/>
      <c r="AJ370" s="94"/>
      <c r="AK370" s="94"/>
    </row>
    <row r="371" spans="1:37">
      <c r="A371" s="94"/>
      <c r="B371" s="94"/>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c r="AE371" s="94"/>
      <c r="AF371" s="94"/>
      <c r="AG371" s="94"/>
      <c r="AH371" s="94"/>
      <c r="AI371" s="94"/>
      <c r="AJ371" s="94"/>
      <c r="AK371" s="94"/>
    </row>
    <row r="372" spans="1:37">
      <c r="A372" s="94"/>
      <c r="B372" s="94"/>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c r="AE372" s="94"/>
      <c r="AF372" s="94"/>
      <c r="AG372" s="94"/>
      <c r="AH372" s="94"/>
      <c r="AI372" s="94"/>
      <c r="AJ372" s="94"/>
      <c r="AK372" s="94"/>
    </row>
    <row r="373" spans="1:37">
      <c r="A373" s="94"/>
      <c r="B373" s="94"/>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c r="AE373" s="94"/>
      <c r="AF373" s="94"/>
      <c r="AG373" s="94"/>
      <c r="AH373" s="94"/>
      <c r="AI373" s="94"/>
      <c r="AJ373" s="94"/>
      <c r="AK373" s="94"/>
    </row>
    <row r="374" spans="1:37">
      <c r="A374" s="94"/>
      <c r="B374" s="94"/>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c r="AE374" s="94"/>
      <c r="AF374" s="94"/>
      <c r="AG374" s="94"/>
      <c r="AH374" s="94"/>
      <c r="AI374" s="94"/>
      <c r="AJ374" s="94"/>
      <c r="AK374" s="94"/>
    </row>
    <row r="375" spans="1:37">
      <c r="A375" s="94"/>
      <c r="B375" s="94"/>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c r="AE375" s="94"/>
      <c r="AF375" s="94"/>
      <c r="AG375" s="94"/>
      <c r="AH375" s="94"/>
      <c r="AI375" s="94"/>
      <c r="AJ375" s="94"/>
      <c r="AK375" s="94"/>
    </row>
    <row r="376" spans="1:37">
      <c r="A376" s="94"/>
      <c r="B376" s="94"/>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c r="AE376" s="94"/>
      <c r="AF376" s="94"/>
      <c r="AG376" s="94"/>
      <c r="AH376" s="94"/>
      <c r="AI376" s="94"/>
      <c r="AJ376" s="94"/>
      <c r="AK376" s="94"/>
    </row>
    <row r="377" spans="1:37">
      <c r="A377" s="94"/>
      <c r="B377" s="94"/>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c r="AE377" s="94"/>
      <c r="AF377" s="94"/>
      <c r="AG377" s="94"/>
      <c r="AH377" s="94"/>
      <c r="AI377" s="94"/>
      <c r="AJ377" s="94"/>
      <c r="AK377" s="94"/>
    </row>
    <row r="378" spans="1:37">
      <c r="A378" s="94"/>
      <c r="B378" s="94"/>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c r="AE378" s="94"/>
      <c r="AF378" s="94"/>
      <c r="AG378" s="94"/>
      <c r="AH378" s="94"/>
      <c r="AI378" s="94"/>
      <c r="AJ378" s="94"/>
      <c r="AK378" s="94"/>
    </row>
    <row r="379" spans="1:37">
      <c r="A379" s="94"/>
      <c r="B379" s="94"/>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c r="AE379" s="94"/>
      <c r="AF379" s="94"/>
      <c r="AG379" s="94"/>
      <c r="AH379" s="94"/>
      <c r="AI379" s="94"/>
      <c r="AJ379" s="94"/>
      <c r="AK379" s="94"/>
    </row>
    <row r="380" spans="1:37">
      <c r="A380" s="94"/>
      <c r="B380" s="94"/>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c r="AE380" s="94"/>
      <c r="AF380" s="94"/>
      <c r="AG380" s="94"/>
      <c r="AH380" s="94"/>
      <c r="AI380" s="94"/>
      <c r="AJ380" s="94"/>
      <c r="AK380" s="94"/>
    </row>
    <row r="381" spans="1:37">
      <c r="A381" s="94"/>
      <c r="B381" s="94"/>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c r="AE381" s="94"/>
      <c r="AF381" s="94"/>
      <c r="AG381" s="94"/>
      <c r="AH381" s="94"/>
      <c r="AI381" s="94"/>
      <c r="AJ381" s="94"/>
      <c r="AK381" s="94"/>
    </row>
    <row r="382" spans="1:37">
      <c r="A382" s="94"/>
      <c r="B382" s="94"/>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c r="AE382" s="94"/>
      <c r="AF382" s="94"/>
      <c r="AG382" s="94"/>
      <c r="AH382" s="94"/>
      <c r="AI382" s="94"/>
      <c r="AJ382" s="94"/>
      <c r="AK382" s="94"/>
    </row>
    <row r="383" spans="1:37">
      <c r="A383" s="94"/>
      <c r="B383" s="94"/>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c r="AE383" s="94"/>
      <c r="AF383" s="94"/>
      <c r="AG383" s="94"/>
      <c r="AH383" s="94"/>
      <c r="AI383" s="94"/>
      <c r="AJ383" s="94"/>
      <c r="AK383" s="94"/>
    </row>
    <row r="384" spans="1:37">
      <c r="A384" s="94"/>
      <c r="B384" s="94"/>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c r="AE384" s="94"/>
      <c r="AF384" s="94"/>
      <c r="AG384" s="94"/>
      <c r="AH384" s="94"/>
      <c r="AI384" s="94"/>
      <c r="AJ384" s="94"/>
      <c r="AK384" s="94"/>
    </row>
    <row r="385" spans="1:37">
      <c r="A385" s="94"/>
      <c r="B385" s="94"/>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c r="AE385" s="94"/>
      <c r="AF385" s="94"/>
      <c r="AG385" s="94"/>
      <c r="AH385" s="94"/>
      <c r="AI385" s="94"/>
      <c r="AJ385" s="94"/>
      <c r="AK385" s="94"/>
    </row>
    <row r="386" spans="1:37">
      <c r="A386" s="94"/>
      <c r="B386" s="94"/>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c r="AE386" s="94"/>
      <c r="AF386" s="94"/>
      <c r="AG386" s="94"/>
      <c r="AH386" s="94"/>
      <c r="AI386" s="94"/>
      <c r="AJ386" s="94"/>
      <c r="AK386" s="94"/>
    </row>
    <row r="387" spans="1:37">
      <c r="A387" s="94"/>
      <c r="B387" s="94"/>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c r="AE387" s="94"/>
      <c r="AF387" s="94"/>
      <c r="AG387" s="94"/>
      <c r="AH387" s="94"/>
      <c r="AI387" s="94"/>
      <c r="AJ387" s="94"/>
      <c r="AK387" s="94"/>
    </row>
    <row r="388" spans="1:37">
      <c r="A388" s="94"/>
      <c r="B388" s="94"/>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c r="AE388" s="94"/>
      <c r="AF388" s="94"/>
      <c r="AG388" s="94"/>
      <c r="AH388" s="94"/>
      <c r="AI388" s="94"/>
      <c r="AJ388" s="94"/>
      <c r="AK388" s="94"/>
    </row>
    <row r="389" spans="1:37">
      <c r="A389" s="94"/>
      <c r="B389" s="94"/>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c r="AE389" s="94"/>
      <c r="AF389" s="94"/>
      <c r="AG389" s="94"/>
      <c r="AH389" s="94"/>
      <c r="AI389" s="94"/>
      <c r="AJ389" s="94"/>
      <c r="AK389" s="94"/>
    </row>
    <row r="390" spans="1:37">
      <c r="A390" s="94"/>
      <c r="B390" s="94"/>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c r="AE390" s="94"/>
      <c r="AF390" s="94"/>
      <c r="AG390" s="94"/>
      <c r="AH390" s="94"/>
      <c r="AI390" s="94"/>
      <c r="AJ390" s="94"/>
      <c r="AK390" s="94"/>
    </row>
    <row r="391" spans="1:37">
      <c r="A391" s="94"/>
      <c r="B391" s="94"/>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c r="AE391" s="94"/>
      <c r="AF391" s="94"/>
      <c r="AG391" s="94"/>
      <c r="AH391" s="94"/>
      <c r="AI391" s="94"/>
      <c r="AJ391" s="94"/>
      <c r="AK391" s="94"/>
    </row>
    <row r="392" spans="1:37">
      <c r="A392" s="94"/>
      <c r="B392" s="94"/>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c r="AE392" s="94"/>
      <c r="AF392" s="94"/>
      <c r="AG392" s="94"/>
      <c r="AH392" s="94"/>
      <c r="AI392" s="94"/>
      <c r="AJ392" s="94"/>
      <c r="AK392" s="94"/>
    </row>
    <row r="393" spans="1:37">
      <c r="A393" s="94"/>
      <c r="B393" s="94"/>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c r="AE393" s="94"/>
      <c r="AF393" s="94"/>
      <c r="AG393" s="94"/>
      <c r="AH393" s="94"/>
      <c r="AI393" s="94"/>
      <c r="AJ393" s="94"/>
      <c r="AK393" s="94"/>
    </row>
    <row r="394" spans="1:37">
      <c r="A394" s="94"/>
      <c r="B394" s="94"/>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c r="AE394" s="94"/>
      <c r="AF394" s="94"/>
      <c r="AG394" s="94"/>
      <c r="AH394" s="94"/>
      <c r="AI394" s="94"/>
      <c r="AJ394" s="94"/>
      <c r="AK394" s="94"/>
    </row>
    <row r="395" spans="1:37">
      <c r="A395" s="94"/>
      <c r="B395" s="94"/>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c r="AE395" s="94"/>
      <c r="AF395" s="94"/>
      <c r="AG395" s="94"/>
      <c r="AH395" s="94"/>
      <c r="AI395" s="94"/>
      <c r="AJ395" s="94"/>
      <c r="AK395" s="94"/>
    </row>
    <row r="396" spans="1:37">
      <c r="A396" s="94"/>
      <c r="B396" s="94"/>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c r="AE396" s="94"/>
      <c r="AF396" s="94"/>
      <c r="AG396" s="94"/>
      <c r="AH396" s="94"/>
      <c r="AI396" s="94"/>
      <c r="AJ396" s="94"/>
      <c r="AK396" s="94"/>
    </row>
    <row r="397" spans="1:37">
      <c r="A397" s="94"/>
      <c r="B397" s="94"/>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c r="AE397" s="94"/>
      <c r="AF397" s="94"/>
      <c r="AG397" s="94"/>
      <c r="AH397" s="94"/>
      <c r="AI397" s="94"/>
      <c r="AJ397" s="94"/>
      <c r="AK397" s="94"/>
    </row>
    <row r="398" spans="1:37">
      <c r="A398" s="94"/>
      <c r="B398" s="94"/>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94"/>
      <c r="AI398" s="94"/>
      <c r="AJ398" s="94"/>
      <c r="AK398" s="94"/>
    </row>
    <row r="399" spans="1:37">
      <c r="A399" s="94"/>
      <c r="B399" s="94"/>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c r="AE399" s="94"/>
      <c r="AF399" s="94"/>
      <c r="AG399" s="94"/>
      <c r="AH399" s="94"/>
      <c r="AI399" s="94"/>
      <c r="AJ399" s="94"/>
      <c r="AK399" s="94"/>
    </row>
    <row r="400" spans="1:37">
      <c r="A400" s="94"/>
      <c r="B400" s="94"/>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c r="AE400" s="94"/>
      <c r="AF400" s="94"/>
      <c r="AG400" s="94"/>
      <c r="AH400" s="94"/>
      <c r="AI400" s="94"/>
      <c r="AJ400" s="94"/>
      <c r="AK400" s="94"/>
    </row>
    <row r="401" spans="1:37">
      <c r="A401" s="94"/>
      <c r="B401" s="94"/>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c r="AE401" s="94"/>
      <c r="AF401" s="94"/>
      <c r="AG401" s="94"/>
      <c r="AH401" s="94"/>
      <c r="AI401" s="94"/>
      <c r="AJ401" s="94"/>
      <c r="AK401" s="94"/>
    </row>
    <row r="402" spans="1:37">
      <c r="A402" s="94"/>
      <c r="B402" s="94"/>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c r="AE402" s="94"/>
      <c r="AF402" s="94"/>
      <c r="AG402" s="94"/>
      <c r="AH402" s="94"/>
      <c r="AI402" s="94"/>
      <c r="AJ402" s="94"/>
      <c r="AK402" s="94"/>
    </row>
    <row r="403" spans="1:37">
      <c r="A403" s="94"/>
      <c r="B403" s="94"/>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c r="AE403" s="94"/>
      <c r="AF403" s="94"/>
      <c r="AG403" s="94"/>
      <c r="AH403" s="94"/>
      <c r="AI403" s="94"/>
      <c r="AJ403" s="94"/>
      <c r="AK403" s="94"/>
    </row>
    <row r="404" spans="1:37">
      <c r="A404" s="94"/>
      <c r="B404" s="94"/>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c r="AE404" s="94"/>
      <c r="AF404" s="94"/>
      <c r="AG404" s="94"/>
      <c r="AH404" s="94"/>
      <c r="AI404" s="94"/>
      <c r="AJ404" s="94"/>
      <c r="AK404" s="94"/>
    </row>
    <row r="405" spans="1:37">
      <c r="A405" s="94"/>
      <c r="B405" s="94"/>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c r="AE405" s="94"/>
      <c r="AF405" s="94"/>
      <c r="AG405" s="94"/>
      <c r="AH405" s="94"/>
      <c r="AI405" s="94"/>
      <c r="AJ405" s="94"/>
      <c r="AK405" s="94"/>
    </row>
    <row r="406" spans="1:37">
      <c r="A406" s="94"/>
      <c r="B406" s="94"/>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c r="AE406" s="94"/>
      <c r="AF406" s="94"/>
      <c r="AG406" s="94"/>
      <c r="AH406" s="94"/>
      <c r="AI406" s="94"/>
      <c r="AJ406" s="94"/>
      <c r="AK406" s="94"/>
    </row>
    <row r="407" spans="1:37">
      <c r="A407" s="94"/>
      <c r="B407" s="94"/>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c r="AE407" s="94"/>
      <c r="AF407" s="94"/>
      <c r="AG407" s="94"/>
      <c r="AH407" s="94"/>
      <c r="AI407" s="94"/>
      <c r="AJ407" s="94"/>
      <c r="AK407" s="94"/>
    </row>
    <row r="408" spans="1:37">
      <c r="A408" s="94"/>
      <c r="B408" s="94"/>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c r="AE408" s="94"/>
      <c r="AF408" s="94"/>
      <c r="AG408" s="94"/>
      <c r="AH408" s="94"/>
      <c r="AI408" s="94"/>
      <c r="AJ408" s="94"/>
      <c r="AK408" s="94"/>
    </row>
    <row r="409" spans="1:37">
      <c r="A409" s="94"/>
      <c r="B409" s="94"/>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c r="AE409" s="94"/>
      <c r="AF409" s="94"/>
      <c r="AG409" s="94"/>
      <c r="AH409" s="94"/>
      <c r="AI409" s="94"/>
      <c r="AJ409" s="94"/>
      <c r="AK409" s="94"/>
    </row>
    <row r="410" spans="1:37">
      <c r="A410" s="94"/>
      <c r="B410" s="94"/>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c r="AG410" s="94"/>
      <c r="AH410" s="94"/>
      <c r="AI410" s="94"/>
      <c r="AJ410" s="94"/>
      <c r="AK410" s="94"/>
    </row>
    <row r="411" spans="1:37">
      <c r="A411" s="94"/>
      <c r="B411" s="94"/>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c r="AE411" s="94"/>
      <c r="AF411" s="94"/>
      <c r="AG411" s="94"/>
      <c r="AH411" s="94"/>
      <c r="AI411" s="94"/>
      <c r="AJ411" s="94"/>
      <c r="AK411" s="94"/>
    </row>
    <row r="412" spans="1:37">
      <c r="A412" s="94"/>
      <c r="B412" s="94"/>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c r="AE412" s="94"/>
      <c r="AF412" s="94"/>
      <c r="AG412" s="94"/>
      <c r="AH412" s="94"/>
      <c r="AI412" s="94"/>
      <c r="AJ412" s="94"/>
      <c r="AK412" s="94"/>
    </row>
    <row r="413" spans="1:37">
      <c r="A413" s="94"/>
      <c r="B413" s="94"/>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c r="AE413" s="94"/>
      <c r="AF413" s="94"/>
      <c r="AG413" s="94"/>
      <c r="AH413" s="94"/>
      <c r="AI413" s="94"/>
      <c r="AJ413" s="94"/>
      <c r="AK413" s="94"/>
    </row>
    <row r="414" spans="1:37">
      <c r="A414" s="94"/>
      <c r="B414" s="94"/>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c r="AE414" s="94"/>
      <c r="AF414" s="94"/>
      <c r="AG414" s="94"/>
      <c r="AH414" s="94"/>
      <c r="AI414" s="94"/>
      <c r="AJ414" s="94"/>
      <c r="AK414" s="94"/>
    </row>
    <row r="415" spans="1:37">
      <c r="A415" s="94"/>
      <c r="B415" s="94"/>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c r="AE415" s="94"/>
      <c r="AF415" s="94"/>
      <c r="AG415" s="94"/>
      <c r="AH415" s="94"/>
      <c r="AI415" s="94"/>
      <c r="AJ415" s="94"/>
      <c r="AK415" s="94"/>
    </row>
    <row r="416" spans="1:37">
      <c r="A416" s="94"/>
      <c r="B416" s="94"/>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c r="AE416" s="94"/>
      <c r="AF416" s="94"/>
      <c r="AG416" s="94"/>
      <c r="AH416" s="94"/>
      <c r="AI416" s="94"/>
      <c r="AJ416" s="94"/>
      <c r="AK416" s="94"/>
    </row>
    <row r="417" spans="1:37">
      <c r="A417" s="94"/>
      <c r="B417" s="94"/>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c r="AE417" s="94"/>
      <c r="AF417" s="94"/>
      <c r="AG417" s="94"/>
      <c r="AH417" s="94"/>
      <c r="AI417" s="94"/>
      <c r="AJ417" s="94"/>
      <c r="AK417" s="94"/>
    </row>
    <row r="418" spans="1:37">
      <c r="A418" s="94"/>
      <c r="B418" s="94"/>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c r="AE418" s="94"/>
      <c r="AF418" s="94"/>
      <c r="AG418" s="94"/>
      <c r="AH418" s="94"/>
      <c r="AI418" s="94"/>
      <c r="AJ418" s="94"/>
      <c r="AK418" s="94"/>
    </row>
    <row r="419" spans="1:37">
      <c r="A419" s="94"/>
      <c r="B419" s="94"/>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c r="AE419" s="94"/>
      <c r="AF419" s="94"/>
      <c r="AG419" s="94"/>
      <c r="AH419" s="94"/>
      <c r="AI419" s="94"/>
      <c r="AJ419" s="94"/>
      <c r="AK419" s="94"/>
    </row>
    <row r="420" spans="1:37">
      <c r="A420" s="94"/>
      <c r="B420" s="94"/>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c r="AE420" s="94"/>
      <c r="AF420" s="94"/>
      <c r="AG420" s="94"/>
      <c r="AH420" s="94"/>
      <c r="AI420" s="94"/>
      <c r="AJ420" s="94"/>
      <c r="AK420" s="94"/>
    </row>
    <row r="421" spans="1:37">
      <c r="A421" s="94"/>
      <c r="B421" s="94"/>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c r="AG421" s="94"/>
      <c r="AH421" s="94"/>
      <c r="AI421" s="94"/>
      <c r="AJ421" s="94"/>
      <c r="AK421" s="94"/>
    </row>
    <row r="422" spans="1:37">
      <c r="A422" s="94"/>
      <c r="B422" s="94"/>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c r="AE422" s="94"/>
      <c r="AF422" s="94"/>
      <c r="AG422" s="94"/>
      <c r="AH422" s="94"/>
      <c r="AI422" s="94"/>
      <c r="AJ422" s="94"/>
      <c r="AK422" s="94"/>
    </row>
    <row r="423" spans="1:37">
      <c r="A423" s="94"/>
      <c r="B423" s="94"/>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c r="AE423" s="94"/>
      <c r="AF423" s="94"/>
      <c r="AG423" s="94"/>
      <c r="AH423" s="94"/>
      <c r="AI423" s="94"/>
      <c r="AJ423" s="94"/>
      <c r="AK423" s="94"/>
    </row>
    <row r="424" spans="1:37">
      <c r="A424" s="94"/>
      <c r="B424" s="94"/>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c r="AE424" s="94"/>
      <c r="AF424" s="94"/>
      <c r="AG424" s="94"/>
      <c r="AH424" s="94"/>
      <c r="AI424" s="94"/>
      <c r="AJ424" s="94"/>
      <c r="AK424" s="94"/>
    </row>
    <row r="425" spans="1:37">
      <c r="A425" s="94"/>
      <c r="B425" s="94"/>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c r="AE425" s="94"/>
      <c r="AF425" s="94"/>
      <c r="AG425" s="94"/>
      <c r="AH425" s="94"/>
      <c r="AI425" s="94"/>
      <c r="AJ425" s="94"/>
      <c r="AK425" s="94"/>
    </row>
    <row r="426" spans="1:37">
      <c r="A426" s="94"/>
      <c r="B426" s="94"/>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c r="AE426" s="94"/>
      <c r="AF426" s="94"/>
      <c r="AG426" s="94"/>
      <c r="AH426" s="94"/>
      <c r="AI426" s="94"/>
      <c r="AJ426" s="94"/>
      <c r="AK426" s="94"/>
    </row>
    <row r="427" spans="1:37">
      <c r="A427" s="94"/>
      <c r="B427" s="94"/>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c r="AE427" s="94"/>
      <c r="AF427" s="94"/>
      <c r="AG427" s="94"/>
      <c r="AH427" s="94"/>
      <c r="AI427" s="94"/>
      <c r="AJ427" s="94"/>
      <c r="AK427" s="94"/>
    </row>
    <row r="428" spans="1:37">
      <c r="A428" s="94"/>
      <c r="B428" s="94"/>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c r="AE428" s="94"/>
      <c r="AF428" s="94"/>
      <c r="AG428" s="94"/>
      <c r="AH428" s="94"/>
      <c r="AI428" s="94"/>
      <c r="AJ428" s="94"/>
      <c r="AK428" s="94"/>
    </row>
    <row r="429" spans="1:37">
      <c r="A429" s="94"/>
      <c r="B429" s="94"/>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c r="AE429" s="94"/>
      <c r="AF429" s="94"/>
      <c r="AG429" s="94"/>
      <c r="AH429" s="94"/>
      <c r="AI429" s="94"/>
      <c r="AJ429" s="94"/>
      <c r="AK429" s="94"/>
    </row>
    <row r="430" spans="1:37">
      <c r="A430" s="94"/>
      <c r="B430" s="94"/>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c r="AE430" s="94"/>
      <c r="AF430" s="94"/>
      <c r="AG430" s="94"/>
      <c r="AH430" s="94"/>
      <c r="AI430" s="94"/>
      <c r="AJ430" s="94"/>
      <c r="AK430" s="94"/>
    </row>
    <row r="431" spans="1:37">
      <c r="A431" s="94"/>
      <c r="B431" s="94"/>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c r="AE431" s="94"/>
      <c r="AF431" s="94"/>
      <c r="AG431" s="94"/>
      <c r="AH431" s="94"/>
      <c r="AI431" s="94"/>
      <c r="AJ431" s="94"/>
      <c r="AK431" s="94"/>
    </row>
    <row r="432" spans="1:37">
      <c r="A432" s="94"/>
      <c r="B432" s="94"/>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c r="AE432" s="94"/>
      <c r="AF432" s="94"/>
      <c r="AG432" s="94"/>
      <c r="AH432" s="94"/>
      <c r="AI432" s="94"/>
      <c r="AJ432" s="94"/>
      <c r="AK432" s="94"/>
    </row>
    <row r="433" spans="1:37">
      <c r="A433" s="94"/>
      <c r="B433" s="94"/>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c r="AE433" s="94"/>
      <c r="AF433" s="94"/>
      <c r="AG433" s="94"/>
      <c r="AH433" s="94"/>
      <c r="AI433" s="94"/>
      <c r="AJ433" s="94"/>
      <c r="AK433" s="94"/>
    </row>
    <row r="434" spans="1:37">
      <c r="A434" s="94"/>
      <c r="B434" s="94"/>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c r="AE434" s="94"/>
      <c r="AF434" s="94"/>
      <c r="AG434" s="94"/>
      <c r="AH434" s="94"/>
      <c r="AI434" s="94"/>
      <c r="AJ434" s="94"/>
      <c r="AK434" s="94"/>
    </row>
    <row r="435" spans="1:37">
      <c r="A435" s="94"/>
      <c r="B435" s="94"/>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c r="AE435" s="94"/>
      <c r="AF435" s="94"/>
      <c r="AG435" s="94"/>
      <c r="AH435" s="94"/>
      <c r="AI435" s="94"/>
      <c r="AJ435" s="94"/>
      <c r="AK435" s="94"/>
    </row>
    <row r="436" spans="1:37">
      <c r="A436" s="94"/>
      <c r="B436" s="94"/>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c r="AE436" s="94"/>
      <c r="AF436" s="94"/>
      <c r="AG436" s="94"/>
      <c r="AH436" s="94"/>
      <c r="AI436" s="94"/>
      <c r="AJ436" s="94"/>
      <c r="AK436" s="94"/>
    </row>
    <row r="437" spans="1:37">
      <c r="A437" s="94"/>
      <c r="B437" s="94"/>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c r="AE437" s="94"/>
      <c r="AF437" s="94"/>
      <c r="AG437" s="94"/>
      <c r="AH437" s="94"/>
      <c r="AI437" s="94"/>
      <c r="AJ437" s="94"/>
      <c r="AK437" s="94"/>
    </row>
    <row r="438" spans="1:37">
      <c r="A438" s="94"/>
      <c r="B438" s="94"/>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c r="AE438" s="94"/>
      <c r="AF438" s="94"/>
      <c r="AG438" s="94"/>
      <c r="AH438" s="94"/>
      <c r="AI438" s="94"/>
      <c r="AJ438" s="94"/>
      <c r="AK438" s="94"/>
    </row>
    <row r="439" spans="1:37">
      <c r="A439" s="94"/>
      <c r="B439" s="94"/>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c r="AE439" s="94"/>
      <c r="AF439" s="94"/>
      <c r="AG439" s="94"/>
      <c r="AH439" s="94"/>
      <c r="AI439" s="94"/>
      <c r="AJ439" s="94"/>
      <c r="AK439" s="94"/>
    </row>
    <row r="440" spans="1:37">
      <c r="A440" s="94"/>
      <c r="B440" s="94"/>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c r="AE440" s="94"/>
      <c r="AF440" s="94"/>
      <c r="AG440" s="94"/>
      <c r="AH440" s="94"/>
      <c r="AI440" s="94"/>
      <c r="AJ440" s="94"/>
      <c r="AK440" s="94"/>
    </row>
    <row r="441" spans="1:37">
      <c r="A441" s="94"/>
      <c r="B441" s="94"/>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c r="AE441" s="94"/>
      <c r="AF441" s="94"/>
      <c r="AG441" s="94"/>
      <c r="AH441" s="94"/>
      <c r="AI441" s="94"/>
      <c r="AJ441" s="94"/>
      <c r="AK441" s="94"/>
    </row>
    <row r="442" spans="1:37">
      <c r="A442" s="94"/>
      <c r="B442" s="94"/>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c r="AE442" s="94"/>
      <c r="AF442" s="94"/>
      <c r="AG442" s="94"/>
      <c r="AH442" s="94"/>
      <c r="AI442" s="94"/>
      <c r="AJ442" s="94"/>
      <c r="AK442" s="94"/>
    </row>
    <row r="443" spans="1:37">
      <c r="A443" s="94"/>
      <c r="B443" s="94"/>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c r="AE443" s="94"/>
      <c r="AF443" s="94"/>
      <c r="AG443" s="94"/>
      <c r="AH443" s="94"/>
      <c r="AI443" s="94"/>
      <c r="AJ443" s="94"/>
      <c r="AK443" s="94"/>
    </row>
    <row r="444" spans="1:37">
      <c r="A444" s="94"/>
      <c r="B444" s="94"/>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c r="AE444" s="94"/>
      <c r="AF444" s="94"/>
      <c r="AG444" s="94"/>
      <c r="AH444" s="94"/>
      <c r="AI444" s="94"/>
      <c r="AJ444" s="94"/>
      <c r="AK444" s="94"/>
    </row>
    <row r="445" spans="1:37">
      <c r="A445" s="94"/>
      <c r="B445" s="94"/>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c r="AE445" s="94"/>
      <c r="AF445" s="94"/>
      <c r="AG445" s="94"/>
      <c r="AH445" s="94"/>
      <c r="AI445" s="94"/>
      <c r="AJ445" s="94"/>
      <c r="AK445" s="94"/>
    </row>
    <row r="446" spans="1:37">
      <c r="A446" s="94"/>
      <c r="B446" s="94"/>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c r="AE446" s="94"/>
      <c r="AF446" s="94"/>
      <c r="AG446" s="94"/>
      <c r="AH446" s="94"/>
      <c r="AI446" s="94"/>
      <c r="AJ446" s="94"/>
      <c r="AK446" s="94"/>
    </row>
    <row r="447" spans="1:37">
      <c r="A447" s="94"/>
      <c r="B447" s="94"/>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c r="AE447" s="94"/>
      <c r="AF447" s="94"/>
      <c r="AG447" s="94"/>
      <c r="AH447" s="94"/>
      <c r="AI447" s="94"/>
      <c r="AJ447" s="94"/>
      <c r="AK447" s="94"/>
    </row>
    <row r="448" spans="1:37">
      <c r="A448" s="94"/>
      <c r="B448" s="94"/>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c r="AE448" s="94"/>
      <c r="AF448" s="94"/>
      <c r="AG448" s="94"/>
      <c r="AH448" s="94"/>
      <c r="AI448" s="94"/>
      <c r="AJ448" s="94"/>
      <c r="AK448" s="94"/>
    </row>
    <row r="449" spans="1:37">
      <c r="A449" s="94"/>
      <c r="B449" s="94"/>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c r="AE449" s="94"/>
      <c r="AF449" s="94"/>
      <c r="AG449" s="94"/>
      <c r="AH449" s="94"/>
      <c r="AI449" s="94"/>
      <c r="AJ449" s="94"/>
      <c r="AK449" s="94"/>
    </row>
    <row r="450" spans="1:37">
      <c r="A450" s="94"/>
      <c r="B450" s="94"/>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c r="AE450" s="94"/>
      <c r="AF450" s="94"/>
      <c r="AG450" s="94"/>
      <c r="AH450" s="94"/>
      <c r="AI450" s="94"/>
      <c r="AJ450" s="94"/>
      <c r="AK450" s="94"/>
    </row>
    <row r="451" spans="1:37">
      <c r="A451" s="94"/>
      <c r="B451" s="94"/>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c r="AE451" s="94"/>
      <c r="AF451" s="94"/>
      <c r="AG451" s="94"/>
      <c r="AH451" s="94"/>
      <c r="AI451" s="94"/>
      <c r="AJ451" s="94"/>
      <c r="AK451" s="94"/>
    </row>
    <row r="452" spans="1:37">
      <c r="A452" s="94"/>
      <c r="B452" s="94"/>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c r="AE452" s="94"/>
      <c r="AF452" s="94"/>
      <c r="AG452" s="94"/>
      <c r="AH452" s="94"/>
      <c r="AI452" s="94"/>
      <c r="AJ452" s="94"/>
      <c r="AK452" s="94"/>
    </row>
    <row r="453" spans="1:37">
      <c r="A453" s="94"/>
      <c r="B453" s="94"/>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c r="AE453" s="94"/>
      <c r="AF453" s="94"/>
      <c r="AG453" s="94"/>
      <c r="AH453" s="94"/>
      <c r="AI453" s="94"/>
      <c r="AJ453" s="94"/>
      <c r="AK453" s="94"/>
    </row>
    <row r="454" spans="1:37">
      <c r="A454" s="94"/>
      <c r="B454" s="94"/>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c r="AE454" s="94"/>
      <c r="AF454" s="94"/>
      <c r="AG454" s="94"/>
      <c r="AH454" s="94"/>
      <c r="AI454" s="94"/>
      <c r="AJ454" s="94"/>
      <c r="AK454" s="94"/>
    </row>
    <row r="455" spans="1:37">
      <c r="A455" s="94"/>
      <c r="B455" s="94"/>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c r="AE455" s="94"/>
      <c r="AF455" s="94"/>
      <c r="AG455" s="94"/>
      <c r="AH455" s="94"/>
      <c r="AI455" s="94"/>
      <c r="AJ455" s="94"/>
      <c r="AK455" s="94"/>
    </row>
    <row r="456" spans="1:37">
      <c r="A456" s="94"/>
      <c r="B456" s="94"/>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c r="AE456" s="94"/>
      <c r="AF456" s="94"/>
      <c r="AG456" s="94"/>
      <c r="AH456" s="94"/>
      <c r="AI456" s="94"/>
      <c r="AJ456" s="94"/>
      <c r="AK456" s="94"/>
    </row>
    <row r="457" spans="1:37">
      <c r="A457" s="94"/>
      <c r="B457" s="94"/>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c r="AE457" s="94"/>
      <c r="AF457" s="94"/>
      <c r="AG457" s="94"/>
      <c r="AH457" s="94"/>
      <c r="AI457" s="94"/>
      <c r="AJ457" s="94"/>
      <c r="AK457" s="94"/>
    </row>
    <row r="458" spans="1:37">
      <c r="A458" s="94"/>
      <c r="B458" s="94"/>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c r="AE458" s="94"/>
      <c r="AF458" s="94"/>
      <c r="AG458" s="94"/>
      <c r="AH458" s="94"/>
      <c r="AI458" s="94"/>
      <c r="AJ458" s="94"/>
      <c r="AK458" s="94"/>
    </row>
    <row r="459" spans="1:37">
      <c r="A459" s="94"/>
      <c r="B459" s="94"/>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c r="AE459" s="94"/>
      <c r="AF459" s="94"/>
      <c r="AG459" s="94"/>
      <c r="AH459" s="94"/>
      <c r="AI459" s="94"/>
      <c r="AJ459" s="94"/>
      <c r="AK459" s="94"/>
    </row>
    <row r="460" spans="1:37">
      <c r="A460" s="94"/>
      <c r="B460" s="94"/>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c r="AE460" s="94"/>
      <c r="AF460" s="94"/>
      <c r="AG460" s="94"/>
      <c r="AH460" s="94"/>
      <c r="AI460" s="94"/>
      <c r="AJ460" s="94"/>
      <c r="AK460" s="94"/>
    </row>
    <row r="461" spans="1:37">
      <c r="A461" s="94"/>
      <c r="B461" s="94"/>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c r="AE461" s="94"/>
      <c r="AF461" s="94"/>
      <c r="AG461" s="94"/>
      <c r="AH461" s="94"/>
      <c r="AI461" s="94"/>
      <c r="AJ461" s="94"/>
      <c r="AK461" s="94"/>
    </row>
    <row r="462" spans="1:37">
      <c r="A462" s="94"/>
      <c r="B462" s="94"/>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c r="AE462" s="94"/>
      <c r="AF462" s="94"/>
      <c r="AG462" s="94"/>
      <c r="AH462" s="94"/>
      <c r="AI462" s="94"/>
      <c r="AJ462" s="94"/>
      <c r="AK462" s="94"/>
    </row>
    <row r="463" spans="1:37">
      <c r="A463" s="94"/>
      <c r="B463" s="94"/>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c r="AE463" s="94"/>
      <c r="AF463" s="94"/>
      <c r="AG463" s="94"/>
      <c r="AH463" s="94"/>
      <c r="AI463" s="94"/>
      <c r="AJ463" s="94"/>
      <c r="AK463" s="94"/>
    </row>
    <row r="464" spans="1:37">
      <c r="A464" s="94"/>
      <c r="B464" s="94"/>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c r="AE464" s="94"/>
      <c r="AF464" s="94"/>
      <c r="AG464" s="94"/>
      <c r="AH464" s="94"/>
      <c r="AI464" s="94"/>
      <c r="AJ464" s="94"/>
      <c r="AK464" s="94"/>
    </row>
    <row r="465" spans="1:37">
      <c r="A465" s="94"/>
      <c r="B465" s="94"/>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c r="AE465" s="94"/>
      <c r="AF465" s="94"/>
      <c r="AG465" s="94"/>
      <c r="AH465" s="94"/>
      <c r="AI465" s="94"/>
      <c r="AJ465" s="94"/>
      <c r="AK465" s="94"/>
    </row>
    <row r="466" spans="1:37">
      <c r="A466" s="94"/>
      <c r="B466" s="94"/>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c r="AE466" s="94"/>
      <c r="AF466" s="94"/>
      <c r="AG466" s="94"/>
      <c r="AH466" s="94"/>
      <c r="AI466" s="94"/>
      <c r="AJ466" s="94"/>
      <c r="AK466" s="94"/>
    </row>
    <row r="467" spans="1:37">
      <c r="A467" s="94"/>
      <c r="B467" s="94"/>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c r="AE467" s="94"/>
      <c r="AF467" s="94"/>
      <c r="AG467" s="94"/>
      <c r="AH467" s="94"/>
      <c r="AI467" s="94"/>
      <c r="AJ467" s="94"/>
      <c r="AK467" s="94"/>
    </row>
    <row r="468" spans="1:37">
      <c r="A468" s="94"/>
      <c r="B468" s="94"/>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c r="AE468" s="94"/>
      <c r="AF468" s="94"/>
      <c r="AG468" s="94"/>
      <c r="AH468" s="94"/>
      <c r="AI468" s="94"/>
      <c r="AJ468" s="94"/>
      <c r="AK468" s="94"/>
    </row>
    <row r="469" spans="1:37">
      <c r="A469" s="94"/>
      <c r="B469" s="94"/>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c r="AE469" s="94"/>
      <c r="AF469" s="94"/>
      <c r="AG469" s="94"/>
      <c r="AH469" s="94"/>
      <c r="AI469" s="94"/>
      <c r="AJ469" s="94"/>
      <c r="AK469" s="94"/>
    </row>
    <row r="470" spans="1:37">
      <c r="A470" s="94"/>
      <c r="B470" s="94"/>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c r="AE470" s="94"/>
      <c r="AF470" s="94"/>
      <c r="AG470" s="94"/>
      <c r="AH470" s="94"/>
      <c r="AI470" s="94"/>
      <c r="AJ470" s="94"/>
      <c r="AK470" s="94"/>
    </row>
    <row r="471" spans="1:37">
      <c r="A471" s="94"/>
      <c r="B471" s="94"/>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c r="AE471" s="94"/>
      <c r="AF471" s="94"/>
      <c r="AG471" s="94"/>
      <c r="AH471" s="94"/>
      <c r="AI471" s="94"/>
      <c r="AJ471" s="94"/>
      <c r="AK471" s="94"/>
    </row>
    <row r="472" spans="1:37">
      <c r="A472" s="94"/>
      <c r="B472" s="94"/>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c r="AE472" s="94"/>
      <c r="AF472" s="94"/>
      <c r="AG472" s="94"/>
      <c r="AH472" s="94"/>
      <c r="AI472" s="94"/>
      <c r="AJ472" s="94"/>
      <c r="AK472" s="94"/>
    </row>
    <row r="473" spans="1:37">
      <c r="A473" s="94"/>
      <c r="B473" s="94"/>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c r="AE473" s="94"/>
      <c r="AF473" s="94"/>
      <c r="AG473" s="94"/>
      <c r="AH473" s="94"/>
      <c r="AI473" s="94"/>
      <c r="AJ473" s="94"/>
      <c r="AK473" s="94"/>
    </row>
    <row r="474" spans="1:37">
      <c r="A474" s="94"/>
      <c r="B474" s="94"/>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c r="AE474" s="94"/>
      <c r="AF474" s="94"/>
      <c r="AG474" s="94"/>
      <c r="AH474" s="94"/>
      <c r="AI474" s="94"/>
      <c r="AJ474" s="94"/>
      <c r="AK474" s="94"/>
    </row>
    <row r="475" spans="1:37">
      <c r="A475" s="94"/>
      <c r="B475" s="94"/>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c r="AE475" s="94"/>
      <c r="AF475" s="94"/>
      <c r="AG475" s="94"/>
      <c r="AH475" s="94"/>
      <c r="AI475" s="94"/>
      <c r="AJ475" s="94"/>
      <c r="AK475" s="94"/>
    </row>
    <row r="476" spans="1:37">
      <c r="A476" s="94"/>
      <c r="B476" s="94"/>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c r="AE476" s="94"/>
      <c r="AF476" s="94"/>
      <c r="AG476" s="94"/>
      <c r="AH476" s="94"/>
      <c r="AI476" s="94"/>
      <c r="AJ476" s="94"/>
      <c r="AK476" s="94"/>
    </row>
    <row r="477" spans="1:37">
      <c r="A477" s="94"/>
      <c r="B477" s="94"/>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c r="AE477" s="94"/>
      <c r="AF477" s="94"/>
      <c r="AG477" s="94"/>
      <c r="AH477" s="94"/>
      <c r="AI477" s="94"/>
      <c r="AJ477" s="94"/>
      <c r="AK477" s="94"/>
    </row>
    <row r="478" spans="1:37">
      <c r="A478" s="94"/>
      <c r="B478" s="94"/>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c r="AE478" s="94"/>
      <c r="AF478" s="94"/>
      <c r="AG478" s="94"/>
      <c r="AH478" s="94"/>
      <c r="AI478" s="94"/>
      <c r="AJ478" s="94"/>
      <c r="AK478" s="94"/>
    </row>
    <row r="479" spans="1:37">
      <c r="A479" s="94"/>
      <c r="B479" s="94"/>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c r="AE479" s="94"/>
      <c r="AF479" s="94"/>
      <c r="AG479" s="94"/>
      <c r="AH479" s="94"/>
      <c r="AI479" s="94"/>
      <c r="AJ479" s="94"/>
      <c r="AK479" s="94"/>
    </row>
    <row r="480" spans="1:37">
      <c r="A480" s="94"/>
      <c r="B480" s="94"/>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c r="AE480" s="94"/>
      <c r="AF480" s="94"/>
      <c r="AG480" s="94"/>
      <c r="AH480" s="94"/>
      <c r="AI480" s="94"/>
      <c r="AJ480" s="94"/>
      <c r="AK480" s="94"/>
    </row>
    <row r="481" spans="1:37">
      <c r="A481" s="94"/>
      <c r="B481" s="94"/>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c r="AE481" s="94"/>
      <c r="AF481" s="94"/>
      <c r="AG481" s="94"/>
      <c r="AH481" s="94"/>
      <c r="AI481" s="94"/>
      <c r="AJ481" s="94"/>
      <c r="AK481" s="94"/>
    </row>
    <row r="482" spans="1:37">
      <c r="A482" s="94"/>
      <c r="B482" s="94"/>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c r="AE482" s="94"/>
      <c r="AF482" s="94"/>
      <c r="AG482" s="94"/>
      <c r="AH482" s="94"/>
      <c r="AI482" s="94"/>
      <c r="AJ482" s="94"/>
      <c r="AK482" s="94"/>
    </row>
    <row r="483" spans="1:37">
      <c r="A483" s="94"/>
      <c r="B483" s="94"/>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c r="AE483" s="94"/>
      <c r="AF483" s="94"/>
      <c r="AG483" s="94"/>
      <c r="AH483" s="94"/>
      <c r="AI483" s="94"/>
      <c r="AJ483" s="94"/>
      <c r="AK483" s="94"/>
    </row>
    <row r="484" spans="1:37">
      <c r="A484" s="94"/>
      <c r="B484" s="94"/>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c r="AE484" s="94"/>
      <c r="AF484" s="94"/>
      <c r="AG484" s="94"/>
      <c r="AH484" s="94"/>
      <c r="AI484" s="94"/>
      <c r="AJ484" s="94"/>
      <c r="AK484" s="94"/>
    </row>
    <row r="485" spans="1:37">
      <c r="A485" s="94"/>
      <c r="B485" s="94"/>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c r="AE485" s="94"/>
      <c r="AF485" s="94"/>
      <c r="AG485" s="94"/>
      <c r="AH485" s="94"/>
      <c r="AI485" s="94"/>
      <c r="AJ485" s="94"/>
      <c r="AK485" s="94"/>
    </row>
    <row r="486" spans="1:37">
      <c r="A486" s="94"/>
      <c r="B486" s="94"/>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c r="AE486" s="94"/>
      <c r="AF486" s="94"/>
      <c r="AG486" s="94"/>
      <c r="AH486" s="94"/>
      <c r="AI486" s="94"/>
      <c r="AJ486" s="94"/>
      <c r="AK486" s="94"/>
    </row>
    <row r="487" spans="1:37">
      <c r="A487" s="94"/>
      <c r="B487" s="94"/>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c r="AE487" s="94"/>
      <c r="AF487" s="94"/>
      <c r="AG487" s="94"/>
      <c r="AH487" s="94"/>
      <c r="AI487" s="94"/>
      <c r="AJ487" s="94"/>
      <c r="AK487" s="94"/>
    </row>
    <row r="488" spans="1:37">
      <c r="A488" s="94"/>
      <c r="B488" s="94"/>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c r="AE488" s="94"/>
      <c r="AF488" s="94"/>
      <c r="AG488" s="94"/>
      <c r="AH488" s="94"/>
      <c r="AI488" s="94"/>
      <c r="AJ488" s="94"/>
      <c r="AK488" s="94"/>
    </row>
    <row r="489" spans="1:37">
      <c r="A489" s="94"/>
      <c r="B489" s="94"/>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c r="AE489" s="94"/>
      <c r="AF489" s="94"/>
      <c r="AG489" s="94"/>
      <c r="AH489" s="94"/>
      <c r="AI489" s="94"/>
      <c r="AJ489" s="94"/>
      <c r="AK489" s="94"/>
    </row>
    <row r="490" spans="1:37">
      <c r="A490" s="94"/>
      <c r="B490" s="94"/>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c r="AE490" s="94"/>
      <c r="AF490" s="94"/>
      <c r="AG490" s="94"/>
      <c r="AH490" s="94"/>
      <c r="AI490" s="94"/>
      <c r="AJ490" s="94"/>
      <c r="AK490" s="94"/>
    </row>
    <row r="491" spans="1:37">
      <c r="A491" s="94"/>
      <c r="B491" s="94"/>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c r="AE491" s="94"/>
      <c r="AF491" s="94"/>
      <c r="AG491" s="94"/>
      <c r="AH491" s="94"/>
      <c r="AI491" s="94"/>
      <c r="AJ491" s="94"/>
      <c r="AK491" s="94"/>
    </row>
    <row r="492" spans="1:37">
      <c r="A492" s="94"/>
      <c r="B492" s="94"/>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c r="AE492" s="94"/>
      <c r="AF492" s="94"/>
      <c r="AG492" s="94"/>
      <c r="AH492" s="94"/>
      <c r="AI492" s="94"/>
      <c r="AJ492" s="94"/>
      <c r="AK492" s="94"/>
    </row>
    <row r="493" spans="1:37">
      <c r="A493" s="94"/>
      <c r="B493" s="94"/>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c r="AE493" s="94"/>
      <c r="AF493" s="94"/>
      <c r="AG493" s="94"/>
      <c r="AH493" s="94"/>
      <c r="AI493" s="94"/>
      <c r="AJ493" s="94"/>
      <c r="AK493" s="94"/>
    </row>
    <row r="494" spans="1:37">
      <c r="A494" s="94"/>
      <c r="B494" s="94"/>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c r="AE494" s="94"/>
      <c r="AF494" s="94"/>
      <c r="AG494" s="94"/>
      <c r="AH494" s="94"/>
      <c r="AI494" s="94"/>
      <c r="AJ494" s="94"/>
      <c r="AK494" s="94"/>
    </row>
    <row r="495" spans="1:37">
      <c r="A495" s="94"/>
      <c r="B495" s="94"/>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c r="AE495" s="94"/>
      <c r="AF495" s="94"/>
      <c r="AG495" s="94"/>
      <c r="AH495" s="94"/>
      <c r="AI495" s="94"/>
      <c r="AJ495" s="94"/>
      <c r="AK495" s="94"/>
    </row>
    <row r="496" spans="1:37">
      <c r="A496" s="94"/>
      <c r="B496" s="94"/>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c r="AE496" s="94"/>
      <c r="AF496" s="94"/>
      <c r="AG496" s="94"/>
      <c r="AH496" s="94"/>
      <c r="AI496" s="94"/>
      <c r="AJ496" s="94"/>
      <c r="AK496" s="94"/>
    </row>
    <row r="497" spans="1:37">
      <c r="A497" s="94"/>
      <c r="B497" s="94"/>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c r="AE497" s="94"/>
      <c r="AF497" s="94"/>
      <c r="AG497" s="94"/>
      <c r="AH497" s="94"/>
      <c r="AI497" s="94"/>
      <c r="AJ497" s="94"/>
      <c r="AK497" s="94"/>
    </row>
    <row r="498" spans="1:37">
      <c r="A498" s="94"/>
      <c r="B498" s="94"/>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c r="AE498" s="94"/>
      <c r="AF498" s="94"/>
      <c r="AG498" s="94"/>
      <c r="AH498" s="94"/>
      <c r="AI498" s="94"/>
      <c r="AJ498" s="94"/>
      <c r="AK498" s="94"/>
    </row>
    <row r="499" spans="1:37">
      <c r="A499" s="94"/>
      <c r="B499" s="94"/>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c r="AE499" s="94"/>
      <c r="AF499" s="94"/>
      <c r="AG499" s="94"/>
      <c r="AH499" s="94"/>
      <c r="AI499" s="94"/>
      <c r="AJ499" s="94"/>
      <c r="AK499" s="94"/>
    </row>
    <row r="500" spans="1:37">
      <c r="A500" s="94"/>
      <c r="B500" s="94"/>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c r="AE500" s="94"/>
      <c r="AF500" s="94"/>
      <c r="AG500" s="94"/>
      <c r="AH500" s="94"/>
      <c r="AI500" s="94"/>
      <c r="AJ500" s="94"/>
      <c r="AK500" s="94"/>
    </row>
    <row r="501" spans="1:37">
      <c r="A501" s="94"/>
      <c r="B501" s="94"/>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c r="AE501" s="94"/>
      <c r="AF501" s="94"/>
      <c r="AG501" s="94"/>
      <c r="AH501" s="94"/>
      <c r="AI501" s="94"/>
      <c r="AJ501" s="94"/>
      <c r="AK501" s="94"/>
    </row>
    <row r="502" spans="1:37">
      <c r="A502" s="94"/>
      <c r="B502" s="94"/>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c r="AE502" s="94"/>
      <c r="AF502" s="94"/>
      <c r="AG502" s="94"/>
      <c r="AH502" s="94"/>
      <c r="AI502" s="94"/>
      <c r="AJ502" s="94"/>
      <c r="AK502" s="94"/>
    </row>
    <row r="503" spans="1:37">
      <c r="A503" s="94"/>
      <c r="B503" s="94"/>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c r="AE503" s="94"/>
      <c r="AF503" s="94"/>
      <c r="AG503" s="94"/>
      <c r="AH503" s="94"/>
      <c r="AI503" s="94"/>
      <c r="AJ503" s="94"/>
      <c r="AK503" s="94"/>
    </row>
    <row r="504" spans="1:37">
      <c r="A504" s="94"/>
      <c r="B504" s="94"/>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c r="AE504" s="94"/>
      <c r="AF504" s="94"/>
      <c r="AG504" s="94"/>
      <c r="AH504" s="94"/>
      <c r="AI504" s="94"/>
      <c r="AJ504" s="94"/>
      <c r="AK504" s="94"/>
    </row>
    <row r="505" spans="1:37">
      <c r="A505" s="94"/>
      <c r="B505" s="94"/>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c r="AE505" s="94"/>
      <c r="AF505" s="94"/>
      <c r="AG505" s="94"/>
      <c r="AH505" s="94"/>
      <c r="AI505" s="94"/>
      <c r="AJ505" s="94"/>
      <c r="AK505" s="94"/>
    </row>
    <row r="506" spans="1:37">
      <c r="A506" s="94"/>
      <c r="B506" s="94"/>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c r="AE506" s="94"/>
      <c r="AF506" s="94"/>
      <c r="AG506" s="94"/>
      <c r="AH506" s="94"/>
      <c r="AI506" s="94"/>
      <c r="AJ506" s="94"/>
      <c r="AK506" s="94"/>
    </row>
    <row r="507" spans="1:37">
      <c r="A507" s="94"/>
      <c r="B507" s="94"/>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c r="AE507" s="94"/>
      <c r="AF507" s="94"/>
      <c r="AG507" s="94"/>
      <c r="AH507" s="94"/>
      <c r="AI507" s="94"/>
      <c r="AJ507" s="94"/>
      <c r="AK507" s="94"/>
    </row>
    <row r="508" spans="1:37">
      <c r="A508" s="94"/>
      <c r="B508" s="94"/>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c r="AE508" s="94"/>
      <c r="AF508" s="94"/>
      <c r="AG508" s="94"/>
      <c r="AH508" s="94"/>
      <c r="AI508" s="94"/>
      <c r="AJ508" s="94"/>
      <c r="AK508" s="94"/>
    </row>
    <row r="509" spans="1:37">
      <c r="A509" s="94"/>
      <c r="B509" s="94"/>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c r="AE509" s="94"/>
      <c r="AF509" s="94"/>
      <c r="AG509" s="94"/>
      <c r="AH509" s="94"/>
      <c r="AI509" s="94"/>
      <c r="AJ509" s="94"/>
      <c r="AK509" s="94"/>
    </row>
    <row r="510" spans="1:37">
      <c r="A510" s="94"/>
      <c r="B510" s="94"/>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c r="AE510" s="94"/>
      <c r="AF510" s="94"/>
      <c r="AG510" s="94"/>
      <c r="AH510" s="94"/>
      <c r="AI510" s="94"/>
      <c r="AJ510" s="94"/>
      <c r="AK510" s="94"/>
    </row>
    <row r="511" spans="1:37">
      <c r="A511" s="94"/>
      <c r="B511" s="94"/>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c r="AE511" s="94"/>
      <c r="AF511" s="94"/>
      <c r="AG511" s="94"/>
      <c r="AH511" s="94"/>
      <c r="AI511" s="94"/>
      <c r="AJ511" s="94"/>
      <c r="AK511" s="94"/>
    </row>
    <row r="512" spans="1:37">
      <c r="A512" s="94"/>
      <c r="B512" s="94"/>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c r="AE512" s="94"/>
      <c r="AF512" s="94"/>
      <c r="AG512" s="94"/>
      <c r="AH512" s="94"/>
      <c r="AI512" s="94"/>
      <c r="AJ512" s="94"/>
      <c r="AK512" s="94"/>
    </row>
    <row r="513" spans="1:37">
      <c r="A513" s="94"/>
      <c r="B513" s="94"/>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c r="AE513" s="94"/>
      <c r="AF513" s="94"/>
      <c r="AG513" s="94"/>
      <c r="AH513" s="94"/>
      <c r="AI513" s="94"/>
      <c r="AJ513" s="94"/>
      <c r="AK513" s="94"/>
    </row>
    <row r="514" spans="1:37">
      <c r="A514" s="94"/>
      <c r="B514" s="94"/>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c r="AE514" s="94"/>
      <c r="AF514" s="94"/>
      <c r="AG514" s="94"/>
      <c r="AH514" s="94"/>
      <c r="AI514" s="94"/>
      <c r="AJ514" s="94"/>
      <c r="AK514" s="94"/>
    </row>
    <row r="515" spans="1:37">
      <c r="A515" s="94"/>
      <c r="B515" s="94"/>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c r="AE515" s="94"/>
      <c r="AF515" s="94"/>
      <c r="AG515" s="94"/>
      <c r="AH515" s="94"/>
      <c r="AI515" s="94"/>
      <c r="AJ515" s="94"/>
      <c r="AK515" s="94"/>
    </row>
    <row r="516" spans="1:37">
      <c r="A516" s="94"/>
      <c r="B516" s="94"/>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c r="AE516" s="94"/>
      <c r="AF516" s="94"/>
      <c r="AG516" s="94"/>
      <c r="AH516" s="94"/>
      <c r="AI516" s="94"/>
      <c r="AJ516" s="94"/>
      <c r="AK516" s="94"/>
    </row>
    <row r="517" spans="1:37">
      <c r="A517" s="94"/>
      <c r="B517" s="94"/>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c r="AE517" s="94"/>
      <c r="AF517" s="94"/>
      <c r="AG517" s="94"/>
      <c r="AH517" s="94"/>
      <c r="AI517" s="94"/>
      <c r="AJ517" s="94"/>
      <c r="AK517" s="94"/>
    </row>
    <row r="518" spans="1:37">
      <c r="A518" s="94"/>
      <c r="B518" s="94"/>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c r="AE518" s="94"/>
      <c r="AF518" s="94"/>
      <c r="AG518" s="94"/>
      <c r="AH518" s="94"/>
      <c r="AI518" s="94"/>
      <c r="AJ518" s="94"/>
      <c r="AK518" s="94"/>
    </row>
    <row r="519" spans="1:37">
      <c r="A519" s="94"/>
      <c r="B519" s="94"/>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c r="AE519" s="94"/>
      <c r="AF519" s="94"/>
      <c r="AG519" s="94"/>
      <c r="AH519" s="94"/>
      <c r="AI519" s="94"/>
      <c r="AJ519" s="94"/>
      <c r="AK519" s="94"/>
    </row>
    <row r="520" spans="1:37">
      <c r="A520" s="94"/>
      <c r="B520" s="94"/>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c r="AE520" s="94"/>
      <c r="AF520" s="94"/>
      <c r="AG520" s="94"/>
      <c r="AH520" s="94"/>
      <c r="AI520" s="94"/>
      <c r="AJ520" s="94"/>
      <c r="AK520" s="94"/>
    </row>
    <row r="521" spans="1:37">
      <c r="A521" s="94"/>
      <c r="B521" s="94"/>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c r="AE521" s="94"/>
      <c r="AF521" s="94"/>
      <c r="AG521" s="94"/>
      <c r="AH521" s="94"/>
      <c r="AI521" s="94"/>
      <c r="AJ521" s="94"/>
      <c r="AK521" s="94"/>
    </row>
    <row r="522" spans="1:37">
      <c r="A522" s="94"/>
      <c r="B522" s="94"/>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c r="AE522" s="94"/>
      <c r="AF522" s="94"/>
      <c r="AG522" s="94"/>
      <c r="AH522" s="94"/>
      <c r="AI522" s="94"/>
      <c r="AJ522" s="94"/>
      <c r="AK522" s="94"/>
    </row>
    <row r="523" spans="1:37">
      <c r="A523" s="94"/>
      <c r="B523" s="94"/>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c r="AE523" s="94"/>
      <c r="AF523" s="94"/>
      <c r="AG523" s="94"/>
      <c r="AH523" s="94"/>
      <c r="AI523" s="94"/>
      <c r="AJ523" s="94"/>
      <c r="AK523" s="94"/>
    </row>
    <row r="524" spans="1:37">
      <c r="A524" s="94"/>
      <c r="B524" s="94"/>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c r="AE524" s="94"/>
      <c r="AF524" s="94"/>
      <c r="AG524" s="94"/>
      <c r="AH524" s="94"/>
      <c r="AI524" s="94"/>
      <c r="AJ524" s="94"/>
      <c r="AK524" s="94"/>
    </row>
    <row r="525" spans="1:37">
      <c r="A525" s="94"/>
      <c r="B525" s="94"/>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c r="AE525" s="94"/>
      <c r="AF525" s="94"/>
      <c r="AG525" s="94"/>
      <c r="AH525" s="94"/>
      <c r="AI525" s="94"/>
      <c r="AJ525" s="94"/>
      <c r="AK525" s="94"/>
    </row>
    <row r="526" spans="1:37">
      <c r="A526" s="94"/>
      <c r="B526" s="94"/>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c r="AE526" s="94"/>
      <c r="AF526" s="94"/>
      <c r="AG526" s="94"/>
      <c r="AH526" s="94"/>
      <c r="AI526" s="94"/>
      <c r="AJ526" s="94"/>
      <c r="AK526" s="94"/>
    </row>
    <row r="527" spans="1:37">
      <c r="A527" s="94"/>
      <c r="B527" s="94"/>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c r="AE527" s="94"/>
      <c r="AF527" s="94"/>
      <c r="AG527" s="94"/>
      <c r="AH527" s="94"/>
      <c r="AI527" s="94"/>
      <c r="AJ527" s="94"/>
      <c r="AK527" s="94"/>
    </row>
    <row r="528" spans="1:37">
      <c r="A528" s="94"/>
      <c r="B528" s="94"/>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c r="AE528" s="94"/>
      <c r="AF528" s="94"/>
      <c r="AG528" s="94"/>
      <c r="AH528" s="94"/>
      <c r="AI528" s="94"/>
      <c r="AJ528" s="94"/>
      <c r="AK528" s="94"/>
    </row>
    <row r="529" spans="1:37">
      <c r="A529" s="94"/>
      <c r="B529" s="94"/>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c r="AE529" s="94"/>
      <c r="AF529" s="94"/>
      <c r="AG529" s="94"/>
      <c r="AH529" s="94"/>
      <c r="AI529" s="94"/>
      <c r="AJ529" s="94"/>
      <c r="AK529" s="94"/>
    </row>
    <row r="530" spans="1:37">
      <c r="A530" s="94"/>
      <c r="B530" s="94"/>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c r="AE530" s="94"/>
      <c r="AF530" s="94"/>
      <c r="AG530" s="94"/>
      <c r="AH530" s="94"/>
      <c r="AI530" s="94"/>
      <c r="AJ530" s="94"/>
      <c r="AK530" s="94"/>
    </row>
    <row r="531" spans="1:37">
      <c r="A531" s="94"/>
      <c r="B531" s="94"/>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c r="AE531" s="94"/>
      <c r="AF531" s="94"/>
      <c r="AG531" s="94"/>
      <c r="AH531" s="94"/>
      <c r="AI531" s="94"/>
      <c r="AJ531" s="94"/>
      <c r="AK531" s="94"/>
    </row>
    <row r="532" spans="1:37">
      <c r="A532" s="94"/>
      <c r="B532" s="94"/>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c r="AE532" s="94"/>
      <c r="AF532" s="94"/>
      <c r="AG532" s="94"/>
      <c r="AH532" s="94"/>
      <c r="AI532" s="94"/>
      <c r="AJ532" s="94"/>
      <c r="AK532" s="94"/>
    </row>
    <row r="533" spans="1:37">
      <c r="A533" s="94"/>
      <c r="B533" s="94"/>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c r="AE533" s="94"/>
      <c r="AF533" s="94"/>
      <c r="AG533" s="94"/>
      <c r="AH533" s="94"/>
      <c r="AI533" s="94"/>
      <c r="AJ533" s="94"/>
      <c r="AK533" s="94"/>
    </row>
    <row r="534" spans="1:37">
      <c r="A534" s="94"/>
      <c r="B534" s="94"/>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c r="AE534" s="94"/>
      <c r="AF534" s="94"/>
      <c r="AG534" s="94"/>
      <c r="AH534" s="94"/>
      <c r="AI534" s="94"/>
      <c r="AJ534" s="94"/>
      <c r="AK534" s="94"/>
    </row>
    <row r="535" spans="1:37">
      <c r="A535" s="94"/>
      <c r="B535" s="94"/>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c r="AE535" s="94"/>
      <c r="AF535" s="94"/>
      <c r="AG535" s="94"/>
      <c r="AH535" s="94"/>
      <c r="AI535" s="94"/>
      <c r="AJ535" s="94"/>
      <c r="AK535" s="94"/>
    </row>
    <row r="536" spans="1:37">
      <c r="A536" s="94"/>
      <c r="B536" s="94"/>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c r="AE536" s="94"/>
      <c r="AF536" s="94"/>
      <c r="AG536" s="94"/>
      <c r="AH536" s="94"/>
      <c r="AI536" s="94"/>
      <c r="AJ536" s="94"/>
      <c r="AK536" s="94"/>
    </row>
    <row r="537" spans="1:37">
      <c r="A537" s="94"/>
      <c r="B537" s="94"/>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c r="AE537" s="94"/>
      <c r="AF537" s="94"/>
      <c r="AG537" s="94"/>
      <c r="AH537" s="94"/>
      <c r="AI537" s="94"/>
      <c r="AJ537" s="94"/>
      <c r="AK537" s="94"/>
    </row>
    <row r="538" spans="1:37">
      <c r="A538" s="94"/>
      <c r="B538" s="94"/>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c r="AE538" s="94"/>
      <c r="AF538" s="94"/>
      <c r="AG538" s="94"/>
      <c r="AH538" s="94"/>
      <c r="AI538" s="94"/>
      <c r="AJ538" s="94"/>
      <c r="AK538" s="94"/>
    </row>
    <row r="539" spans="1:37">
      <c r="A539" s="94"/>
      <c r="B539" s="94"/>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c r="AE539" s="94"/>
      <c r="AF539" s="94"/>
      <c r="AG539" s="94"/>
      <c r="AH539" s="94"/>
      <c r="AI539" s="94"/>
      <c r="AJ539" s="94"/>
      <c r="AK539" s="94"/>
    </row>
    <row r="540" spans="1:37">
      <c r="A540" s="94"/>
      <c r="B540" s="94"/>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c r="AE540" s="94"/>
      <c r="AF540" s="94"/>
      <c r="AG540" s="94"/>
      <c r="AH540" s="94"/>
      <c r="AI540" s="94"/>
      <c r="AJ540" s="94"/>
      <c r="AK540" s="94"/>
    </row>
    <row r="541" spans="1:37">
      <c r="A541" s="94"/>
      <c r="B541" s="94"/>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c r="AE541" s="94"/>
      <c r="AF541" s="94"/>
      <c r="AG541" s="94"/>
      <c r="AH541" s="94"/>
      <c r="AI541" s="94"/>
      <c r="AJ541" s="94"/>
      <c r="AK541" s="94"/>
    </row>
    <row r="542" spans="1:37">
      <c r="A542" s="94"/>
      <c r="B542" s="94"/>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c r="AE542" s="94"/>
      <c r="AF542" s="94"/>
      <c r="AG542" s="94"/>
      <c r="AH542" s="94"/>
      <c r="AI542" s="94"/>
      <c r="AJ542" s="94"/>
      <c r="AK542" s="94"/>
    </row>
    <row r="543" spans="1:37">
      <c r="A543" s="94"/>
      <c r="B543" s="94"/>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c r="AE543" s="94"/>
      <c r="AF543" s="94"/>
      <c r="AG543" s="94"/>
      <c r="AH543" s="94"/>
      <c r="AI543" s="94"/>
      <c r="AJ543" s="94"/>
      <c r="AK543" s="94"/>
    </row>
    <row r="544" spans="1:37">
      <c r="A544" s="94"/>
      <c r="B544" s="94"/>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c r="AE544" s="94"/>
      <c r="AF544" s="94"/>
      <c r="AG544" s="94"/>
      <c r="AH544" s="94"/>
      <c r="AI544" s="94"/>
      <c r="AJ544" s="94"/>
      <c r="AK544" s="94"/>
    </row>
    <row r="545" spans="1:37">
      <c r="A545" s="94"/>
      <c r="B545" s="94"/>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c r="AE545" s="94"/>
      <c r="AF545" s="94"/>
      <c r="AG545" s="94"/>
      <c r="AH545" s="94"/>
      <c r="AI545" s="94"/>
      <c r="AJ545" s="94"/>
      <c r="AK545" s="94"/>
    </row>
    <row r="546" spans="1:37">
      <c r="A546" s="94"/>
      <c r="B546" s="94"/>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c r="AE546" s="94"/>
      <c r="AF546" s="94"/>
      <c r="AG546" s="94"/>
      <c r="AH546" s="94"/>
      <c r="AI546" s="94"/>
      <c r="AJ546" s="94"/>
      <c r="AK546" s="94"/>
    </row>
    <row r="547" spans="1:37">
      <c r="A547" s="94"/>
      <c r="B547" s="94"/>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c r="AE547" s="94"/>
      <c r="AF547" s="94"/>
      <c r="AG547" s="94"/>
      <c r="AH547" s="94"/>
      <c r="AI547" s="94"/>
      <c r="AJ547" s="94"/>
      <c r="AK547" s="94"/>
    </row>
    <row r="548" spans="1:37">
      <c r="A548" s="94"/>
      <c r="B548" s="94"/>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c r="AE548" s="94"/>
      <c r="AF548" s="94"/>
      <c r="AG548" s="94"/>
      <c r="AH548" s="94"/>
      <c r="AI548" s="94"/>
      <c r="AJ548" s="94"/>
      <c r="AK548" s="94"/>
    </row>
    <row r="549" spans="1:37">
      <c r="A549" s="94"/>
      <c r="B549" s="94"/>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c r="AE549" s="94"/>
      <c r="AF549" s="94"/>
      <c r="AG549" s="94"/>
      <c r="AH549" s="94"/>
      <c r="AI549" s="94"/>
      <c r="AJ549" s="94"/>
      <c r="AK549" s="94"/>
    </row>
    <row r="550" spans="1:37">
      <c r="A550" s="94"/>
      <c r="B550" s="94"/>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c r="AE550" s="94"/>
      <c r="AF550" s="94"/>
      <c r="AG550" s="94"/>
      <c r="AH550" s="94"/>
      <c r="AI550" s="94"/>
      <c r="AJ550" s="94"/>
      <c r="AK550" s="94"/>
    </row>
    <row r="551" spans="1:37">
      <c r="A551" s="94"/>
      <c r="B551" s="94"/>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c r="AE551" s="94"/>
      <c r="AF551" s="94"/>
      <c r="AG551" s="94"/>
      <c r="AH551" s="94"/>
      <c r="AI551" s="94"/>
      <c r="AJ551" s="94"/>
      <c r="AK551" s="94"/>
    </row>
    <row r="552" spans="1:37">
      <c r="A552" s="94"/>
      <c r="B552" s="94"/>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c r="AE552" s="94"/>
      <c r="AF552" s="94"/>
      <c r="AG552" s="94"/>
      <c r="AH552" s="94"/>
      <c r="AI552" s="94"/>
      <c r="AJ552" s="94"/>
      <c r="AK552" s="94"/>
    </row>
    <row r="553" spans="1:37">
      <c r="A553" s="94"/>
      <c r="B553" s="94"/>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c r="AE553" s="94"/>
      <c r="AF553" s="94"/>
      <c r="AG553" s="94"/>
      <c r="AH553" s="94"/>
      <c r="AI553" s="94"/>
      <c r="AJ553" s="94"/>
      <c r="AK553" s="94"/>
    </row>
    <row r="554" spans="1:37">
      <c r="A554" s="94"/>
      <c r="B554" s="94"/>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c r="AE554" s="94"/>
      <c r="AF554" s="94"/>
      <c r="AG554" s="94"/>
      <c r="AH554" s="94"/>
      <c r="AI554" s="94"/>
      <c r="AJ554" s="94"/>
      <c r="AK554" s="94"/>
    </row>
    <row r="555" spans="1:37">
      <c r="A555" s="94"/>
      <c r="B555" s="94"/>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c r="AE555" s="94"/>
      <c r="AF555" s="94"/>
      <c r="AG555" s="94"/>
      <c r="AH555" s="94"/>
      <c r="AI555" s="94"/>
      <c r="AJ555" s="94"/>
      <c r="AK555" s="94"/>
    </row>
    <row r="556" spans="1:37">
      <c r="A556" s="94"/>
      <c r="B556" s="94"/>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c r="AE556" s="94"/>
      <c r="AF556" s="94"/>
      <c r="AG556" s="94"/>
      <c r="AH556" s="94"/>
      <c r="AI556" s="94"/>
      <c r="AJ556" s="94"/>
      <c r="AK556" s="94"/>
    </row>
    <row r="557" spans="1:37">
      <c r="A557" s="94"/>
      <c r="B557" s="94"/>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c r="AE557" s="94"/>
      <c r="AF557" s="94"/>
      <c r="AG557" s="94"/>
      <c r="AH557" s="94"/>
      <c r="AI557" s="94"/>
      <c r="AJ557" s="94"/>
      <c r="AK557" s="94"/>
    </row>
    <row r="558" spans="1:37">
      <c r="A558" s="94"/>
      <c r="B558" s="94"/>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c r="AE558" s="94"/>
      <c r="AF558" s="94"/>
      <c r="AG558" s="94"/>
      <c r="AH558" s="94"/>
      <c r="AI558" s="94"/>
      <c r="AJ558" s="94"/>
      <c r="AK558" s="94"/>
    </row>
    <row r="559" spans="1:37">
      <c r="A559" s="94"/>
      <c r="B559" s="94"/>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c r="AE559" s="94"/>
      <c r="AF559" s="94"/>
      <c r="AG559" s="94"/>
      <c r="AH559" s="94"/>
      <c r="AI559" s="94"/>
      <c r="AJ559" s="94"/>
      <c r="AK559" s="94"/>
    </row>
    <row r="560" spans="1:37">
      <c r="A560" s="94"/>
      <c r="B560" s="94"/>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c r="AE560" s="94"/>
      <c r="AF560" s="94"/>
      <c r="AG560" s="94"/>
      <c r="AH560" s="94"/>
      <c r="AI560" s="94"/>
      <c r="AJ560" s="94"/>
      <c r="AK560" s="94"/>
    </row>
    <row r="561" spans="1:37">
      <c r="A561" s="94"/>
      <c r="B561" s="94"/>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c r="AE561" s="94"/>
      <c r="AF561" s="94"/>
      <c r="AG561" s="94"/>
      <c r="AH561" s="94"/>
      <c r="AI561" s="94"/>
      <c r="AJ561" s="94"/>
      <c r="AK561" s="94"/>
    </row>
    <row r="562" spans="1:37">
      <c r="A562" s="94"/>
      <c r="B562" s="94"/>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c r="AE562" s="94"/>
      <c r="AF562" s="94"/>
      <c r="AG562" s="94"/>
      <c r="AH562" s="94"/>
      <c r="AI562" s="94"/>
      <c r="AJ562" s="94"/>
      <c r="AK562" s="94"/>
    </row>
    <row r="563" spans="1:37">
      <c r="A563" s="94"/>
      <c r="B563" s="94"/>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c r="AE563" s="94"/>
      <c r="AF563" s="94"/>
      <c r="AG563" s="94"/>
      <c r="AH563" s="94"/>
      <c r="AI563" s="94"/>
      <c r="AJ563" s="94"/>
      <c r="AK563" s="94"/>
    </row>
    <row r="564" spans="1:37">
      <c r="A564" s="94"/>
      <c r="B564" s="94"/>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c r="AE564" s="94"/>
      <c r="AF564" s="94"/>
      <c r="AG564" s="94"/>
      <c r="AH564" s="94"/>
      <c r="AI564" s="94"/>
      <c r="AJ564" s="94"/>
      <c r="AK564" s="94"/>
    </row>
    <row r="565" spans="1:37">
      <c r="A565" s="94"/>
      <c r="B565" s="94"/>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c r="AE565" s="94"/>
      <c r="AF565" s="94"/>
      <c r="AG565" s="94"/>
      <c r="AH565" s="94"/>
      <c r="AI565" s="94"/>
      <c r="AJ565" s="94"/>
      <c r="AK565" s="94"/>
    </row>
    <row r="566" spans="1:37">
      <c r="A566" s="94"/>
      <c r="B566" s="94"/>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c r="AE566" s="94"/>
      <c r="AF566" s="94"/>
      <c r="AG566" s="94"/>
      <c r="AH566" s="94"/>
      <c r="AI566" s="94"/>
      <c r="AJ566" s="94"/>
      <c r="AK566" s="94"/>
    </row>
    <row r="567" spans="1:37">
      <c r="A567" s="94"/>
      <c r="B567" s="94"/>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c r="AE567" s="94"/>
      <c r="AF567" s="94"/>
      <c r="AG567" s="94"/>
      <c r="AH567" s="94"/>
      <c r="AI567" s="94"/>
      <c r="AJ567" s="94"/>
      <c r="AK567" s="94"/>
    </row>
    <row r="568" spans="1:37">
      <c r="A568" s="94"/>
      <c r="B568" s="94"/>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c r="AE568" s="94"/>
      <c r="AF568" s="94"/>
      <c r="AG568" s="94"/>
      <c r="AH568" s="94"/>
      <c r="AI568" s="94"/>
      <c r="AJ568" s="94"/>
      <c r="AK568" s="94"/>
    </row>
    <row r="569" spans="1:37">
      <c r="A569" s="94"/>
      <c r="B569" s="94"/>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c r="AE569" s="94"/>
      <c r="AF569" s="94"/>
      <c r="AG569" s="94"/>
      <c r="AH569" s="94"/>
      <c r="AI569" s="94"/>
      <c r="AJ569" s="94"/>
      <c r="AK569" s="94"/>
    </row>
    <row r="570" spans="1:37">
      <c r="A570" s="94"/>
      <c r="B570" s="94"/>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c r="AE570" s="94"/>
      <c r="AF570" s="94"/>
      <c r="AG570" s="94"/>
      <c r="AH570" s="94"/>
      <c r="AI570" s="94"/>
      <c r="AJ570" s="94"/>
      <c r="AK570" s="94"/>
    </row>
    <row r="571" spans="1:37">
      <c r="A571" s="94"/>
      <c r="B571" s="94"/>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c r="AE571" s="94"/>
      <c r="AF571" s="94"/>
      <c r="AG571" s="94"/>
      <c r="AH571" s="94"/>
      <c r="AI571" s="94"/>
      <c r="AJ571" s="94"/>
      <c r="AK571" s="94"/>
    </row>
    <row r="572" spans="1:37">
      <c r="A572" s="94"/>
      <c r="B572" s="94"/>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c r="AE572" s="94"/>
      <c r="AF572" s="94"/>
      <c r="AG572" s="94"/>
      <c r="AH572" s="94"/>
      <c r="AI572" s="94"/>
      <c r="AJ572" s="94"/>
      <c r="AK572" s="94"/>
    </row>
    <row r="573" spans="1:37">
      <c r="A573" s="94"/>
      <c r="B573" s="94"/>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c r="AE573" s="94"/>
      <c r="AF573" s="94"/>
      <c r="AG573" s="94"/>
      <c r="AH573" s="94"/>
      <c r="AI573" s="94"/>
      <c r="AJ573" s="94"/>
      <c r="AK573" s="94"/>
    </row>
    <row r="574" spans="1:37">
      <c r="A574" s="94"/>
      <c r="B574" s="94"/>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c r="AE574" s="94"/>
      <c r="AF574" s="94"/>
      <c r="AG574" s="94"/>
      <c r="AH574" s="94"/>
      <c r="AI574" s="94"/>
      <c r="AJ574" s="94"/>
      <c r="AK574" s="94"/>
    </row>
    <row r="575" spans="1:37">
      <c r="A575" s="94"/>
      <c r="B575" s="94"/>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c r="AE575" s="94"/>
      <c r="AF575" s="94"/>
      <c r="AG575" s="94"/>
      <c r="AH575" s="94"/>
      <c r="AI575" s="94"/>
      <c r="AJ575" s="94"/>
      <c r="AK575" s="94"/>
    </row>
    <row r="576" spans="1:37">
      <c r="A576" s="94"/>
      <c r="B576" s="94"/>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c r="AE576" s="94"/>
      <c r="AF576" s="94"/>
      <c r="AG576" s="94"/>
      <c r="AH576" s="94"/>
      <c r="AI576" s="94"/>
      <c r="AJ576" s="94"/>
      <c r="AK576" s="94"/>
    </row>
    <row r="577" spans="1:37">
      <c r="A577" s="94"/>
      <c r="B577" s="94"/>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c r="AE577" s="94"/>
      <c r="AF577" s="94"/>
      <c r="AG577" s="94"/>
      <c r="AH577" s="94"/>
      <c r="AI577" s="94"/>
      <c r="AJ577" s="94"/>
      <c r="AK577" s="94"/>
    </row>
    <row r="578" spans="1:37">
      <c r="A578" s="94"/>
      <c r="B578" s="94"/>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c r="AE578" s="94"/>
      <c r="AF578" s="94"/>
      <c r="AG578" s="94"/>
      <c r="AH578" s="94"/>
      <c r="AI578" s="94"/>
      <c r="AJ578" s="94"/>
      <c r="AK578" s="94"/>
    </row>
    <row r="579" spans="1:37">
      <c r="A579" s="94"/>
      <c r="B579" s="94"/>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c r="AE579" s="94"/>
      <c r="AF579" s="94"/>
      <c r="AG579" s="94"/>
      <c r="AH579" s="94"/>
      <c r="AI579" s="94"/>
      <c r="AJ579" s="94"/>
      <c r="AK579" s="94"/>
    </row>
    <row r="580" spans="1:37">
      <c r="A580" s="94"/>
      <c r="B580" s="94"/>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c r="AE580" s="94"/>
      <c r="AF580" s="94"/>
      <c r="AG580" s="94"/>
      <c r="AH580" s="94"/>
      <c r="AI580" s="94"/>
      <c r="AJ580" s="94"/>
      <c r="AK580" s="94"/>
    </row>
    <row r="581" spans="1:37">
      <c r="A581" s="94"/>
      <c r="B581" s="94"/>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4"/>
      <c r="AF581" s="94"/>
      <c r="AG581" s="94"/>
      <c r="AH581" s="94"/>
      <c r="AI581" s="94"/>
      <c r="AJ581" s="94"/>
      <c r="AK581" s="94"/>
    </row>
    <row r="582" spans="1:37">
      <c r="A582" s="94"/>
      <c r="B582" s="94"/>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c r="AE582" s="94"/>
      <c r="AF582" s="94"/>
      <c r="AG582" s="94"/>
      <c r="AH582" s="94"/>
      <c r="AI582" s="94"/>
      <c r="AJ582" s="94"/>
      <c r="AK582" s="94"/>
    </row>
    <row r="583" spans="1:37">
      <c r="A583" s="94"/>
      <c r="B583" s="94"/>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c r="AE583" s="94"/>
      <c r="AF583" s="94"/>
      <c r="AG583" s="94"/>
      <c r="AH583" s="94"/>
      <c r="AI583" s="94"/>
      <c r="AJ583" s="94"/>
      <c r="AK583" s="94"/>
    </row>
    <row r="584" spans="1:37">
      <c r="A584" s="94"/>
      <c r="B584" s="94"/>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c r="AE584" s="94"/>
      <c r="AF584" s="94"/>
      <c r="AG584" s="94"/>
      <c r="AH584" s="94"/>
      <c r="AI584" s="94"/>
      <c r="AJ584" s="94"/>
      <c r="AK584" s="94"/>
    </row>
    <row r="585" spans="1:37">
      <c r="A585" s="94"/>
      <c r="B585" s="94"/>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c r="AE585" s="94"/>
      <c r="AF585" s="94"/>
      <c r="AG585" s="94"/>
      <c r="AH585" s="94"/>
      <c r="AI585" s="94"/>
      <c r="AJ585" s="94"/>
      <c r="AK585" s="94"/>
    </row>
    <row r="586" spans="1:37">
      <c r="A586" s="94"/>
      <c r="B586" s="94"/>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c r="AE586" s="94"/>
      <c r="AF586" s="94"/>
      <c r="AG586" s="94"/>
      <c r="AH586" s="94"/>
      <c r="AI586" s="94"/>
      <c r="AJ586" s="94"/>
      <c r="AK586" s="94"/>
    </row>
    <row r="587" spans="1:37">
      <c r="A587" s="94"/>
      <c r="B587" s="94"/>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c r="AE587" s="94"/>
      <c r="AF587" s="94"/>
      <c r="AG587" s="94"/>
      <c r="AH587" s="94"/>
      <c r="AI587" s="94"/>
      <c r="AJ587" s="94"/>
      <c r="AK587" s="94"/>
    </row>
    <row r="588" spans="1:37">
      <c r="A588" s="94"/>
      <c r="B588" s="94"/>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c r="AE588" s="94"/>
      <c r="AF588" s="94"/>
      <c r="AG588" s="94"/>
      <c r="AH588" s="94"/>
      <c r="AI588" s="94"/>
      <c r="AJ588" s="94"/>
      <c r="AK588" s="94"/>
    </row>
    <row r="589" spans="1:37">
      <c r="A589" s="94"/>
      <c r="B589" s="94"/>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c r="AE589" s="94"/>
      <c r="AF589" s="94"/>
      <c r="AG589" s="94"/>
      <c r="AH589" s="94"/>
      <c r="AI589" s="94"/>
      <c r="AJ589" s="94"/>
      <c r="AK589" s="94"/>
    </row>
    <row r="590" spans="1:37">
      <c r="A590" s="94"/>
      <c r="B590" s="94"/>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c r="AE590" s="94"/>
      <c r="AF590" s="94"/>
      <c r="AG590" s="94"/>
      <c r="AH590" s="94"/>
      <c r="AI590" s="94"/>
      <c r="AJ590" s="94"/>
      <c r="AK590" s="94"/>
    </row>
    <row r="591" spans="1:37">
      <c r="A591" s="94"/>
      <c r="B591" s="94"/>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c r="AE591" s="94"/>
      <c r="AF591" s="94"/>
      <c r="AG591" s="94"/>
      <c r="AH591" s="94"/>
      <c r="AI591" s="94"/>
      <c r="AJ591" s="94"/>
      <c r="AK591" s="94"/>
    </row>
    <row r="592" spans="1:37">
      <c r="A592" s="94"/>
      <c r="B592" s="94"/>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4"/>
      <c r="AF592" s="94"/>
      <c r="AG592" s="94"/>
      <c r="AH592" s="94"/>
      <c r="AI592" s="94"/>
      <c r="AJ592" s="94"/>
      <c r="AK592" s="94"/>
    </row>
    <row r="593" spans="1:37">
      <c r="A593" s="94"/>
      <c r="B593" s="94"/>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c r="AE593" s="94"/>
      <c r="AF593" s="94"/>
      <c r="AG593" s="94"/>
      <c r="AH593" s="94"/>
      <c r="AI593" s="94"/>
      <c r="AJ593" s="94"/>
      <c r="AK593" s="94"/>
    </row>
    <row r="594" spans="1:37">
      <c r="A594" s="94"/>
      <c r="B594" s="94"/>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c r="AE594" s="94"/>
      <c r="AF594" s="94"/>
      <c r="AG594" s="94"/>
      <c r="AH594" s="94"/>
      <c r="AI594" s="94"/>
      <c r="AJ594" s="94"/>
      <c r="AK594" s="94"/>
    </row>
    <row r="595" spans="1:37">
      <c r="A595" s="94"/>
      <c r="B595" s="94"/>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c r="AE595" s="94"/>
      <c r="AF595" s="94"/>
      <c r="AG595" s="94"/>
      <c r="AH595" s="94"/>
      <c r="AI595" s="94"/>
      <c r="AJ595" s="94"/>
      <c r="AK595" s="94"/>
    </row>
    <row r="596" spans="1:37">
      <c r="A596" s="94"/>
      <c r="B596" s="94"/>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c r="AE596" s="94"/>
      <c r="AF596" s="94"/>
      <c r="AG596" s="94"/>
      <c r="AH596" s="94"/>
      <c r="AI596" s="94"/>
      <c r="AJ596" s="94"/>
      <c r="AK596" s="94"/>
    </row>
    <row r="597" spans="1:37">
      <c r="A597" s="94"/>
      <c r="B597" s="94"/>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c r="AE597" s="94"/>
      <c r="AF597" s="94"/>
      <c r="AG597" s="94"/>
      <c r="AH597" s="94"/>
      <c r="AI597" s="94"/>
      <c r="AJ597" s="94"/>
      <c r="AK597" s="94"/>
    </row>
    <row r="598" spans="1:37">
      <c r="A598" s="94"/>
      <c r="B598" s="94"/>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c r="AE598" s="94"/>
      <c r="AF598" s="94"/>
      <c r="AG598" s="94"/>
      <c r="AH598" s="94"/>
      <c r="AI598" s="94"/>
      <c r="AJ598" s="94"/>
      <c r="AK598" s="94"/>
    </row>
    <row r="599" spans="1:37">
      <c r="A599" s="94"/>
      <c r="B599" s="94"/>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c r="AE599" s="94"/>
      <c r="AF599" s="94"/>
      <c r="AG599" s="94"/>
      <c r="AH599" s="94"/>
      <c r="AI599" s="94"/>
      <c r="AJ599" s="94"/>
      <c r="AK599" s="94"/>
    </row>
    <row r="600" spans="1:37">
      <c r="A600" s="94"/>
      <c r="B600" s="94"/>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c r="AE600" s="94"/>
      <c r="AF600" s="94"/>
      <c r="AG600" s="94"/>
      <c r="AH600" s="94"/>
      <c r="AI600" s="94"/>
      <c r="AJ600" s="94"/>
      <c r="AK600" s="94"/>
    </row>
    <row r="601" spans="1:37">
      <c r="A601" s="94"/>
      <c r="B601" s="94"/>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c r="AE601" s="94"/>
      <c r="AF601" s="94"/>
      <c r="AG601" s="94"/>
      <c r="AH601" s="94"/>
      <c r="AI601" s="94"/>
      <c r="AJ601" s="94"/>
      <c r="AK601" s="94"/>
    </row>
    <row r="602" spans="1:37">
      <c r="A602" s="94"/>
      <c r="B602" s="94"/>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c r="AE602" s="94"/>
      <c r="AF602" s="94"/>
      <c r="AG602" s="94"/>
      <c r="AH602" s="94"/>
      <c r="AI602" s="94"/>
      <c r="AJ602" s="94"/>
      <c r="AK602" s="94"/>
    </row>
    <row r="603" spans="1:37">
      <c r="A603" s="94"/>
      <c r="B603" s="94"/>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c r="AE603" s="94"/>
      <c r="AF603" s="94"/>
      <c r="AG603" s="94"/>
      <c r="AH603" s="94"/>
      <c r="AI603" s="94"/>
      <c r="AJ603" s="94"/>
      <c r="AK603" s="94"/>
    </row>
    <row r="604" spans="1:37">
      <c r="A604" s="94"/>
      <c r="B604" s="94"/>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c r="AE604" s="94"/>
      <c r="AF604" s="94"/>
      <c r="AG604" s="94"/>
      <c r="AH604" s="94"/>
      <c r="AI604" s="94"/>
      <c r="AJ604" s="94"/>
      <c r="AK604" s="94"/>
    </row>
    <row r="605" spans="1:37">
      <c r="A605" s="94"/>
      <c r="B605" s="94"/>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c r="AE605" s="94"/>
      <c r="AF605" s="94"/>
      <c r="AG605" s="94"/>
      <c r="AH605" s="94"/>
      <c r="AI605" s="94"/>
      <c r="AJ605" s="94"/>
      <c r="AK605" s="94"/>
    </row>
    <row r="606" spans="1:37">
      <c r="A606" s="94"/>
      <c r="B606" s="94"/>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c r="AE606" s="94"/>
      <c r="AF606" s="94"/>
      <c r="AG606" s="94"/>
      <c r="AH606" s="94"/>
      <c r="AI606" s="94"/>
      <c r="AJ606" s="94"/>
      <c r="AK606" s="94"/>
    </row>
    <row r="607" spans="1:37">
      <c r="A607" s="94"/>
      <c r="B607" s="94"/>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c r="AE607" s="94"/>
      <c r="AF607" s="94"/>
      <c r="AG607" s="94"/>
      <c r="AH607" s="94"/>
      <c r="AI607" s="94"/>
      <c r="AJ607" s="94"/>
      <c r="AK607" s="94"/>
    </row>
    <row r="608" spans="1:37">
      <c r="A608" s="94"/>
      <c r="B608" s="94"/>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c r="AE608" s="94"/>
      <c r="AF608" s="94"/>
      <c r="AG608" s="94"/>
      <c r="AH608" s="94"/>
      <c r="AI608" s="94"/>
      <c r="AJ608" s="94"/>
      <c r="AK608" s="94"/>
    </row>
    <row r="609" spans="1:37">
      <c r="A609" s="94"/>
      <c r="B609" s="94"/>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c r="AE609" s="94"/>
      <c r="AF609" s="94"/>
      <c r="AG609" s="94"/>
      <c r="AH609" s="94"/>
      <c r="AI609" s="94"/>
      <c r="AJ609" s="94"/>
      <c r="AK609" s="94"/>
    </row>
    <row r="610" spans="1:37">
      <c r="A610" s="94"/>
      <c r="B610" s="94"/>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c r="AE610" s="94"/>
      <c r="AF610" s="94"/>
      <c r="AG610" s="94"/>
      <c r="AH610" s="94"/>
      <c r="AI610" s="94"/>
      <c r="AJ610" s="94"/>
      <c r="AK610" s="94"/>
    </row>
    <row r="611" spans="1:37">
      <c r="A611" s="94"/>
      <c r="B611" s="94"/>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c r="AE611" s="94"/>
      <c r="AF611" s="94"/>
      <c r="AG611" s="94"/>
      <c r="AH611" s="94"/>
      <c r="AI611" s="94"/>
      <c r="AJ611" s="94"/>
      <c r="AK611" s="94"/>
    </row>
    <row r="612" spans="1:37">
      <c r="A612" s="94"/>
      <c r="B612" s="94"/>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c r="AE612" s="94"/>
      <c r="AF612" s="94"/>
      <c r="AG612" s="94"/>
      <c r="AH612" s="94"/>
      <c r="AI612" s="94"/>
      <c r="AJ612" s="94"/>
      <c r="AK612" s="94"/>
    </row>
    <row r="613" spans="1:37">
      <c r="A613" s="94"/>
      <c r="B613" s="94"/>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c r="AE613" s="94"/>
      <c r="AF613" s="94"/>
      <c r="AG613" s="94"/>
      <c r="AH613" s="94"/>
      <c r="AI613" s="94"/>
      <c r="AJ613" s="94"/>
      <c r="AK613" s="94"/>
    </row>
    <row r="614" spans="1:37">
      <c r="A614" s="94"/>
      <c r="B614" s="94"/>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c r="AE614" s="94"/>
      <c r="AF614" s="94"/>
      <c r="AG614" s="94"/>
      <c r="AH614" s="94"/>
      <c r="AI614" s="94"/>
      <c r="AJ614" s="94"/>
      <c r="AK614" s="94"/>
    </row>
    <row r="615" spans="1:37">
      <c r="A615" s="94"/>
      <c r="B615" s="94"/>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c r="AE615" s="94"/>
      <c r="AF615" s="94"/>
      <c r="AG615" s="94"/>
      <c r="AH615" s="94"/>
      <c r="AI615" s="94"/>
      <c r="AJ615" s="94"/>
      <c r="AK615" s="94"/>
    </row>
    <row r="616" spans="1:37">
      <c r="A616" s="94"/>
      <c r="B616" s="94"/>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c r="AE616" s="94"/>
      <c r="AF616" s="94"/>
      <c r="AG616" s="94"/>
      <c r="AH616" s="94"/>
      <c r="AI616" s="94"/>
      <c r="AJ616" s="94"/>
      <c r="AK616" s="94"/>
    </row>
    <row r="617" spans="1:37">
      <c r="A617" s="94"/>
      <c r="B617" s="94"/>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c r="AE617" s="94"/>
      <c r="AF617" s="94"/>
      <c r="AG617" s="94"/>
      <c r="AH617" s="94"/>
      <c r="AI617" s="94"/>
      <c r="AJ617" s="94"/>
      <c r="AK617" s="94"/>
    </row>
    <row r="618" spans="1:37">
      <c r="A618" s="94"/>
      <c r="B618" s="94"/>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c r="AE618" s="94"/>
      <c r="AF618" s="94"/>
      <c r="AG618" s="94"/>
      <c r="AH618" s="94"/>
      <c r="AI618" s="94"/>
      <c r="AJ618" s="94"/>
      <c r="AK618" s="94"/>
    </row>
    <row r="619" spans="1:37">
      <c r="A619" s="94"/>
      <c r="B619" s="94"/>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c r="AE619" s="94"/>
      <c r="AF619" s="94"/>
      <c r="AG619" s="94"/>
      <c r="AH619" s="94"/>
      <c r="AI619" s="94"/>
      <c r="AJ619" s="94"/>
      <c r="AK619" s="94"/>
    </row>
    <row r="620" spans="1:37">
      <c r="A620" s="94"/>
      <c r="B620" s="94"/>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c r="AE620" s="94"/>
      <c r="AF620" s="94"/>
      <c r="AG620" s="94"/>
      <c r="AH620" s="94"/>
      <c r="AI620" s="94"/>
      <c r="AJ620" s="94"/>
      <c r="AK620" s="94"/>
    </row>
    <row r="621" spans="1:37">
      <c r="A621" s="94"/>
      <c r="B621" s="94"/>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c r="AE621" s="94"/>
      <c r="AF621" s="94"/>
      <c r="AG621" s="94"/>
      <c r="AH621" s="94"/>
      <c r="AI621" s="94"/>
      <c r="AJ621" s="94"/>
      <c r="AK621" s="94"/>
    </row>
    <row r="622" spans="1:37">
      <c r="A622" s="94"/>
      <c r="B622" s="94"/>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c r="AE622" s="94"/>
      <c r="AF622" s="94"/>
      <c r="AG622" s="94"/>
      <c r="AH622" s="94"/>
      <c r="AI622" s="94"/>
      <c r="AJ622" s="94"/>
      <c r="AK622" s="94"/>
    </row>
    <row r="623" spans="1:37">
      <c r="A623" s="94"/>
      <c r="B623" s="94"/>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c r="AE623" s="94"/>
      <c r="AF623" s="94"/>
      <c r="AG623" s="94"/>
      <c r="AH623" s="94"/>
      <c r="AI623" s="94"/>
      <c r="AJ623" s="94"/>
      <c r="AK623" s="94"/>
    </row>
    <row r="624" spans="1:37">
      <c r="A624" s="94"/>
      <c r="B624" s="94"/>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c r="AE624" s="94"/>
      <c r="AF624" s="94"/>
      <c r="AG624" s="94"/>
      <c r="AH624" s="94"/>
      <c r="AI624" s="94"/>
      <c r="AJ624" s="94"/>
      <c r="AK624" s="94"/>
    </row>
    <row r="625" spans="1:37">
      <c r="A625" s="94"/>
      <c r="B625" s="94"/>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c r="AE625" s="94"/>
      <c r="AF625" s="94"/>
      <c r="AG625" s="94"/>
      <c r="AH625" s="94"/>
      <c r="AI625" s="94"/>
      <c r="AJ625" s="94"/>
      <c r="AK625" s="94"/>
    </row>
    <row r="626" spans="1:37">
      <c r="A626" s="94"/>
      <c r="B626" s="94"/>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c r="AE626" s="94"/>
      <c r="AF626" s="94"/>
      <c r="AG626" s="94"/>
      <c r="AH626" s="94"/>
      <c r="AI626" s="94"/>
      <c r="AJ626" s="94"/>
      <c r="AK626" s="94"/>
    </row>
    <row r="627" spans="1:37">
      <c r="A627" s="94"/>
      <c r="B627" s="94"/>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c r="AE627" s="94"/>
      <c r="AF627" s="94"/>
      <c r="AG627" s="94"/>
      <c r="AH627" s="94"/>
      <c r="AI627" s="94"/>
      <c r="AJ627" s="94"/>
      <c r="AK627" s="94"/>
    </row>
    <row r="628" spans="1:37">
      <c r="A628" s="94"/>
      <c r="B628" s="94"/>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c r="AE628" s="94"/>
      <c r="AF628" s="94"/>
      <c r="AG628" s="94"/>
      <c r="AH628" s="94"/>
      <c r="AI628" s="94"/>
      <c r="AJ628" s="94"/>
      <c r="AK628" s="94"/>
    </row>
    <row r="629" spans="1:37">
      <c r="A629" s="94"/>
      <c r="B629" s="94"/>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c r="AE629" s="94"/>
      <c r="AF629" s="94"/>
      <c r="AG629" s="94"/>
      <c r="AH629" s="94"/>
      <c r="AI629" s="94"/>
      <c r="AJ629" s="94"/>
      <c r="AK629" s="94"/>
    </row>
    <row r="630" spans="1:37">
      <c r="A630" s="94"/>
      <c r="B630" s="94"/>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c r="AE630" s="94"/>
      <c r="AF630" s="94"/>
      <c r="AG630" s="94"/>
      <c r="AH630" s="94"/>
      <c r="AI630" s="94"/>
      <c r="AJ630" s="94"/>
      <c r="AK630" s="94"/>
    </row>
    <row r="631" spans="1:37">
      <c r="A631" s="94"/>
      <c r="B631" s="94"/>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c r="AE631" s="94"/>
      <c r="AF631" s="94"/>
      <c r="AG631" s="94"/>
      <c r="AH631" s="94"/>
      <c r="AI631" s="94"/>
      <c r="AJ631" s="94"/>
      <c r="AK631" s="94"/>
    </row>
    <row r="632" spans="1:37">
      <c r="A632" s="94"/>
      <c r="B632" s="94"/>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c r="AE632" s="94"/>
      <c r="AF632" s="94"/>
      <c r="AG632" s="94"/>
      <c r="AH632" s="94"/>
      <c r="AI632" s="94"/>
      <c r="AJ632" s="94"/>
      <c r="AK632" s="94"/>
    </row>
    <row r="633" spans="1:37">
      <c r="A633" s="94"/>
      <c r="B633" s="94"/>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c r="AE633" s="94"/>
      <c r="AF633" s="94"/>
      <c r="AG633" s="94"/>
      <c r="AH633" s="94"/>
      <c r="AI633" s="94"/>
      <c r="AJ633" s="94"/>
      <c r="AK633" s="94"/>
    </row>
    <row r="634" spans="1:37">
      <c r="A634" s="94"/>
      <c r="B634" s="94"/>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c r="AE634" s="94"/>
      <c r="AF634" s="94"/>
      <c r="AG634" s="94"/>
      <c r="AH634" s="94"/>
      <c r="AI634" s="94"/>
      <c r="AJ634" s="94"/>
      <c r="AK634" s="94"/>
    </row>
    <row r="635" spans="1:37">
      <c r="A635" s="94"/>
      <c r="B635" s="94"/>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c r="AE635" s="94"/>
      <c r="AF635" s="94"/>
      <c r="AG635" s="94"/>
      <c r="AH635" s="94"/>
      <c r="AI635" s="94"/>
      <c r="AJ635" s="94"/>
      <c r="AK635" s="94"/>
    </row>
    <row r="636" spans="1:37">
      <c r="A636" s="94"/>
      <c r="B636" s="94"/>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c r="AE636" s="94"/>
      <c r="AF636" s="94"/>
      <c r="AG636" s="94"/>
      <c r="AH636" s="94"/>
      <c r="AI636" s="94"/>
      <c r="AJ636" s="94"/>
      <c r="AK636" s="94"/>
    </row>
    <row r="637" spans="1:37">
      <c r="A637" s="94"/>
      <c r="B637" s="94"/>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c r="AE637" s="94"/>
      <c r="AF637" s="94"/>
      <c r="AG637" s="94"/>
      <c r="AH637" s="94"/>
      <c r="AI637" s="94"/>
      <c r="AJ637" s="94"/>
      <c r="AK637" s="94"/>
    </row>
    <row r="638" spans="1:37">
      <c r="A638" s="94"/>
      <c r="B638" s="94"/>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c r="AE638" s="94"/>
      <c r="AF638" s="94"/>
      <c r="AG638" s="94"/>
      <c r="AH638" s="94"/>
      <c r="AI638" s="94"/>
      <c r="AJ638" s="94"/>
      <c r="AK638" s="94"/>
    </row>
    <row r="639" spans="1:37">
      <c r="A639" s="94"/>
      <c r="B639" s="94"/>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c r="AE639" s="94"/>
      <c r="AF639" s="94"/>
      <c r="AG639" s="94"/>
      <c r="AH639" s="94"/>
      <c r="AI639" s="94"/>
      <c r="AJ639" s="94"/>
      <c r="AK639" s="94"/>
    </row>
    <row r="640" spans="1:37">
      <c r="A640" s="94"/>
      <c r="B640" s="94"/>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c r="AE640" s="94"/>
      <c r="AF640" s="94"/>
      <c r="AG640" s="94"/>
      <c r="AH640" s="94"/>
      <c r="AI640" s="94"/>
      <c r="AJ640" s="94"/>
      <c r="AK640" s="94"/>
    </row>
    <row r="641" spans="1:37">
      <c r="A641" s="94"/>
      <c r="B641" s="94"/>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c r="AE641" s="94"/>
      <c r="AF641" s="94"/>
      <c r="AG641" s="94"/>
      <c r="AH641" s="94"/>
      <c r="AI641" s="94"/>
      <c r="AJ641" s="94"/>
      <c r="AK641" s="94"/>
    </row>
    <row r="642" spans="1:37">
      <c r="A642" s="94"/>
      <c r="B642" s="94"/>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c r="AE642" s="94"/>
      <c r="AF642" s="94"/>
      <c r="AG642" s="94"/>
      <c r="AH642" s="94"/>
      <c r="AI642" s="94"/>
      <c r="AJ642" s="94"/>
      <c r="AK642" s="94"/>
    </row>
    <row r="643" spans="1:37">
      <c r="A643" s="94"/>
      <c r="B643" s="94"/>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c r="AE643" s="94"/>
      <c r="AF643" s="94"/>
      <c r="AG643" s="94"/>
      <c r="AH643" s="94"/>
      <c r="AI643" s="94"/>
      <c r="AJ643" s="94"/>
      <c r="AK643" s="94"/>
    </row>
    <row r="644" spans="1:37">
      <c r="A644" s="94"/>
      <c r="B644" s="94"/>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c r="AE644" s="94"/>
      <c r="AF644" s="94"/>
      <c r="AG644" s="94"/>
      <c r="AH644" s="94"/>
      <c r="AI644" s="94"/>
      <c r="AJ644" s="94"/>
      <c r="AK644" s="94"/>
    </row>
    <row r="645" spans="1:37">
      <c r="A645" s="94"/>
      <c r="B645" s="94"/>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c r="AE645" s="94"/>
      <c r="AF645" s="94"/>
      <c r="AG645" s="94"/>
      <c r="AH645" s="94"/>
      <c r="AI645" s="94"/>
      <c r="AJ645" s="94"/>
      <c r="AK645" s="94"/>
    </row>
    <row r="646" spans="1:37">
      <c r="A646" s="94"/>
      <c r="B646" s="94"/>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c r="AE646" s="94"/>
      <c r="AF646" s="94"/>
      <c r="AG646" s="94"/>
      <c r="AH646" s="94"/>
      <c r="AI646" s="94"/>
      <c r="AJ646" s="94"/>
      <c r="AK646" s="94"/>
    </row>
    <row r="647" spans="1:37">
      <c r="A647" s="94"/>
      <c r="B647" s="94"/>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c r="AE647" s="94"/>
      <c r="AF647" s="94"/>
      <c r="AG647" s="94"/>
      <c r="AH647" s="94"/>
      <c r="AI647" s="94"/>
      <c r="AJ647" s="94"/>
      <c r="AK647" s="94"/>
    </row>
    <row r="648" spans="1:37">
      <c r="A648" s="94"/>
      <c r="B648" s="94"/>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c r="AE648" s="94"/>
      <c r="AF648" s="94"/>
      <c r="AG648" s="94"/>
      <c r="AH648" s="94"/>
      <c r="AI648" s="94"/>
      <c r="AJ648" s="94"/>
      <c r="AK648" s="94"/>
    </row>
    <row r="649" spans="1:37">
      <c r="A649" s="94"/>
      <c r="B649" s="94"/>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c r="AE649" s="94"/>
      <c r="AF649" s="94"/>
      <c r="AG649" s="94"/>
      <c r="AH649" s="94"/>
      <c r="AI649" s="94"/>
      <c r="AJ649" s="94"/>
      <c r="AK649" s="94"/>
    </row>
    <row r="650" spans="1:37">
      <c r="A650" s="94"/>
      <c r="B650" s="94"/>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c r="AE650" s="94"/>
      <c r="AF650" s="94"/>
      <c r="AG650" s="94"/>
      <c r="AH650" s="94"/>
      <c r="AI650" s="94"/>
      <c r="AJ650" s="94"/>
      <c r="AK650" s="94"/>
    </row>
    <row r="651" spans="1:37">
      <c r="A651" s="94"/>
      <c r="B651" s="94"/>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c r="AE651" s="94"/>
      <c r="AF651" s="94"/>
      <c r="AG651" s="94"/>
      <c r="AH651" s="94"/>
      <c r="AI651" s="94"/>
      <c r="AJ651" s="94"/>
      <c r="AK651" s="94"/>
    </row>
    <row r="652" spans="1:37">
      <c r="A652" s="94"/>
      <c r="B652" s="94"/>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c r="AE652" s="94"/>
      <c r="AF652" s="94"/>
      <c r="AG652" s="94"/>
      <c r="AH652" s="94"/>
      <c r="AI652" s="94"/>
      <c r="AJ652" s="94"/>
      <c r="AK652" s="94"/>
    </row>
    <row r="653" spans="1:37">
      <c r="A653" s="94"/>
      <c r="B653" s="94"/>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c r="AE653" s="94"/>
      <c r="AF653" s="94"/>
      <c r="AG653" s="94"/>
      <c r="AH653" s="94"/>
      <c r="AI653" s="94"/>
      <c r="AJ653" s="94"/>
      <c r="AK653" s="94"/>
    </row>
    <row r="654" spans="1:37">
      <c r="A654" s="94"/>
      <c r="B654" s="94"/>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c r="AE654" s="94"/>
      <c r="AF654" s="94"/>
      <c r="AG654" s="94"/>
      <c r="AH654" s="94"/>
      <c r="AI654" s="94"/>
      <c r="AJ654" s="94"/>
      <c r="AK654" s="94"/>
    </row>
    <row r="655" spans="1:37">
      <c r="A655" s="94"/>
      <c r="B655" s="94"/>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c r="AE655" s="94"/>
      <c r="AF655" s="94"/>
      <c r="AG655" s="94"/>
      <c r="AH655" s="94"/>
      <c r="AI655" s="94"/>
      <c r="AJ655" s="94"/>
      <c r="AK655" s="94"/>
    </row>
    <row r="656" spans="1:37">
      <c r="A656" s="94"/>
      <c r="B656" s="94"/>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c r="AE656" s="94"/>
      <c r="AF656" s="94"/>
      <c r="AG656" s="94"/>
      <c r="AH656" s="94"/>
      <c r="AI656" s="94"/>
      <c r="AJ656" s="94"/>
      <c r="AK656" s="94"/>
    </row>
    <row r="657" spans="1:37">
      <c r="A657" s="94"/>
      <c r="B657" s="94"/>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c r="AE657" s="94"/>
      <c r="AF657" s="94"/>
      <c r="AG657" s="94"/>
      <c r="AH657" s="94"/>
      <c r="AI657" s="94"/>
      <c r="AJ657" s="94"/>
      <c r="AK657" s="94"/>
    </row>
    <row r="658" spans="1:37">
      <c r="A658" s="94"/>
      <c r="B658" s="94"/>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c r="AE658" s="94"/>
      <c r="AF658" s="94"/>
      <c r="AG658" s="94"/>
      <c r="AH658" s="94"/>
      <c r="AI658" s="94"/>
      <c r="AJ658" s="94"/>
      <c r="AK658" s="94"/>
    </row>
    <row r="659" spans="1:37">
      <c r="A659" s="94"/>
      <c r="B659" s="94"/>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c r="AE659" s="94"/>
      <c r="AF659" s="94"/>
      <c r="AG659" s="94"/>
      <c r="AH659" s="94"/>
      <c r="AI659" s="94"/>
      <c r="AJ659" s="94"/>
      <c r="AK659" s="94"/>
    </row>
    <row r="660" spans="1:37">
      <c r="A660" s="94"/>
      <c r="B660" s="94"/>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c r="AE660" s="94"/>
      <c r="AF660" s="94"/>
      <c r="AG660" s="94"/>
      <c r="AH660" s="94"/>
      <c r="AI660" s="94"/>
      <c r="AJ660" s="94"/>
      <c r="AK660" s="94"/>
    </row>
    <row r="661" spans="1:37">
      <c r="A661" s="94"/>
      <c r="B661" s="94"/>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c r="AE661" s="94"/>
      <c r="AF661" s="94"/>
      <c r="AG661" s="94"/>
      <c r="AH661" s="94"/>
      <c r="AI661" s="94"/>
      <c r="AJ661" s="94"/>
      <c r="AK661" s="94"/>
    </row>
    <row r="662" spans="1:37">
      <c r="A662" s="94"/>
      <c r="B662" s="94"/>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c r="AE662" s="94"/>
      <c r="AF662" s="94"/>
      <c r="AG662" s="94"/>
      <c r="AH662" s="94"/>
      <c r="AI662" s="94"/>
      <c r="AJ662" s="94"/>
      <c r="AK662" s="94"/>
    </row>
    <row r="663" spans="1:37">
      <c r="A663" s="94"/>
      <c r="B663" s="94"/>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c r="AE663" s="94"/>
      <c r="AF663" s="94"/>
      <c r="AG663" s="94"/>
      <c r="AH663" s="94"/>
      <c r="AI663" s="94"/>
      <c r="AJ663" s="94"/>
      <c r="AK663" s="94"/>
    </row>
    <row r="664" spans="1:37">
      <c r="A664" s="94"/>
      <c r="B664" s="94"/>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c r="AE664" s="94"/>
      <c r="AF664" s="94"/>
      <c r="AG664" s="94"/>
      <c r="AH664" s="94"/>
      <c r="AI664" s="94"/>
      <c r="AJ664" s="94"/>
      <c r="AK664" s="94"/>
    </row>
    <row r="665" spans="1:37">
      <c r="A665" s="94"/>
      <c r="B665" s="94"/>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c r="AE665" s="94"/>
      <c r="AF665" s="94"/>
      <c r="AG665" s="94"/>
      <c r="AH665" s="94"/>
      <c r="AI665" s="94"/>
      <c r="AJ665" s="94"/>
      <c r="AK665" s="94"/>
    </row>
    <row r="666" spans="1:37">
      <c r="A666" s="94"/>
      <c r="B666" s="94"/>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c r="AE666" s="94"/>
      <c r="AF666" s="94"/>
      <c r="AG666" s="94"/>
      <c r="AH666" s="94"/>
      <c r="AI666" s="94"/>
      <c r="AJ666" s="94"/>
      <c r="AK666" s="94"/>
    </row>
    <row r="667" spans="1:37">
      <c r="A667" s="94"/>
      <c r="B667" s="94"/>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c r="AE667" s="94"/>
      <c r="AF667" s="94"/>
      <c r="AG667" s="94"/>
      <c r="AH667" s="94"/>
      <c r="AI667" s="94"/>
      <c r="AJ667" s="94"/>
      <c r="AK667" s="94"/>
    </row>
    <row r="668" spans="1:37">
      <c r="A668" s="94"/>
      <c r="B668" s="94"/>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c r="AE668" s="94"/>
      <c r="AF668" s="94"/>
      <c r="AG668" s="94"/>
      <c r="AH668" s="94"/>
      <c r="AI668" s="94"/>
      <c r="AJ668" s="94"/>
      <c r="AK668" s="94"/>
    </row>
    <row r="669" spans="1:37">
      <c r="A669" s="94"/>
      <c r="B669" s="94"/>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c r="AE669" s="94"/>
      <c r="AF669" s="94"/>
      <c r="AG669" s="94"/>
      <c r="AH669" s="94"/>
      <c r="AI669" s="94"/>
      <c r="AJ669" s="94"/>
      <c r="AK669" s="94"/>
    </row>
    <row r="670" spans="1:37">
      <c r="A670" s="94"/>
      <c r="B670" s="94"/>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c r="AE670" s="94"/>
      <c r="AF670" s="94"/>
      <c r="AG670" s="94"/>
      <c r="AH670" s="94"/>
      <c r="AI670" s="94"/>
      <c r="AJ670" s="94"/>
      <c r="AK670" s="94"/>
    </row>
    <row r="671" spans="1:37">
      <c r="A671" s="94"/>
      <c r="B671" s="94"/>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c r="AE671" s="94"/>
      <c r="AF671" s="94"/>
      <c r="AG671" s="94"/>
      <c r="AH671" s="94"/>
      <c r="AI671" s="94"/>
      <c r="AJ671" s="94"/>
      <c r="AK671" s="94"/>
    </row>
    <row r="672" spans="1:37">
      <c r="A672" s="94"/>
      <c r="B672" s="94"/>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c r="AE672" s="94"/>
      <c r="AF672" s="94"/>
      <c r="AG672" s="94"/>
      <c r="AH672" s="94"/>
      <c r="AI672" s="94"/>
      <c r="AJ672" s="94"/>
      <c r="AK672" s="94"/>
    </row>
    <row r="673" spans="1:37">
      <c r="A673" s="94"/>
      <c r="B673" s="94"/>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c r="AE673" s="94"/>
      <c r="AF673" s="94"/>
      <c r="AG673" s="94"/>
      <c r="AH673" s="94"/>
      <c r="AI673" s="94"/>
      <c r="AJ673" s="94"/>
      <c r="AK673" s="94"/>
    </row>
    <row r="674" spans="1:37">
      <c r="A674" s="94"/>
      <c r="B674" s="94"/>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c r="AE674" s="94"/>
      <c r="AF674" s="94"/>
      <c r="AG674" s="94"/>
      <c r="AH674" s="94"/>
      <c r="AI674" s="94"/>
      <c r="AJ674" s="94"/>
      <c r="AK674" s="94"/>
    </row>
    <row r="675" spans="1:37">
      <c r="A675" s="94"/>
      <c r="B675" s="94"/>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c r="AE675" s="94"/>
      <c r="AF675" s="94"/>
      <c r="AG675" s="94"/>
      <c r="AH675" s="94"/>
      <c r="AI675" s="94"/>
      <c r="AJ675" s="94"/>
      <c r="AK675" s="94"/>
    </row>
    <row r="676" spans="1:37">
      <c r="A676" s="94"/>
      <c r="B676" s="94"/>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c r="AE676" s="94"/>
      <c r="AF676" s="94"/>
      <c r="AG676" s="94"/>
      <c r="AH676" s="94"/>
      <c r="AI676" s="94"/>
      <c r="AJ676" s="94"/>
      <c r="AK676" s="94"/>
    </row>
    <row r="677" spans="1:37">
      <c r="A677" s="94"/>
      <c r="B677" s="94"/>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c r="AE677" s="94"/>
      <c r="AF677" s="94"/>
      <c r="AG677" s="94"/>
      <c r="AH677" s="94"/>
      <c r="AI677" s="94"/>
      <c r="AJ677" s="94"/>
      <c r="AK677" s="94"/>
    </row>
    <row r="678" spans="1:37">
      <c r="A678" s="94"/>
      <c r="B678" s="94"/>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c r="AE678" s="94"/>
      <c r="AF678" s="94"/>
      <c r="AG678" s="94"/>
      <c r="AH678" s="94"/>
      <c r="AI678" s="94"/>
      <c r="AJ678" s="94"/>
      <c r="AK678" s="94"/>
    </row>
    <row r="679" spans="1:37">
      <c r="A679" s="94"/>
      <c r="B679" s="94"/>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c r="AE679" s="94"/>
      <c r="AF679" s="94"/>
      <c r="AG679" s="94"/>
      <c r="AH679" s="94"/>
      <c r="AI679" s="94"/>
      <c r="AJ679" s="94"/>
      <c r="AK679" s="94"/>
    </row>
    <row r="680" spans="1:37">
      <c r="A680" s="94"/>
      <c r="B680" s="94"/>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c r="AE680" s="94"/>
      <c r="AF680" s="94"/>
      <c r="AG680" s="94"/>
      <c r="AH680" s="94"/>
      <c r="AI680" s="94"/>
      <c r="AJ680" s="94"/>
      <c r="AK680" s="94"/>
    </row>
    <row r="681" spans="1:37">
      <c r="A681" s="94"/>
      <c r="B681" s="94"/>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c r="AE681" s="94"/>
      <c r="AF681" s="94"/>
      <c r="AG681" s="94"/>
      <c r="AH681" s="94"/>
      <c r="AI681" s="94"/>
      <c r="AJ681" s="94"/>
      <c r="AK681" s="94"/>
    </row>
    <row r="682" spans="1:37">
      <c r="A682" s="94"/>
      <c r="B682" s="94"/>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c r="AE682" s="94"/>
      <c r="AF682" s="94"/>
      <c r="AG682" s="94"/>
      <c r="AH682" s="94"/>
      <c r="AI682" s="94"/>
      <c r="AJ682" s="94"/>
      <c r="AK682" s="94"/>
    </row>
    <row r="683" spans="1:37">
      <c r="A683" s="94"/>
      <c r="B683" s="94"/>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c r="AE683" s="94"/>
      <c r="AF683" s="94"/>
      <c r="AG683" s="94"/>
      <c r="AH683" s="94"/>
      <c r="AI683" s="94"/>
      <c r="AJ683" s="94"/>
      <c r="AK683" s="94"/>
    </row>
    <row r="684" spans="1:37">
      <c r="A684" s="94"/>
      <c r="B684" s="94"/>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c r="AE684" s="94"/>
      <c r="AF684" s="94"/>
      <c r="AG684" s="94"/>
      <c r="AH684" s="94"/>
      <c r="AI684" s="94"/>
      <c r="AJ684" s="94"/>
      <c r="AK684" s="94"/>
    </row>
    <row r="685" spans="1:37">
      <c r="A685" s="94"/>
      <c r="B685" s="94"/>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c r="AE685" s="94"/>
      <c r="AF685" s="94"/>
      <c r="AG685" s="94"/>
      <c r="AH685" s="94"/>
      <c r="AI685" s="94"/>
      <c r="AJ685" s="94"/>
      <c r="AK685" s="94"/>
    </row>
    <row r="686" spans="1:37">
      <c r="A686" s="94"/>
      <c r="B686" s="94"/>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c r="AE686" s="94"/>
      <c r="AF686" s="94"/>
      <c r="AG686" s="94"/>
      <c r="AH686" s="94"/>
      <c r="AI686" s="94"/>
      <c r="AJ686" s="94"/>
      <c r="AK686" s="94"/>
    </row>
    <row r="687" spans="1:37">
      <c r="A687" s="94"/>
      <c r="B687" s="94"/>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c r="AE687" s="94"/>
      <c r="AF687" s="94"/>
      <c r="AG687" s="94"/>
      <c r="AH687" s="94"/>
      <c r="AI687" s="94"/>
      <c r="AJ687" s="94"/>
      <c r="AK687" s="94"/>
    </row>
    <row r="688" spans="1:37">
      <c r="A688" s="94"/>
      <c r="B688" s="94"/>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c r="AE688" s="94"/>
      <c r="AF688" s="94"/>
      <c r="AG688" s="94"/>
      <c r="AH688" s="94"/>
      <c r="AI688" s="94"/>
      <c r="AJ688" s="94"/>
      <c r="AK688" s="94"/>
    </row>
    <row r="689" spans="1:37">
      <c r="A689" s="94"/>
      <c r="B689" s="94"/>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c r="AE689" s="94"/>
      <c r="AF689" s="94"/>
      <c r="AG689" s="94"/>
      <c r="AH689" s="94"/>
      <c r="AI689" s="94"/>
      <c r="AJ689" s="94"/>
      <c r="AK689" s="94"/>
    </row>
    <row r="690" spans="1:37">
      <c r="A690" s="94"/>
      <c r="B690" s="94"/>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c r="AE690" s="94"/>
      <c r="AF690" s="94"/>
      <c r="AG690" s="94"/>
      <c r="AH690" s="94"/>
      <c r="AI690" s="94"/>
      <c r="AJ690" s="94"/>
      <c r="AK690" s="94"/>
    </row>
    <row r="691" spans="1:37">
      <c r="A691" s="94"/>
      <c r="B691" s="94"/>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c r="AE691" s="94"/>
      <c r="AF691" s="94"/>
      <c r="AG691" s="94"/>
      <c r="AH691" s="94"/>
      <c r="AI691" s="94"/>
      <c r="AJ691" s="94"/>
      <c r="AK691" s="94"/>
    </row>
    <row r="692" spans="1:37">
      <c r="A692" s="94"/>
      <c r="B692" s="94"/>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c r="AE692" s="94"/>
      <c r="AF692" s="94"/>
      <c r="AG692" s="94"/>
      <c r="AH692" s="94"/>
      <c r="AI692" s="94"/>
      <c r="AJ692" s="94"/>
      <c r="AK692" s="94"/>
    </row>
    <row r="693" spans="1:37">
      <c r="A693" s="94"/>
      <c r="B693" s="94"/>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c r="AE693" s="94"/>
      <c r="AF693" s="94"/>
      <c r="AG693" s="94"/>
      <c r="AH693" s="94"/>
      <c r="AI693" s="94"/>
      <c r="AJ693" s="94"/>
      <c r="AK693" s="94"/>
    </row>
    <row r="694" spans="1:37">
      <c r="A694" s="94"/>
      <c r="B694" s="94"/>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c r="AE694" s="94"/>
      <c r="AF694" s="94"/>
      <c r="AG694" s="94"/>
      <c r="AH694" s="94"/>
      <c r="AI694" s="94"/>
      <c r="AJ694" s="94"/>
      <c r="AK694" s="94"/>
    </row>
    <row r="695" spans="1:37">
      <c r="A695" s="94"/>
      <c r="B695" s="94"/>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c r="AE695" s="94"/>
      <c r="AF695" s="94"/>
      <c r="AG695" s="94"/>
      <c r="AH695" s="94"/>
      <c r="AI695" s="94"/>
      <c r="AJ695" s="94"/>
      <c r="AK695" s="94"/>
    </row>
    <row r="696" spans="1:37">
      <c r="A696" s="94"/>
      <c r="B696" s="94"/>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c r="AE696" s="94"/>
      <c r="AF696" s="94"/>
      <c r="AG696" s="94"/>
      <c r="AH696" s="94"/>
      <c r="AI696" s="94"/>
      <c r="AJ696" s="94"/>
      <c r="AK696" s="94"/>
    </row>
    <row r="697" spans="1:37">
      <c r="A697" s="94"/>
      <c r="B697" s="94"/>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c r="AE697" s="94"/>
      <c r="AF697" s="94"/>
      <c r="AG697" s="94"/>
      <c r="AH697" s="94"/>
      <c r="AI697" s="94"/>
      <c r="AJ697" s="94"/>
      <c r="AK697" s="94"/>
    </row>
    <row r="698" spans="1:37">
      <c r="A698" s="94"/>
      <c r="B698" s="94"/>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c r="AE698" s="94"/>
      <c r="AF698" s="94"/>
      <c r="AG698" s="94"/>
      <c r="AH698" s="94"/>
      <c r="AI698" s="94"/>
      <c r="AJ698" s="94"/>
      <c r="AK698" s="94"/>
    </row>
    <row r="699" spans="1:37">
      <c r="A699" s="94"/>
      <c r="B699" s="94"/>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c r="AE699" s="94"/>
      <c r="AF699" s="94"/>
      <c r="AG699" s="94"/>
      <c r="AH699" s="94"/>
      <c r="AI699" s="94"/>
      <c r="AJ699" s="94"/>
      <c r="AK699" s="94"/>
    </row>
    <row r="700" spans="1:37">
      <c r="A700" s="94"/>
      <c r="B700" s="94"/>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c r="AE700" s="94"/>
      <c r="AF700" s="94"/>
      <c r="AG700" s="94"/>
      <c r="AH700" s="94"/>
      <c r="AI700" s="94"/>
      <c r="AJ700" s="94"/>
      <c r="AK700" s="94"/>
    </row>
    <row r="701" spans="1:37">
      <c r="A701" s="94"/>
      <c r="B701" s="94"/>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c r="AE701" s="94"/>
      <c r="AF701" s="94"/>
      <c r="AG701" s="94"/>
      <c r="AH701" s="94"/>
      <c r="AI701" s="94"/>
      <c r="AJ701" s="94"/>
      <c r="AK701" s="94"/>
    </row>
    <row r="702" spans="1:37">
      <c r="A702" s="94"/>
      <c r="B702" s="94"/>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c r="AE702" s="94"/>
      <c r="AF702" s="94"/>
      <c r="AG702" s="94"/>
      <c r="AH702" s="94"/>
      <c r="AI702" s="94"/>
      <c r="AJ702" s="94"/>
      <c r="AK702" s="94"/>
    </row>
    <row r="703" spans="1:37">
      <c r="A703" s="94"/>
      <c r="B703" s="94"/>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c r="AE703" s="94"/>
      <c r="AF703" s="94"/>
      <c r="AG703" s="94"/>
      <c r="AH703" s="94"/>
      <c r="AI703" s="94"/>
      <c r="AJ703" s="94"/>
      <c r="AK703" s="94"/>
    </row>
    <row r="704" spans="1:37">
      <c r="A704" s="94"/>
      <c r="B704" s="94"/>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c r="AE704" s="94"/>
      <c r="AF704" s="94"/>
      <c r="AG704" s="94"/>
      <c r="AH704" s="94"/>
      <c r="AI704" s="94"/>
      <c r="AJ704" s="94"/>
      <c r="AK704" s="94"/>
    </row>
    <row r="705" spans="1:37">
      <c r="A705" s="94"/>
      <c r="B705" s="94"/>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c r="AE705" s="94"/>
      <c r="AF705" s="94"/>
      <c r="AG705" s="94"/>
      <c r="AH705" s="94"/>
      <c r="AI705" s="94"/>
      <c r="AJ705" s="94"/>
      <c r="AK705" s="94"/>
    </row>
    <row r="706" spans="1:37">
      <c r="A706" s="94"/>
      <c r="B706" s="94"/>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c r="AE706" s="94"/>
      <c r="AF706" s="94"/>
      <c r="AG706" s="94"/>
      <c r="AH706" s="94"/>
      <c r="AI706" s="94"/>
      <c r="AJ706" s="94"/>
      <c r="AK706" s="94"/>
    </row>
    <row r="707" spans="1:37">
      <c r="A707" s="94"/>
      <c r="B707" s="94"/>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c r="AE707" s="94"/>
      <c r="AF707" s="94"/>
      <c r="AG707" s="94"/>
      <c r="AH707" s="94"/>
      <c r="AI707" s="94"/>
      <c r="AJ707" s="94"/>
      <c r="AK707" s="94"/>
    </row>
    <row r="708" spans="1:37">
      <c r="A708" s="94"/>
      <c r="B708" s="94"/>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c r="AE708" s="94"/>
      <c r="AF708" s="94"/>
      <c r="AG708" s="94"/>
      <c r="AH708" s="94"/>
      <c r="AI708" s="94"/>
      <c r="AJ708" s="94"/>
      <c r="AK708" s="94"/>
    </row>
    <row r="709" spans="1:37">
      <c r="A709" s="94"/>
      <c r="B709" s="94"/>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c r="AE709" s="94"/>
      <c r="AF709" s="94"/>
      <c r="AG709" s="94"/>
      <c r="AH709" s="94"/>
      <c r="AI709" s="94"/>
      <c r="AJ709" s="94"/>
      <c r="AK709" s="94"/>
    </row>
    <row r="710" spans="1:37">
      <c r="A710" s="94"/>
      <c r="B710" s="94"/>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c r="AE710" s="94"/>
      <c r="AF710" s="94"/>
      <c r="AG710" s="94"/>
      <c r="AH710" s="94"/>
      <c r="AI710" s="94"/>
      <c r="AJ710" s="94"/>
      <c r="AK710" s="94"/>
    </row>
    <row r="711" spans="1:37">
      <c r="A711" s="94"/>
      <c r="B711" s="94"/>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c r="AE711" s="94"/>
      <c r="AF711" s="94"/>
      <c r="AG711" s="94"/>
      <c r="AH711" s="94"/>
      <c r="AI711" s="94"/>
      <c r="AJ711" s="94"/>
      <c r="AK711" s="94"/>
    </row>
    <row r="712" spans="1:37">
      <c r="A712" s="94"/>
      <c r="B712" s="94"/>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c r="AE712" s="94"/>
      <c r="AF712" s="94"/>
      <c r="AG712" s="94"/>
      <c r="AH712" s="94"/>
      <c r="AI712" s="94"/>
      <c r="AJ712" s="94"/>
      <c r="AK712" s="94"/>
    </row>
    <row r="713" spans="1:37">
      <c r="A713" s="94"/>
      <c r="B713" s="94"/>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c r="AE713" s="94"/>
      <c r="AF713" s="94"/>
      <c r="AG713" s="94"/>
      <c r="AH713" s="94"/>
      <c r="AI713" s="94"/>
      <c r="AJ713" s="94"/>
      <c r="AK713" s="94"/>
    </row>
    <row r="714" spans="1:37">
      <c r="A714" s="94"/>
      <c r="B714" s="94"/>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c r="AE714" s="94"/>
      <c r="AF714" s="94"/>
      <c r="AG714" s="94"/>
      <c r="AH714" s="94"/>
      <c r="AI714" s="94"/>
      <c r="AJ714" s="94"/>
      <c r="AK714" s="94"/>
    </row>
    <row r="715" spans="1:37">
      <c r="A715" s="94"/>
      <c r="B715" s="94"/>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c r="AE715" s="94"/>
      <c r="AF715" s="94"/>
      <c r="AG715" s="94"/>
      <c r="AH715" s="94"/>
      <c r="AI715" s="94"/>
      <c r="AJ715" s="94"/>
      <c r="AK715" s="94"/>
    </row>
    <row r="716" spans="1:37">
      <c r="A716" s="94"/>
      <c r="B716" s="94"/>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c r="AE716" s="94"/>
      <c r="AF716" s="94"/>
      <c r="AG716" s="94"/>
      <c r="AH716" s="94"/>
      <c r="AI716" s="94"/>
      <c r="AJ716" s="94"/>
      <c r="AK716" s="94"/>
    </row>
    <row r="717" spans="1:37">
      <c r="A717" s="94"/>
      <c r="B717" s="94"/>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c r="AE717" s="94"/>
      <c r="AF717" s="94"/>
      <c r="AG717" s="94"/>
      <c r="AH717" s="94"/>
      <c r="AI717" s="94"/>
      <c r="AJ717" s="94"/>
      <c r="AK717" s="94"/>
    </row>
    <row r="718" spans="1:37">
      <c r="A718" s="94"/>
      <c r="B718" s="94"/>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c r="AE718" s="94"/>
      <c r="AF718" s="94"/>
      <c r="AG718" s="94"/>
      <c r="AH718" s="94"/>
      <c r="AI718" s="94"/>
      <c r="AJ718" s="94"/>
      <c r="AK718" s="94"/>
    </row>
    <row r="719" spans="1:37">
      <c r="A719" s="94"/>
      <c r="B719" s="94"/>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c r="AE719" s="94"/>
      <c r="AF719" s="94"/>
      <c r="AG719" s="94"/>
      <c r="AH719" s="94"/>
      <c r="AI719" s="94"/>
      <c r="AJ719" s="94"/>
      <c r="AK719" s="94"/>
    </row>
    <row r="720" spans="1:37">
      <c r="A720" s="94"/>
      <c r="B720" s="94"/>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c r="AE720" s="94"/>
      <c r="AF720" s="94"/>
      <c r="AG720" s="94"/>
      <c r="AH720" s="94"/>
      <c r="AI720" s="94"/>
      <c r="AJ720" s="94"/>
      <c r="AK720" s="94"/>
    </row>
    <row r="721" spans="1:37">
      <c r="A721" s="94"/>
      <c r="B721" s="94"/>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c r="AE721" s="94"/>
      <c r="AF721" s="94"/>
      <c r="AG721" s="94"/>
      <c r="AH721" s="94"/>
      <c r="AI721" s="94"/>
      <c r="AJ721" s="94"/>
      <c r="AK721" s="94"/>
    </row>
    <row r="722" spans="1:37">
      <c r="A722" s="94"/>
      <c r="B722" s="94"/>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c r="AE722" s="94"/>
      <c r="AF722" s="94"/>
      <c r="AG722" s="94"/>
      <c r="AH722" s="94"/>
      <c r="AI722" s="94"/>
      <c r="AJ722" s="94"/>
      <c r="AK722" s="94"/>
    </row>
    <row r="723" spans="1:37">
      <c r="A723" s="94"/>
      <c r="B723" s="94"/>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c r="AE723" s="94"/>
      <c r="AF723" s="94"/>
      <c r="AG723" s="94"/>
      <c r="AH723" s="94"/>
      <c r="AI723" s="94"/>
      <c r="AJ723" s="94"/>
      <c r="AK723" s="94"/>
    </row>
    <row r="724" spans="1:37">
      <c r="A724" s="94"/>
      <c r="B724" s="94"/>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c r="AE724" s="94"/>
      <c r="AF724" s="94"/>
      <c r="AG724" s="94"/>
      <c r="AH724" s="94"/>
      <c r="AI724" s="94"/>
      <c r="AJ724" s="94"/>
      <c r="AK724" s="94"/>
    </row>
    <row r="725" spans="1:37">
      <c r="A725" s="94"/>
      <c r="B725" s="94"/>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c r="AE725" s="94"/>
      <c r="AF725" s="94"/>
      <c r="AG725" s="94"/>
      <c r="AH725" s="94"/>
      <c r="AI725" s="94"/>
      <c r="AJ725" s="94"/>
      <c r="AK725" s="94"/>
    </row>
    <row r="726" spans="1:37">
      <c r="A726" s="94"/>
      <c r="B726" s="94"/>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c r="AE726" s="94"/>
      <c r="AF726" s="94"/>
      <c r="AG726" s="94"/>
      <c r="AH726" s="94"/>
      <c r="AI726" s="94"/>
      <c r="AJ726" s="94"/>
      <c r="AK726" s="94"/>
    </row>
    <row r="727" spans="1:37">
      <c r="A727" s="94"/>
      <c r="B727" s="94"/>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c r="AE727" s="94"/>
      <c r="AF727" s="94"/>
      <c r="AG727" s="94"/>
      <c r="AH727" s="94"/>
      <c r="AI727" s="94"/>
      <c r="AJ727" s="94"/>
      <c r="AK727" s="94"/>
    </row>
    <row r="728" spans="1:37">
      <c r="A728" s="94"/>
      <c r="B728" s="94"/>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c r="AE728" s="94"/>
      <c r="AF728" s="94"/>
      <c r="AG728" s="94"/>
      <c r="AH728" s="94"/>
      <c r="AI728" s="94"/>
      <c r="AJ728" s="94"/>
      <c r="AK728" s="94"/>
    </row>
    <row r="729" spans="1:37">
      <c r="A729" s="94"/>
      <c r="B729" s="94"/>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c r="AE729" s="94"/>
      <c r="AF729" s="94"/>
      <c r="AG729" s="94"/>
      <c r="AH729" s="94"/>
      <c r="AI729" s="94"/>
      <c r="AJ729" s="94"/>
      <c r="AK729" s="94"/>
    </row>
    <row r="730" spans="1:37">
      <c r="A730" s="94"/>
      <c r="B730" s="94"/>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c r="AE730" s="94"/>
      <c r="AF730" s="94"/>
      <c r="AG730" s="94"/>
      <c r="AH730" s="94"/>
      <c r="AI730" s="94"/>
      <c r="AJ730" s="94"/>
      <c r="AK730" s="94"/>
    </row>
    <row r="731" spans="1:37">
      <c r="A731" s="94"/>
      <c r="B731" s="94"/>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c r="AE731" s="94"/>
      <c r="AF731" s="94"/>
      <c r="AG731" s="94"/>
      <c r="AH731" s="94"/>
      <c r="AI731" s="94"/>
      <c r="AJ731" s="94"/>
      <c r="AK731" s="94"/>
    </row>
    <row r="732" spans="1:37">
      <c r="A732" s="94"/>
      <c r="B732" s="94"/>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c r="AE732" s="94"/>
      <c r="AF732" s="94"/>
      <c r="AG732" s="94"/>
      <c r="AH732" s="94"/>
      <c r="AI732" s="94"/>
      <c r="AJ732" s="94"/>
      <c r="AK732" s="94"/>
    </row>
    <row r="733" spans="1:37">
      <c r="A733" s="94"/>
      <c r="B733" s="94"/>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c r="AE733" s="94"/>
      <c r="AF733" s="94"/>
      <c r="AG733" s="94"/>
      <c r="AH733" s="94"/>
      <c r="AI733" s="94"/>
      <c r="AJ733" s="94"/>
      <c r="AK733" s="94"/>
    </row>
    <row r="734" spans="1:37">
      <c r="A734" s="94"/>
      <c r="B734" s="94"/>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c r="AE734" s="94"/>
      <c r="AF734" s="94"/>
      <c r="AG734" s="94"/>
      <c r="AH734" s="94"/>
      <c r="AI734" s="94"/>
      <c r="AJ734" s="94"/>
      <c r="AK734" s="94"/>
    </row>
    <row r="735" spans="1:37">
      <c r="A735" s="94"/>
      <c r="B735" s="94"/>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c r="AE735" s="94"/>
      <c r="AF735" s="94"/>
      <c r="AG735" s="94"/>
      <c r="AH735" s="94"/>
      <c r="AI735" s="94"/>
      <c r="AJ735" s="94"/>
      <c r="AK735" s="94"/>
    </row>
    <row r="736" spans="1:37">
      <c r="A736" s="94"/>
      <c r="B736" s="94"/>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c r="AE736" s="94"/>
      <c r="AF736" s="94"/>
      <c r="AG736" s="94"/>
      <c r="AH736" s="94"/>
      <c r="AI736" s="94"/>
      <c r="AJ736" s="94"/>
      <c r="AK736" s="94"/>
    </row>
    <row r="737" spans="1:37">
      <c r="A737" s="94"/>
      <c r="B737" s="94"/>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c r="AE737" s="94"/>
      <c r="AF737" s="94"/>
      <c r="AG737" s="94"/>
      <c r="AH737" s="94"/>
      <c r="AI737" s="94"/>
      <c r="AJ737" s="94"/>
      <c r="AK737" s="94"/>
    </row>
    <row r="738" spans="1:37">
      <c r="A738" s="94"/>
      <c r="B738" s="94"/>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c r="AE738" s="94"/>
      <c r="AF738" s="94"/>
      <c r="AG738" s="94"/>
      <c r="AH738" s="94"/>
      <c r="AI738" s="94"/>
      <c r="AJ738" s="94"/>
      <c r="AK738" s="94"/>
    </row>
    <row r="739" spans="1:37">
      <c r="A739" s="94"/>
      <c r="B739" s="94"/>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c r="AE739" s="94"/>
      <c r="AF739" s="94"/>
      <c r="AG739" s="94"/>
      <c r="AH739" s="94"/>
      <c r="AI739" s="94"/>
      <c r="AJ739" s="94"/>
      <c r="AK739" s="94"/>
    </row>
    <row r="740" spans="1:37">
      <c r="A740" s="94"/>
      <c r="B740" s="94"/>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c r="AE740" s="94"/>
      <c r="AF740" s="94"/>
      <c r="AG740" s="94"/>
      <c r="AH740" s="94"/>
      <c r="AI740" s="94"/>
      <c r="AJ740" s="94"/>
      <c r="AK740" s="94"/>
    </row>
    <row r="741" spans="1:37">
      <c r="A741" s="94"/>
      <c r="B741" s="94"/>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c r="AE741" s="94"/>
      <c r="AF741" s="94"/>
      <c r="AG741" s="94"/>
      <c r="AH741" s="94"/>
      <c r="AI741" s="94"/>
      <c r="AJ741" s="94"/>
      <c r="AK741" s="94"/>
    </row>
    <row r="742" spans="1:37">
      <c r="A742" s="94"/>
      <c r="B742" s="94"/>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c r="AE742" s="94"/>
      <c r="AF742" s="94"/>
      <c r="AG742" s="94"/>
      <c r="AH742" s="94"/>
      <c r="AI742" s="94"/>
      <c r="AJ742" s="94"/>
      <c r="AK742" s="94"/>
    </row>
    <row r="743" spans="1:37">
      <c r="A743" s="94"/>
      <c r="B743" s="94"/>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c r="AE743" s="94"/>
      <c r="AF743" s="94"/>
      <c r="AG743" s="94"/>
      <c r="AH743" s="94"/>
      <c r="AI743" s="94"/>
      <c r="AJ743" s="94"/>
      <c r="AK743" s="94"/>
    </row>
    <row r="744" spans="1:37">
      <c r="A744" s="94"/>
      <c r="B744" s="94"/>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c r="AE744" s="94"/>
      <c r="AF744" s="94"/>
      <c r="AG744" s="94"/>
      <c r="AH744" s="94"/>
      <c r="AI744" s="94"/>
      <c r="AJ744" s="94"/>
      <c r="AK744" s="94"/>
    </row>
    <row r="745" spans="1:37">
      <c r="A745" s="94"/>
      <c r="B745" s="94"/>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c r="AE745" s="94"/>
      <c r="AF745" s="94"/>
      <c r="AG745" s="94"/>
      <c r="AH745" s="94"/>
      <c r="AI745" s="94"/>
      <c r="AJ745" s="94"/>
      <c r="AK745" s="94"/>
    </row>
    <row r="746" spans="1:37">
      <c r="A746" s="94"/>
      <c r="B746" s="94"/>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c r="AE746" s="94"/>
      <c r="AF746" s="94"/>
      <c r="AG746" s="94"/>
      <c r="AH746" s="94"/>
      <c r="AI746" s="94"/>
      <c r="AJ746" s="94"/>
      <c r="AK746" s="94"/>
    </row>
    <row r="747" spans="1:37">
      <c r="A747" s="94"/>
      <c r="B747" s="94"/>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c r="AE747" s="94"/>
      <c r="AF747" s="94"/>
      <c r="AG747" s="94"/>
      <c r="AH747" s="94"/>
      <c r="AI747" s="94"/>
      <c r="AJ747" s="94"/>
      <c r="AK747" s="94"/>
    </row>
    <row r="748" spans="1:37">
      <c r="A748" s="94"/>
      <c r="B748" s="94"/>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c r="AE748" s="94"/>
      <c r="AF748" s="94"/>
      <c r="AG748" s="94"/>
      <c r="AH748" s="94"/>
      <c r="AI748" s="94"/>
      <c r="AJ748" s="94"/>
      <c r="AK748" s="94"/>
    </row>
    <row r="749" spans="1:37">
      <c r="A749" s="94"/>
      <c r="B749" s="94"/>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c r="AE749" s="94"/>
      <c r="AF749" s="94"/>
      <c r="AG749" s="94"/>
      <c r="AH749" s="94"/>
      <c r="AI749" s="94"/>
      <c r="AJ749" s="94"/>
      <c r="AK749" s="94"/>
    </row>
    <row r="750" spans="1:37">
      <c r="A750" s="94"/>
      <c r="B750" s="94"/>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c r="AE750" s="94"/>
      <c r="AF750" s="94"/>
      <c r="AG750" s="94"/>
      <c r="AH750" s="94"/>
      <c r="AI750" s="94"/>
      <c r="AJ750" s="94"/>
      <c r="AK750" s="94"/>
    </row>
    <row r="751" spans="1:37">
      <c r="A751" s="94"/>
      <c r="B751" s="94"/>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c r="AE751" s="94"/>
      <c r="AF751" s="94"/>
      <c r="AG751" s="94"/>
      <c r="AH751" s="94"/>
      <c r="AI751" s="94"/>
      <c r="AJ751" s="94"/>
      <c r="AK751" s="94"/>
    </row>
    <row r="752" spans="1:37">
      <c r="A752" s="94"/>
      <c r="B752" s="94"/>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c r="AE752" s="94"/>
      <c r="AF752" s="94"/>
      <c r="AG752" s="94"/>
      <c r="AH752" s="94"/>
      <c r="AI752" s="94"/>
      <c r="AJ752" s="94"/>
      <c r="AK752" s="94"/>
    </row>
    <row r="753" spans="1:37">
      <c r="A753" s="94"/>
      <c r="B753" s="94"/>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c r="AE753" s="94"/>
      <c r="AF753" s="94"/>
      <c r="AG753" s="94"/>
      <c r="AH753" s="94"/>
      <c r="AI753" s="94"/>
      <c r="AJ753" s="94"/>
      <c r="AK753" s="94"/>
    </row>
    <row r="754" spans="1:37">
      <c r="A754" s="94"/>
      <c r="B754" s="94"/>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c r="AE754" s="94"/>
      <c r="AF754" s="94"/>
      <c r="AG754" s="94"/>
      <c r="AH754" s="94"/>
      <c r="AI754" s="94"/>
      <c r="AJ754" s="94"/>
      <c r="AK754" s="94"/>
    </row>
    <row r="755" spans="1:37">
      <c r="A755" s="94"/>
      <c r="B755" s="94"/>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c r="AE755" s="94"/>
      <c r="AF755" s="94"/>
      <c r="AG755" s="94"/>
      <c r="AH755" s="94"/>
      <c r="AI755" s="94"/>
      <c r="AJ755" s="94"/>
      <c r="AK755" s="94"/>
    </row>
    <row r="756" spans="1:37">
      <c r="A756" s="94"/>
      <c r="B756" s="94"/>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c r="AE756" s="94"/>
      <c r="AF756" s="94"/>
      <c r="AG756" s="94"/>
      <c r="AH756" s="94"/>
      <c r="AI756" s="94"/>
      <c r="AJ756" s="94"/>
      <c r="AK756" s="94"/>
    </row>
    <row r="757" spans="1:37">
      <c r="A757" s="94"/>
      <c r="B757" s="94"/>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c r="AE757" s="94"/>
      <c r="AF757" s="94"/>
      <c r="AG757" s="94"/>
      <c r="AH757" s="94"/>
      <c r="AI757" s="94"/>
      <c r="AJ757" s="94"/>
      <c r="AK757" s="94"/>
    </row>
    <row r="758" spans="1:37">
      <c r="A758" s="94"/>
      <c r="B758" s="94"/>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c r="AE758" s="94"/>
      <c r="AF758" s="94"/>
      <c r="AG758" s="94"/>
      <c r="AH758" s="94"/>
      <c r="AI758" s="94"/>
      <c r="AJ758" s="94"/>
      <c r="AK758" s="94"/>
    </row>
    <row r="759" spans="1:37">
      <c r="A759" s="94"/>
      <c r="B759" s="94"/>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c r="AE759" s="94"/>
      <c r="AF759" s="94"/>
      <c r="AG759" s="94"/>
      <c r="AH759" s="94"/>
      <c r="AI759" s="94"/>
      <c r="AJ759" s="94"/>
      <c r="AK759" s="94"/>
    </row>
    <row r="760" spans="1:37">
      <c r="A760" s="94"/>
      <c r="B760" s="94"/>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c r="AE760" s="94"/>
      <c r="AF760" s="94"/>
      <c r="AG760" s="94"/>
      <c r="AH760" s="94"/>
      <c r="AI760" s="94"/>
      <c r="AJ760" s="94"/>
      <c r="AK760" s="94"/>
    </row>
    <row r="761" spans="1:37">
      <c r="A761" s="94"/>
      <c r="B761" s="94"/>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c r="AE761" s="94"/>
      <c r="AF761" s="94"/>
      <c r="AG761" s="94"/>
      <c r="AH761" s="94"/>
      <c r="AI761" s="94"/>
      <c r="AJ761" s="94"/>
      <c r="AK761" s="94"/>
    </row>
    <row r="762" spans="1:37">
      <c r="A762" s="94"/>
      <c r="B762" s="94"/>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c r="AE762" s="94"/>
      <c r="AF762" s="94"/>
      <c r="AG762" s="94"/>
      <c r="AH762" s="94"/>
      <c r="AI762" s="94"/>
      <c r="AJ762" s="94"/>
      <c r="AK762" s="94"/>
    </row>
    <row r="763" spans="1:37">
      <c r="A763" s="94"/>
      <c r="B763" s="94"/>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c r="AE763" s="94"/>
      <c r="AF763" s="94"/>
      <c r="AG763" s="94"/>
      <c r="AH763" s="94"/>
      <c r="AI763" s="94"/>
      <c r="AJ763" s="94"/>
      <c r="AK763" s="94"/>
    </row>
    <row r="764" spans="1:37">
      <c r="A764" s="94"/>
      <c r="B764" s="94"/>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c r="AE764" s="94"/>
      <c r="AF764" s="94"/>
      <c r="AG764" s="94"/>
      <c r="AH764" s="94"/>
      <c r="AI764" s="94"/>
      <c r="AJ764" s="94"/>
      <c r="AK764" s="94"/>
    </row>
    <row r="765" spans="1:37">
      <c r="A765" s="94"/>
      <c r="B765" s="94"/>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c r="AE765" s="94"/>
      <c r="AF765" s="94"/>
      <c r="AG765" s="94"/>
      <c r="AH765" s="94"/>
      <c r="AI765" s="94"/>
      <c r="AJ765" s="94"/>
      <c r="AK765" s="94"/>
    </row>
    <row r="766" spans="1:37">
      <c r="A766" s="94"/>
      <c r="B766" s="94"/>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c r="AE766" s="94"/>
      <c r="AF766" s="94"/>
      <c r="AG766" s="94"/>
      <c r="AH766" s="94"/>
      <c r="AI766" s="94"/>
      <c r="AJ766" s="94"/>
      <c r="AK766" s="94"/>
    </row>
    <row r="767" spans="1:37">
      <c r="A767" s="94"/>
      <c r="B767" s="94"/>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c r="AE767" s="94"/>
      <c r="AF767" s="94"/>
      <c r="AG767" s="94"/>
      <c r="AH767" s="94"/>
      <c r="AI767" s="94"/>
      <c r="AJ767" s="94"/>
      <c r="AK767" s="94"/>
    </row>
    <row r="768" spans="1:37">
      <c r="A768" s="94"/>
      <c r="B768" s="94"/>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c r="AE768" s="94"/>
      <c r="AF768" s="94"/>
      <c r="AG768" s="94"/>
      <c r="AH768" s="94"/>
      <c r="AI768" s="94"/>
      <c r="AJ768" s="94"/>
      <c r="AK768" s="94"/>
    </row>
    <row r="769" spans="1:37">
      <c r="A769" s="94"/>
      <c r="B769" s="94"/>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c r="AE769" s="94"/>
      <c r="AF769" s="94"/>
      <c r="AG769" s="94"/>
      <c r="AH769" s="94"/>
      <c r="AI769" s="94"/>
      <c r="AJ769" s="94"/>
      <c r="AK769" s="94"/>
    </row>
    <row r="770" spans="1:37">
      <c r="A770" s="94"/>
      <c r="B770" s="94"/>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c r="AE770" s="94"/>
      <c r="AF770" s="94"/>
      <c r="AG770" s="94"/>
      <c r="AH770" s="94"/>
      <c r="AI770" s="94"/>
      <c r="AJ770" s="94"/>
      <c r="AK770" s="94"/>
    </row>
    <row r="771" spans="1:37">
      <c r="A771" s="94"/>
      <c r="B771" s="94"/>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c r="AE771" s="94"/>
      <c r="AF771" s="94"/>
      <c r="AG771" s="94"/>
      <c r="AH771" s="94"/>
      <c r="AI771" s="94"/>
      <c r="AJ771" s="94"/>
      <c r="AK771" s="94"/>
    </row>
    <row r="772" spans="1:37">
      <c r="A772" s="94"/>
      <c r="B772" s="94"/>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c r="AE772" s="94"/>
      <c r="AF772" s="94"/>
      <c r="AG772" s="94"/>
      <c r="AH772" s="94"/>
      <c r="AI772" s="94"/>
      <c r="AJ772" s="94"/>
      <c r="AK772" s="94"/>
    </row>
    <row r="773" spans="1:37">
      <c r="A773" s="94"/>
      <c r="B773" s="94"/>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c r="AE773" s="94"/>
      <c r="AF773" s="94"/>
      <c r="AG773" s="94"/>
      <c r="AH773" s="94"/>
      <c r="AI773" s="94"/>
      <c r="AJ773" s="94"/>
      <c r="AK773" s="94"/>
    </row>
    <row r="774" spans="1:37">
      <c r="A774" s="94"/>
      <c r="B774" s="94"/>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c r="AE774" s="94"/>
      <c r="AF774" s="94"/>
      <c r="AG774" s="94"/>
      <c r="AH774" s="94"/>
      <c r="AI774" s="94"/>
      <c r="AJ774" s="94"/>
      <c r="AK774" s="94"/>
    </row>
    <row r="775" spans="1:37">
      <c r="A775" s="94"/>
      <c r="B775" s="94"/>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c r="AE775" s="94"/>
      <c r="AF775" s="94"/>
      <c r="AG775" s="94"/>
      <c r="AH775" s="94"/>
      <c r="AI775" s="94"/>
      <c r="AJ775" s="94"/>
      <c r="AK775" s="94"/>
    </row>
    <row r="776" spans="1:37">
      <c r="A776" s="94"/>
      <c r="B776" s="94"/>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c r="AE776" s="94"/>
      <c r="AF776" s="94"/>
      <c r="AG776" s="94"/>
      <c r="AH776" s="94"/>
      <c r="AI776" s="94"/>
      <c r="AJ776" s="94"/>
      <c r="AK776" s="94"/>
    </row>
    <row r="777" spans="1:37">
      <c r="A777" s="94"/>
      <c r="B777" s="94"/>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c r="AE777" s="94"/>
      <c r="AF777" s="94"/>
      <c r="AG777" s="94"/>
      <c r="AH777" s="94"/>
      <c r="AI777" s="94"/>
      <c r="AJ777" s="94"/>
      <c r="AK777" s="94"/>
    </row>
    <row r="778" spans="1:37">
      <c r="A778" s="94"/>
      <c r="B778" s="94"/>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c r="AE778" s="94"/>
      <c r="AF778" s="94"/>
      <c r="AG778" s="94"/>
      <c r="AH778" s="94"/>
      <c r="AI778" s="94"/>
      <c r="AJ778" s="94"/>
      <c r="AK778" s="94"/>
    </row>
    <row r="779" spans="1:37">
      <c r="A779" s="94"/>
      <c r="B779" s="94"/>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c r="AE779" s="94"/>
      <c r="AF779" s="94"/>
      <c r="AG779" s="94"/>
      <c r="AH779" s="94"/>
      <c r="AI779" s="94"/>
      <c r="AJ779" s="94"/>
      <c r="AK779" s="94"/>
    </row>
    <row r="780" spans="1:37">
      <c r="A780" s="94"/>
      <c r="B780" s="94"/>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c r="AE780" s="94"/>
      <c r="AF780" s="94"/>
      <c r="AG780" s="94"/>
      <c r="AH780" s="94"/>
      <c r="AI780" s="94"/>
      <c r="AJ780" s="94"/>
      <c r="AK780" s="94"/>
    </row>
    <row r="781" spans="1:37">
      <c r="A781" s="94"/>
      <c r="B781" s="94"/>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c r="AE781" s="94"/>
      <c r="AF781" s="94"/>
      <c r="AG781" s="94"/>
      <c r="AH781" s="94"/>
      <c r="AI781" s="94"/>
      <c r="AJ781" s="94"/>
      <c r="AK781" s="94"/>
    </row>
    <row r="782" spans="1:37">
      <c r="A782" s="94"/>
      <c r="B782" s="94"/>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c r="AE782" s="94"/>
      <c r="AF782" s="94"/>
      <c r="AG782" s="94"/>
      <c r="AH782" s="94"/>
      <c r="AI782" s="94"/>
      <c r="AJ782" s="94"/>
      <c r="AK782" s="94"/>
    </row>
    <row r="783" spans="1:37">
      <c r="A783" s="94"/>
      <c r="B783" s="94"/>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c r="AE783" s="94"/>
      <c r="AF783" s="94"/>
      <c r="AG783" s="94"/>
      <c r="AH783" s="94"/>
      <c r="AI783" s="94"/>
      <c r="AJ783" s="94"/>
      <c r="AK783" s="94"/>
    </row>
    <row r="784" spans="1:37">
      <c r="A784" s="94"/>
      <c r="B784" s="94"/>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c r="AE784" s="94"/>
      <c r="AF784" s="94"/>
      <c r="AG784" s="94"/>
      <c r="AH784" s="94"/>
      <c r="AI784" s="94"/>
      <c r="AJ784" s="94"/>
      <c r="AK784" s="94"/>
    </row>
    <row r="785" spans="1:37">
      <c r="A785" s="94"/>
      <c r="B785" s="94"/>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c r="AE785" s="94"/>
      <c r="AF785" s="94"/>
      <c r="AG785" s="94"/>
      <c r="AH785" s="94"/>
      <c r="AI785" s="94"/>
      <c r="AJ785" s="94"/>
      <c r="AK785" s="94"/>
    </row>
    <row r="786" spans="1:37">
      <c r="A786" s="94"/>
      <c r="B786" s="94"/>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c r="AE786" s="94"/>
      <c r="AF786" s="94"/>
      <c r="AG786" s="94"/>
      <c r="AH786" s="94"/>
      <c r="AI786" s="94"/>
      <c r="AJ786" s="94"/>
      <c r="AK786" s="94"/>
    </row>
    <row r="787" spans="1:37">
      <c r="A787" s="94"/>
      <c r="B787" s="94"/>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c r="AE787" s="94"/>
      <c r="AF787" s="94"/>
      <c r="AG787" s="94"/>
      <c r="AH787" s="94"/>
      <c r="AI787" s="94"/>
      <c r="AJ787" s="94"/>
      <c r="AK787" s="94"/>
    </row>
    <row r="788" spans="1:37">
      <c r="A788" s="94"/>
      <c r="B788" s="94"/>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c r="AE788" s="94"/>
      <c r="AF788" s="94"/>
      <c r="AG788" s="94"/>
      <c r="AH788" s="94"/>
      <c r="AI788" s="94"/>
      <c r="AJ788" s="94"/>
      <c r="AK788" s="94"/>
    </row>
    <row r="789" spans="1:37">
      <c r="A789" s="94"/>
      <c r="B789" s="94"/>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c r="AE789" s="94"/>
      <c r="AF789" s="94"/>
      <c r="AG789" s="94"/>
      <c r="AH789" s="94"/>
      <c r="AI789" s="94"/>
      <c r="AJ789" s="94"/>
      <c r="AK789" s="94"/>
    </row>
    <row r="790" spans="1:37">
      <c r="A790" s="94"/>
      <c r="B790" s="94"/>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c r="AE790" s="94"/>
      <c r="AF790" s="94"/>
      <c r="AG790" s="94"/>
      <c r="AH790" s="94"/>
      <c r="AI790" s="94"/>
      <c r="AJ790" s="94"/>
      <c r="AK790" s="94"/>
    </row>
    <row r="791" spans="1:37">
      <c r="A791" s="94"/>
      <c r="B791" s="94"/>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c r="AE791" s="94"/>
      <c r="AF791" s="94"/>
      <c r="AG791" s="94"/>
      <c r="AH791" s="94"/>
      <c r="AI791" s="94"/>
      <c r="AJ791" s="94"/>
      <c r="AK791" s="94"/>
    </row>
    <row r="792" spans="1:37">
      <c r="A792" s="94"/>
      <c r="B792" s="94"/>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c r="AE792" s="94"/>
      <c r="AF792" s="94"/>
      <c r="AG792" s="94"/>
      <c r="AH792" s="94"/>
      <c r="AI792" s="94"/>
      <c r="AJ792" s="94"/>
      <c r="AK792" s="94"/>
    </row>
    <row r="793" spans="1:37">
      <c r="A793" s="94"/>
      <c r="B793" s="94"/>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c r="AE793" s="94"/>
      <c r="AF793" s="94"/>
      <c r="AG793" s="94"/>
      <c r="AH793" s="94"/>
      <c r="AI793" s="94"/>
      <c r="AJ793" s="94"/>
      <c r="AK793" s="94"/>
    </row>
    <row r="794" spans="1:37">
      <c r="A794" s="94"/>
      <c r="B794" s="94"/>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c r="AE794" s="94"/>
      <c r="AF794" s="94"/>
      <c r="AG794" s="94"/>
      <c r="AH794" s="94"/>
      <c r="AI794" s="94"/>
      <c r="AJ794" s="94"/>
      <c r="AK794" s="94"/>
    </row>
    <row r="795" spans="1:37">
      <c r="A795" s="94"/>
      <c r="B795" s="94"/>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c r="AE795" s="94"/>
      <c r="AF795" s="94"/>
      <c r="AG795" s="94"/>
      <c r="AH795" s="94"/>
      <c r="AI795" s="94"/>
      <c r="AJ795" s="94"/>
      <c r="AK795" s="94"/>
    </row>
    <row r="796" spans="1:37">
      <c r="A796" s="94"/>
      <c r="B796" s="94"/>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c r="AE796" s="94"/>
      <c r="AF796" s="94"/>
      <c r="AG796" s="94"/>
      <c r="AH796" s="94"/>
      <c r="AI796" s="94"/>
      <c r="AJ796" s="94"/>
      <c r="AK796" s="94"/>
    </row>
    <row r="797" spans="1:37">
      <c r="A797" s="94"/>
      <c r="B797" s="94"/>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c r="AE797" s="94"/>
      <c r="AF797" s="94"/>
      <c r="AG797" s="94"/>
      <c r="AH797" s="94"/>
      <c r="AI797" s="94"/>
      <c r="AJ797" s="94"/>
      <c r="AK797" s="94"/>
    </row>
    <row r="798" spans="1:37">
      <c r="A798" s="94"/>
      <c r="B798" s="94"/>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c r="AE798" s="94"/>
      <c r="AF798" s="94"/>
      <c r="AG798" s="94"/>
      <c r="AH798" s="94"/>
      <c r="AI798" s="94"/>
      <c r="AJ798" s="94"/>
      <c r="AK798" s="94"/>
    </row>
    <row r="799" spans="1:37">
      <c r="A799" s="94"/>
      <c r="B799" s="94"/>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c r="AE799" s="94"/>
      <c r="AF799" s="94"/>
      <c r="AG799" s="94"/>
      <c r="AH799" s="94"/>
      <c r="AI799" s="94"/>
      <c r="AJ799" s="94"/>
      <c r="AK799" s="94"/>
    </row>
    <row r="800" spans="1:37">
      <c r="A800" s="94"/>
      <c r="B800" s="94"/>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c r="AE800" s="94"/>
      <c r="AF800" s="94"/>
      <c r="AG800" s="94"/>
      <c r="AH800" s="94"/>
      <c r="AI800" s="94"/>
      <c r="AJ800" s="94"/>
      <c r="AK800" s="94"/>
    </row>
    <row r="801" spans="1:37">
      <c r="A801" s="94"/>
      <c r="B801" s="94"/>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c r="AE801" s="94"/>
      <c r="AF801" s="94"/>
      <c r="AG801" s="94"/>
      <c r="AH801" s="94"/>
      <c r="AI801" s="94"/>
      <c r="AJ801" s="94"/>
      <c r="AK801" s="94"/>
    </row>
    <row r="802" spans="1:37">
      <c r="A802" s="94"/>
      <c r="B802" s="94"/>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c r="AE802" s="94"/>
      <c r="AF802" s="94"/>
      <c r="AG802" s="94"/>
      <c r="AH802" s="94"/>
      <c r="AI802" s="94"/>
      <c r="AJ802" s="94"/>
      <c r="AK802" s="94"/>
    </row>
    <row r="803" spans="1:37">
      <c r="A803" s="94"/>
      <c r="B803" s="94"/>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c r="AE803" s="94"/>
      <c r="AF803" s="94"/>
      <c r="AG803" s="94"/>
      <c r="AH803" s="94"/>
      <c r="AI803" s="94"/>
      <c r="AJ803" s="94"/>
      <c r="AK803" s="94"/>
    </row>
    <row r="804" spans="1:37">
      <c r="A804" s="94"/>
      <c r="B804" s="94"/>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c r="AE804" s="94"/>
      <c r="AF804" s="94"/>
      <c r="AG804" s="94"/>
      <c r="AH804" s="94"/>
      <c r="AI804" s="94"/>
      <c r="AJ804" s="94"/>
      <c r="AK804" s="94"/>
    </row>
    <row r="805" spans="1:37">
      <c r="A805" s="94"/>
      <c r="B805" s="94"/>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c r="AE805" s="94"/>
      <c r="AF805" s="94"/>
      <c r="AG805" s="94"/>
      <c r="AH805" s="94"/>
      <c r="AI805" s="94"/>
      <c r="AJ805" s="94"/>
      <c r="AK805" s="94"/>
    </row>
    <row r="806" spans="1:37">
      <c r="A806" s="94"/>
      <c r="B806" s="94"/>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c r="AE806" s="94"/>
      <c r="AF806" s="94"/>
      <c r="AG806" s="94"/>
      <c r="AH806" s="94"/>
      <c r="AI806" s="94"/>
      <c r="AJ806" s="94"/>
      <c r="AK806" s="94"/>
    </row>
    <row r="807" spans="1:37">
      <c r="A807" s="94"/>
      <c r="B807" s="94"/>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c r="AE807" s="94"/>
      <c r="AF807" s="94"/>
      <c r="AG807" s="94"/>
      <c r="AH807" s="94"/>
      <c r="AI807" s="94"/>
      <c r="AJ807" s="94"/>
      <c r="AK807" s="94"/>
    </row>
    <row r="808" spans="1:37">
      <c r="A808" s="94"/>
      <c r="B808" s="94"/>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c r="AE808" s="94"/>
      <c r="AF808" s="94"/>
      <c r="AG808" s="94"/>
      <c r="AH808" s="94"/>
      <c r="AI808" s="94"/>
      <c r="AJ808" s="94"/>
      <c r="AK808" s="94"/>
    </row>
    <row r="809" spans="1:37">
      <c r="A809" s="94"/>
      <c r="B809" s="94"/>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c r="AE809" s="94"/>
      <c r="AF809" s="94"/>
      <c r="AG809" s="94"/>
      <c r="AH809" s="94"/>
      <c r="AI809" s="94"/>
      <c r="AJ809" s="94"/>
      <c r="AK809" s="94"/>
    </row>
    <row r="810" spans="1:37">
      <c r="A810" s="94"/>
      <c r="B810" s="94"/>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c r="AE810" s="94"/>
      <c r="AF810" s="94"/>
      <c r="AG810" s="94"/>
      <c r="AH810" s="94"/>
      <c r="AI810" s="94"/>
      <c r="AJ810" s="94"/>
      <c r="AK810" s="94"/>
    </row>
    <row r="811" spans="1:37">
      <c r="A811" s="94"/>
      <c r="B811" s="94"/>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c r="AE811" s="94"/>
      <c r="AF811" s="94"/>
      <c r="AG811" s="94"/>
      <c r="AH811" s="94"/>
      <c r="AI811" s="94"/>
      <c r="AJ811" s="94"/>
      <c r="AK811" s="94"/>
    </row>
    <row r="812" spans="1:37">
      <c r="A812" s="94"/>
      <c r="B812" s="94"/>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c r="AE812" s="94"/>
      <c r="AF812" s="94"/>
      <c r="AG812" s="94"/>
      <c r="AH812" s="94"/>
      <c r="AI812" s="94"/>
      <c r="AJ812" s="94"/>
      <c r="AK812" s="94"/>
    </row>
    <row r="813" spans="1:37">
      <c r="A813" s="94"/>
      <c r="B813" s="94"/>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c r="AE813" s="94"/>
      <c r="AF813" s="94"/>
      <c r="AG813" s="94"/>
      <c r="AH813" s="94"/>
      <c r="AI813" s="94"/>
      <c r="AJ813" s="94"/>
      <c r="AK813" s="94"/>
    </row>
    <row r="814" spans="1:37">
      <c r="A814" s="94"/>
      <c r="B814" s="94"/>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c r="AE814" s="94"/>
      <c r="AF814" s="94"/>
      <c r="AG814" s="94"/>
      <c r="AH814" s="94"/>
      <c r="AI814" s="94"/>
      <c r="AJ814" s="94"/>
      <c r="AK814" s="94"/>
    </row>
    <row r="815" spans="1:37">
      <c r="A815" s="94"/>
      <c r="B815" s="94"/>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c r="AE815" s="94"/>
      <c r="AF815" s="94"/>
      <c r="AG815" s="94"/>
      <c r="AH815" s="94"/>
      <c r="AI815" s="94"/>
      <c r="AJ815" s="94"/>
      <c r="AK815" s="94"/>
    </row>
    <row r="816" spans="1:37">
      <c r="A816" s="94"/>
      <c r="B816" s="94"/>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c r="AE816" s="94"/>
      <c r="AF816" s="94"/>
      <c r="AG816" s="94"/>
      <c r="AH816" s="94"/>
      <c r="AI816" s="94"/>
      <c r="AJ816" s="94"/>
      <c r="AK816" s="94"/>
    </row>
    <row r="817" spans="1:37">
      <c r="A817" s="94"/>
      <c r="B817" s="94"/>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c r="AE817" s="94"/>
      <c r="AF817" s="94"/>
      <c r="AG817" s="94"/>
      <c r="AH817" s="94"/>
      <c r="AI817" s="94"/>
      <c r="AJ817" s="94"/>
      <c r="AK817" s="94"/>
    </row>
    <row r="818" spans="1:37">
      <c r="A818" s="94"/>
      <c r="B818" s="94"/>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c r="AE818" s="94"/>
      <c r="AF818" s="94"/>
      <c r="AG818" s="94"/>
      <c r="AH818" s="94"/>
      <c r="AI818" s="94"/>
      <c r="AJ818" s="94"/>
      <c r="AK818" s="94"/>
    </row>
    <row r="819" spans="1:37">
      <c r="A819" s="94"/>
      <c r="B819" s="94"/>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c r="AE819" s="94"/>
      <c r="AF819" s="94"/>
      <c r="AG819" s="94"/>
      <c r="AH819" s="94"/>
      <c r="AI819" s="94"/>
      <c r="AJ819" s="94"/>
      <c r="AK819" s="94"/>
    </row>
    <row r="820" spans="1:37">
      <c r="A820" s="94"/>
      <c r="B820" s="94"/>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c r="AE820" s="94"/>
      <c r="AF820" s="94"/>
      <c r="AG820" s="94"/>
      <c r="AH820" s="94"/>
      <c r="AI820" s="94"/>
      <c r="AJ820" s="94"/>
      <c r="AK820" s="94"/>
    </row>
    <row r="821" spans="1:37">
      <c r="A821" s="94"/>
      <c r="B821" s="94"/>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c r="AE821" s="94"/>
      <c r="AF821" s="94"/>
      <c r="AG821" s="94"/>
      <c r="AH821" s="94"/>
      <c r="AI821" s="94"/>
      <c r="AJ821" s="94"/>
      <c r="AK821" s="94"/>
    </row>
    <row r="822" spans="1:37">
      <c r="A822" s="94"/>
      <c r="B822" s="94"/>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c r="AE822" s="94"/>
      <c r="AF822" s="94"/>
      <c r="AG822" s="94"/>
      <c r="AH822" s="94"/>
      <c r="AI822" s="94"/>
      <c r="AJ822" s="94"/>
      <c r="AK822" s="94"/>
    </row>
    <row r="823" spans="1:37">
      <c r="A823" s="94"/>
      <c r="B823" s="94"/>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c r="AE823" s="94"/>
      <c r="AF823" s="94"/>
      <c r="AG823" s="94"/>
      <c r="AH823" s="94"/>
      <c r="AI823" s="94"/>
      <c r="AJ823" s="94"/>
      <c r="AK823" s="94"/>
    </row>
    <row r="824" spans="1:37">
      <c r="A824" s="94"/>
      <c r="B824" s="94"/>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c r="AE824" s="94"/>
      <c r="AF824" s="94"/>
      <c r="AG824" s="94"/>
      <c r="AH824" s="94"/>
      <c r="AI824" s="94"/>
      <c r="AJ824" s="94"/>
      <c r="AK824" s="94"/>
    </row>
    <row r="825" spans="1:37">
      <c r="A825" s="94"/>
      <c r="B825" s="94"/>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c r="AE825" s="94"/>
      <c r="AF825" s="94"/>
      <c r="AG825" s="94"/>
      <c r="AH825" s="94"/>
      <c r="AI825" s="94"/>
      <c r="AJ825" s="94"/>
      <c r="AK825" s="94"/>
    </row>
    <row r="826" spans="1:37">
      <c r="A826" s="94"/>
      <c r="B826" s="94"/>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c r="AE826" s="94"/>
      <c r="AF826" s="94"/>
      <c r="AG826" s="94"/>
      <c r="AH826" s="94"/>
      <c r="AI826" s="94"/>
      <c r="AJ826" s="94"/>
      <c r="AK826" s="94"/>
    </row>
    <row r="827" spans="1:37">
      <c r="A827" s="94"/>
      <c r="B827" s="94"/>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c r="AE827" s="94"/>
      <c r="AF827" s="94"/>
      <c r="AG827" s="94"/>
      <c r="AH827" s="94"/>
      <c r="AI827" s="94"/>
      <c r="AJ827" s="94"/>
      <c r="AK827" s="94"/>
    </row>
    <row r="828" spans="1:37">
      <c r="A828" s="94"/>
      <c r="B828" s="94"/>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c r="AE828" s="94"/>
      <c r="AF828" s="94"/>
      <c r="AG828" s="94"/>
      <c r="AH828" s="94"/>
      <c r="AI828" s="94"/>
      <c r="AJ828" s="94"/>
      <c r="AK828" s="94"/>
    </row>
    <row r="829" spans="1:37">
      <c r="A829" s="94"/>
      <c r="B829" s="94"/>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c r="AE829" s="94"/>
      <c r="AF829" s="94"/>
      <c r="AG829" s="94"/>
      <c r="AH829" s="94"/>
      <c r="AI829" s="94"/>
      <c r="AJ829" s="94"/>
      <c r="AK829" s="94"/>
    </row>
    <row r="830" spans="1:37">
      <c r="A830" s="94"/>
      <c r="B830" s="94"/>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c r="AE830" s="94"/>
      <c r="AF830" s="94"/>
      <c r="AG830" s="94"/>
      <c r="AH830" s="94"/>
      <c r="AI830" s="94"/>
      <c r="AJ830" s="94"/>
      <c r="AK830" s="94"/>
    </row>
    <row r="831" spans="1:37">
      <c r="A831" s="94"/>
      <c r="B831" s="94"/>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c r="AE831" s="94"/>
      <c r="AF831" s="94"/>
      <c r="AG831" s="94"/>
      <c r="AH831" s="94"/>
      <c r="AI831" s="94"/>
      <c r="AJ831" s="94"/>
      <c r="AK831" s="94"/>
    </row>
    <row r="832" spans="1:37">
      <c r="A832" s="94"/>
      <c r="B832" s="94"/>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c r="AE832" s="94"/>
      <c r="AF832" s="94"/>
      <c r="AG832" s="94"/>
      <c r="AH832" s="94"/>
      <c r="AI832" s="94"/>
      <c r="AJ832" s="94"/>
      <c r="AK832" s="94"/>
    </row>
    <row r="833" spans="1:37">
      <c r="A833" s="94"/>
      <c r="B833" s="94"/>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c r="AE833" s="94"/>
      <c r="AF833" s="94"/>
      <c r="AG833" s="94"/>
      <c r="AH833" s="94"/>
      <c r="AI833" s="94"/>
      <c r="AJ833" s="94"/>
      <c r="AK833" s="94"/>
    </row>
    <row r="834" spans="1:37">
      <c r="A834" s="94"/>
      <c r="B834" s="94"/>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c r="AE834" s="94"/>
      <c r="AF834" s="94"/>
      <c r="AG834" s="94"/>
      <c r="AH834" s="94"/>
      <c r="AI834" s="94"/>
      <c r="AJ834" s="94"/>
      <c r="AK834" s="94"/>
    </row>
    <row r="835" spans="1:37">
      <c r="A835" s="94"/>
      <c r="B835" s="94"/>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c r="AE835" s="94"/>
      <c r="AF835" s="94"/>
      <c r="AG835" s="94"/>
      <c r="AH835" s="94"/>
      <c r="AI835" s="94"/>
      <c r="AJ835" s="94"/>
      <c r="AK835" s="94"/>
    </row>
    <row r="836" spans="1:37">
      <c r="A836" s="94"/>
      <c r="B836" s="94"/>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c r="AE836" s="94"/>
      <c r="AF836" s="94"/>
      <c r="AG836" s="94"/>
      <c r="AH836" s="94"/>
      <c r="AI836" s="94"/>
      <c r="AJ836" s="94"/>
      <c r="AK836" s="94"/>
    </row>
    <row r="837" spans="1:37">
      <c r="A837" s="94"/>
      <c r="B837" s="94"/>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4"/>
      <c r="AF837" s="94"/>
      <c r="AG837" s="94"/>
      <c r="AH837" s="94"/>
      <c r="AI837" s="94"/>
      <c r="AJ837" s="94"/>
      <c r="AK837" s="94"/>
    </row>
    <row r="838" spans="1:37">
      <c r="A838" s="94"/>
      <c r="B838" s="94"/>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c r="AE838" s="94"/>
      <c r="AF838" s="94"/>
      <c r="AG838" s="94"/>
      <c r="AH838" s="94"/>
      <c r="AI838" s="94"/>
      <c r="AJ838" s="94"/>
      <c r="AK838" s="94"/>
    </row>
    <row r="839" spans="1:37">
      <c r="A839" s="94"/>
      <c r="B839" s="94"/>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c r="AE839" s="94"/>
      <c r="AF839" s="94"/>
      <c r="AG839" s="94"/>
      <c r="AH839" s="94"/>
      <c r="AI839" s="94"/>
      <c r="AJ839" s="94"/>
      <c r="AK839" s="94"/>
    </row>
    <row r="840" spans="1:37">
      <c r="A840" s="94"/>
      <c r="B840" s="94"/>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c r="AE840" s="94"/>
      <c r="AF840" s="94"/>
      <c r="AG840" s="94"/>
      <c r="AH840" s="94"/>
      <c r="AI840" s="94"/>
      <c r="AJ840" s="94"/>
      <c r="AK840" s="94"/>
    </row>
    <row r="841" spans="1:37">
      <c r="A841" s="94"/>
      <c r="B841" s="94"/>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c r="AE841" s="94"/>
      <c r="AF841" s="94"/>
      <c r="AG841" s="94"/>
      <c r="AH841" s="94"/>
      <c r="AI841" s="94"/>
      <c r="AJ841" s="94"/>
      <c r="AK841" s="94"/>
    </row>
    <row r="842" spans="1:37">
      <c r="A842" s="94"/>
      <c r="B842" s="94"/>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c r="AE842" s="94"/>
      <c r="AF842" s="94"/>
      <c r="AG842" s="94"/>
      <c r="AH842" s="94"/>
      <c r="AI842" s="94"/>
      <c r="AJ842" s="94"/>
      <c r="AK842" s="94"/>
    </row>
    <row r="843" spans="1:37">
      <c r="A843" s="94"/>
      <c r="B843" s="94"/>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c r="AE843" s="94"/>
      <c r="AF843" s="94"/>
      <c r="AG843" s="94"/>
      <c r="AH843" s="94"/>
      <c r="AI843" s="94"/>
      <c r="AJ843" s="94"/>
      <c r="AK843" s="94"/>
    </row>
    <row r="844" spans="1:37">
      <c r="A844" s="94"/>
      <c r="B844" s="94"/>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c r="AE844" s="94"/>
      <c r="AF844" s="94"/>
      <c r="AG844" s="94"/>
      <c r="AH844" s="94"/>
      <c r="AI844" s="94"/>
      <c r="AJ844" s="94"/>
      <c r="AK844" s="94"/>
    </row>
    <row r="845" spans="1:37">
      <c r="A845" s="94"/>
      <c r="B845" s="94"/>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c r="AE845" s="94"/>
      <c r="AF845" s="94"/>
      <c r="AG845" s="94"/>
      <c r="AH845" s="94"/>
      <c r="AI845" s="94"/>
      <c r="AJ845" s="94"/>
      <c r="AK845" s="94"/>
    </row>
    <row r="846" spans="1:37">
      <c r="A846" s="94"/>
      <c r="B846" s="94"/>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c r="AE846" s="94"/>
      <c r="AF846" s="94"/>
      <c r="AG846" s="94"/>
      <c r="AH846" s="94"/>
      <c r="AI846" s="94"/>
      <c r="AJ846" s="94"/>
      <c r="AK846" s="94"/>
    </row>
    <row r="847" spans="1:37">
      <c r="A847" s="94"/>
      <c r="B847" s="94"/>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c r="AE847" s="94"/>
      <c r="AF847" s="94"/>
      <c r="AG847" s="94"/>
      <c r="AH847" s="94"/>
      <c r="AI847" s="94"/>
      <c r="AJ847" s="94"/>
      <c r="AK847" s="94"/>
    </row>
    <row r="848" spans="1:37">
      <c r="A848" s="94"/>
      <c r="B848" s="94"/>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4"/>
      <c r="AF848" s="94"/>
      <c r="AG848" s="94"/>
      <c r="AH848" s="94"/>
      <c r="AI848" s="94"/>
      <c r="AJ848" s="94"/>
      <c r="AK848" s="94"/>
    </row>
    <row r="849" spans="1:37">
      <c r="A849" s="94"/>
      <c r="B849" s="94"/>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c r="AE849" s="94"/>
      <c r="AF849" s="94"/>
      <c r="AG849" s="94"/>
      <c r="AH849" s="94"/>
      <c r="AI849" s="94"/>
      <c r="AJ849" s="94"/>
      <c r="AK849" s="94"/>
    </row>
    <row r="850" spans="1:37">
      <c r="A850" s="94"/>
      <c r="B850" s="94"/>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c r="AE850" s="94"/>
      <c r="AF850" s="94"/>
      <c r="AG850" s="94"/>
      <c r="AH850" s="94"/>
      <c r="AI850" s="94"/>
      <c r="AJ850" s="94"/>
      <c r="AK850" s="94"/>
    </row>
    <row r="851" spans="1:37">
      <c r="A851" s="94"/>
      <c r="B851" s="94"/>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c r="AE851" s="94"/>
      <c r="AF851" s="94"/>
      <c r="AG851" s="94"/>
      <c r="AH851" s="94"/>
      <c r="AI851" s="94"/>
      <c r="AJ851" s="94"/>
      <c r="AK851" s="94"/>
    </row>
    <row r="852" spans="1:37">
      <c r="A852" s="94"/>
      <c r="B852" s="94"/>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c r="AE852" s="94"/>
      <c r="AF852" s="94"/>
      <c r="AG852" s="94"/>
      <c r="AH852" s="94"/>
      <c r="AI852" s="94"/>
      <c r="AJ852" s="94"/>
      <c r="AK852" s="94"/>
    </row>
    <row r="853" spans="1:37">
      <c r="A853" s="94"/>
      <c r="B853" s="94"/>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c r="AE853" s="94"/>
      <c r="AF853" s="94"/>
      <c r="AG853" s="94"/>
      <c r="AH853" s="94"/>
      <c r="AI853" s="94"/>
      <c r="AJ853" s="94"/>
      <c r="AK853" s="94"/>
    </row>
    <row r="854" spans="1:37">
      <c r="A854" s="94"/>
      <c r="B854" s="94"/>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c r="AE854" s="94"/>
      <c r="AF854" s="94"/>
      <c r="AG854" s="94"/>
      <c r="AH854" s="94"/>
      <c r="AI854" s="94"/>
      <c r="AJ854" s="94"/>
      <c r="AK854" s="94"/>
    </row>
    <row r="855" spans="1:37">
      <c r="A855" s="94"/>
      <c r="B855" s="94"/>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c r="AE855" s="94"/>
      <c r="AF855" s="94"/>
      <c r="AG855" s="94"/>
      <c r="AH855" s="94"/>
      <c r="AI855" s="94"/>
      <c r="AJ855" s="94"/>
      <c r="AK855" s="94"/>
    </row>
    <row r="856" spans="1:37">
      <c r="A856" s="94"/>
      <c r="B856" s="94"/>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c r="AE856" s="94"/>
      <c r="AF856" s="94"/>
      <c r="AG856" s="94"/>
      <c r="AH856" s="94"/>
      <c r="AI856" s="94"/>
      <c r="AJ856" s="94"/>
      <c r="AK856" s="94"/>
    </row>
    <row r="857" spans="1:37">
      <c r="A857" s="94"/>
      <c r="B857" s="94"/>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c r="AE857" s="94"/>
      <c r="AF857" s="94"/>
      <c r="AG857" s="94"/>
      <c r="AH857" s="94"/>
      <c r="AI857" s="94"/>
      <c r="AJ857" s="94"/>
      <c r="AK857" s="94"/>
    </row>
    <row r="858" spans="1:37">
      <c r="A858" s="94"/>
      <c r="B858" s="94"/>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c r="AE858" s="94"/>
      <c r="AF858" s="94"/>
      <c r="AG858" s="94"/>
      <c r="AH858" s="94"/>
      <c r="AI858" s="94"/>
      <c r="AJ858" s="94"/>
      <c r="AK858" s="94"/>
    </row>
    <row r="859" spans="1:37">
      <c r="A859" s="94"/>
      <c r="B859" s="94"/>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c r="AE859" s="94"/>
      <c r="AF859" s="94"/>
      <c r="AG859" s="94"/>
      <c r="AH859" s="94"/>
      <c r="AI859" s="94"/>
      <c r="AJ859" s="94"/>
      <c r="AK859" s="94"/>
    </row>
    <row r="860" spans="1:37">
      <c r="A860" s="94"/>
      <c r="B860" s="94"/>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c r="AE860" s="94"/>
      <c r="AF860" s="94"/>
      <c r="AG860" s="94"/>
      <c r="AH860" s="94"/>
      <c r="AI860" s="94"/>
      <c r="AJ860" s="94"/>
      <c r="AK860" s="94"/>
    </row>
    <row r="861" spans="1:37">
      <c r="A861" s="94"/>
      <c r="B861" s="94"/>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c r="AE861" s="94"/>
      <c r="AF861" s="94"/>
      <c r="AG861" s="94"/>
      <c r="AH861" s="94"/>
      <c r="AI861" s="94"/>
      <c r="AJ861" s="94"/>
      <c r="AK861" s="94"/>
    </row>
    <row r="862" spans="1:37">
      <c r="A862" s="94"/>
      <c r="B862" s="94"/>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c r="AE862" s="94"/>
      <c r="AF862" s="94"/>
      <c r="AG862" s="94"/>
      <c r="AH862" s="94"/>
      <c r="AI862" s="94"/>
      <c r="AJ862" s="94"/>
      <c r="AK862" s="94"/>
    </row>
    <row r="863" spans="1:37">
      <c r="A863" s="94"/>
      <c r="B863" s="94"/>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c r="AE863" s="94"/>
      <c r="AF863" s="94"/>
      <c r="AG863" s="94"/>
      <c r="AH863" s="94"/>
      <c r="AI863" s="94"/>
      <c r="AJ863" s="94"/>
      <c r="AK863" s="94"/>
    </row>
    <row r="864" spans="1:37">
      <c r="A864" s="94"/>
      <c r="B864" s="94"/>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c r="AE864" s="94"/>
      <c r="AF864" s="94"/>
      <c r="AG864" s="94"/>
      <c r="AH864" s="94"/>
      <c r="AI864" s="94"/>
      <c r="AJ864" s="94"/>
      <c r="AK864" s="94"/>
    </row>
    <row r="865" spans="1:37">
      <c r="A865" s="94"/>
      <c r="B865" s="94"/>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c r="AE865" s="94"/>
      <c r="AF865" s="94"/>
      <c r="AG865" s="94"/>
      <c r="AH865" s="94"/>
      <c r="AI865" s="94"/>
      <c r="AJ865" s="94"/>
      <c r="AK865" s="94"/>
    </row>
    <row r="866" spans="1:37">
      <c r="A866" s="94"/>
      <c r="B866" s="94"/>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c r="AE866" s="94"/>
      <c r="AF866" s="94"/>
      <c r="AG866" s="94"/>
      <c r="AH866" s="94"/>
      <c r="AI866" s="94"/>
      <c r="AJ866" s="94"/>
      <c r="AK866" s="94"/>
    </row>
    <row r="867" spans="1:37">
      <c r="A867" s="94"/>
      <c r="B867" s="94"/>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c r="AE867" s="94"/>
      <c r="AF867" s="94"/>
      <c r="AG867" s="94"/>
      <c r="AH867" s="94"/>
      <c r="AI867" s="94"/>
      <c r="AJ867" s="94"/>
      <c r="AK867" s="94"/>
    </row>
    <row r="868" spans="1:37">
      <c r="A868" s="94"/>
      <c r="B868" s="94"/>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c r="AE868" s="94"/>
      <c r="AF868" s="94"/>
      <c r="AG868" s="94"/>
      <c r="AH868" s="94"/>
      <c r="AI868" s="94"/>
      <c r="AJ868" s="94"/>
      <c r="AK868" s="94"/>
    </row>
    <row r="869" spans="1:37">
      <c r="A869" s="94"/>
      <c r="B869" s="94"/>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c r="AE869" s="94"/>
      <c r="AF869" s="94"/>
      <c r="AG869" s="94"/>
      <c r="AH869" s="94"/>
      <c r="AI869" s="94"/>
      <c r="AJ869" s="94"/>
      <c r="AK869" s="94"/>
    </row>
    <row r="870" spans="1:37">
      <c r="A870" s="94"/>
      <c r="B870" s="94"/>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c r="AE870" s="94"/>
      <c r="AF870" s="94"/>
      <c r="AG870" s="94"/>
      <c r="AH870" s="94"/>
      <c r="AI870" s="94"/>
      <c r="AJ870" s="94"/>
      <c r="AK870" s="94"/>
    </row>
    <row r="871" spans="1:37">
      <c r="A871" s="94"/>
      <c r="B871" s="94"/>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c r="AE871" s="94"/>
      <c r="AF871" s="94"/>
      <c r="AG871" s="94"/>
      <c r="AH871" s="94"/>
      <c r="AI871" s="94"/>
      <c r="AJ871" s="94"/>
      <c r="AK871" s="94"/>
    </row>
    <row r="872" spans="1:37">
      <c r="A872" s="94"/>
      <c r="B872" s="94"/>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c r="AE872" s="94"/>
      <c r="AF872" s="94"/>
      <c r="AG872" s="94"/>
      <c r="AH872" s="94"/>
      <c r="AI872" s="94"/>
      <c r="AJ872" s="94"/>
      <c r="AK872" s="94"/>
    </row>
    <row r="873" spans="1:37">
      <c r="A873" s="94"/>
      <c r="B873" s="94"/>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c r="AE873" s="94"/>
      <c r="AF873" s="94"/>
      <c r="AG873" s="94"/>
      <c r="AH873" s="94"/>
      <c r="AI873" s="94"/>
      <c r="AJ873" s="94"/>
      <c r="AK873" s="94"/>
    </row>
    <row r="874" spans="1:37">
      <c r="A874" s="94"/>
      <c r="B874" s="94"/>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c r="AE874" s="94"/>
      <c r="AF874" s="94"/>
      <c r="AG874" s="94"/>
      <c r="AH874" s="94"/>
      <c r="AI874" s="94"/>
      <c r="AJ874" s="94"/>
      <c r="AK874" s="94"/>
    </row>
    <row r="875" spans="1:37">
      <c r="A875" s="94"/>
      <c r="B875" s="94"/>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c r="AE875" s="94"/>
      <c r="AF875" s="94"/>
      <c r="AG875" s="94"/>
      <c r="AH875" s="94"/>
      <c r="AI875" s="94"/>
      <c r="AJ875" s="94"/>
      <c r="AK875" s="94"/>
    </row>
    <row r="876" spans="1:37">
      <c r="A876" s="94"/>
      <c r="B876" s="94"/>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c r="AE876" s="94"/>
      <c r="AF876" s="94"/>
      <c r="AG876" s="94"/>
      <c r="AH876" s="94"/>
      <c r="AI876" s="94"/>
      <c r="AJ876" s="94"/>
      <c r="AK876" s="94"/>
    </row>
    <row r="877" spans="1:37">
      <c r="A877" s="94"/>
      <c r="B877" s="94"/>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c r="AE877" s="94"/>
      <c r="AF877" s="94"/>
      <c r="AG877" s="94"/>
      <c r="AH877" s="94"/>
      <c r="AI877" s="94"/>
      <c r="AJ877" s="94"/>
      <c r="AK877" s="94"/>
    </row>
    <row r="878" spans="1:37">
      <c r="A878" s="94"/>
      <c r="B878" s="94"/>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c r="AE878" s="94"/>
      <c r="AF878" s="94"/>
      <c r="AG878" s="94"/>
      <c r="AH878" s="94"/>
      <c r="AI878" s="94"/>
      <c r="AJ878" s="94"/>
      <c r="AK878" s="94"/>
    </row>
    <row r="879" spans="1:37">
      <c r="A879" s="94"/>
      <c r="B879" s="94"/>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c r="AE879" s="94"/>
      <c r="AF879" s="94"/>
      <c r="AG879" s="94"/>
      <c r="AH879" s="94"/>
      <c r="AI879" s="94"/>
      <c r="AJ879" s="94"/>
      <c r="AK879" s="94"/>
    </row>
    <row r="880" spans="1:37">
      <c r="A880" s="94"/>
      <c r="B880" s="94"/>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c r="AE880" s="94"/>
      <c r="AF880" s="94"/>
      <c r="AG880" s="94"/>
      <c r="AH880" s="94"/>
      <c r="AI880" s="94"/>
      <c r="AJ880" s="94"/>
      <c r="AK880" s="94"/>
    </row>
    <row r="881" spans="1:37">
      <c r="A881" s="94"/>
      <c r="B881" s="94"/>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c r="AE881" s="94"/>
      <c r="AF881" s="94"/>
      <c r="AG881" s="94"/>
      <c r="AH881" s="94"/>
      <c r="AI881" s="94"/>
      <c r="AJ881" s="94"/>
      <c r="AK881" s="94"/>
    </row>
    <row r="882" spans="1:37">
      <c r="A882" s="94"/>
      <c r="B882" s="94"/>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c r="AE882" s="94"/>
      <c r="AF882" s="94"/>
      <c r="AG882" s="94"/>
      <c r="AH882" s="94"/>
      <c r="AI882" s="94"/>
      <c r="AJ882" s="94"/>
      <c r="AK882" s="94"/>
    </row>
    <row r="883" spans="1:37">
      <c r="A883" s="94"/>
      <c r="B883" s="94"/>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c r="AE883" s="94"/>
      <c r="AF883" s="94"/>
      <c r="AG883" s="94"/>
      <c r="AH883" s="94"/>
      <c r="AI883" s="94"/>
      <c r="AJ883" s="94"/>
      <c r="AK883" s="94"/>
    </row>
    <row r="884" spans="1:37">
      <c r="A884" s="94"/>
      <c r="B884" s="94"/>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c r="AE884" s="94"/>
      <c r="AF884" s="94"/>
      <c r="AG884" s="94"/>
      <c r="AH884" s="94"/>
      <c r="AI884" s="94"/>
      <c r="AJ884" s="94"/>
      <c r="AK884" s="94"/>
    </row>
    <row r="885" spans="1:37">
      <c r="A885" s="94"/>
      <c r="B885" s="94"/>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c r="AE885" s="94"/>
      <c r="AF885" s="94"/>
      <c r="AG885" s="94"/>
      <c r="AH885" s="94"/>
      <c r="AI885" s="94"/>
      <c r="AJ885" s="94"/>
      <c r="AK885" s="94"/>
    </row>
    <row r="886" spans="1:37">
      <c r="A886" s="94"/>
      <c r="B886" s="94"/>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c r="AE886" s="94"/>
      <c r="AF886" s="94"/>
      <c r="AG886" s="94"/>
      <c r="AH886" s="94"/>
      <c r="AI886" s="94"/>
      <c r="AJ886" s="94"/>
      <c r="AK886" s="94"/>
    </row>
    <row r="887" spans="1:37">
      <c r="A887" s="94"/>
      <c r="B887" s="94"/>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c r="AE887" s="94"/>
      <c r="AF887" s="94"/>
      <c r="AG887" s="94"/>
      <c r="AH887" s="94"/>
      <c r="AI887" s="94"/>
      <c r="AJ887" s="94"/>
      <c r="AK887" s="94"/>
    </row>
    <row r="888" spans="1:37">
      <c r="A888" s="94"/>
      <c r="B888" s="94"/>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c r="AE888" s="94"/>
      <c r="AF888" s="94"/>
      <c r="AG888" s="94"/>
      <c r="AH888" s="94"/>
      <c r="AI888" s="94"/>
      <c r="AJ888" s="94"/>
      <c r="AK888" s="94"/>
    </row>
    <row r="889" spans="1:37">
      <c r="A889" s="94"/>
      <c r="B889" s="94"/>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c r="AE889" s="94"/>
      <c r="AF889" s="94"/>
      <c r="AG889" s="94"/>
      <c r="AH889" s="94"/>
      <c r="AI889" s="94"/>
      <c r="AJ889" s="94"/>
      <c r="AK889" s="94"/>
    </row>
    <row r="890" spans="1:37">
      <c r="A890" s="94"/>
      <c r="B890" s="94"/>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c r="AE890" s="94"/>
      <c r="AF890" s="94"/>
      <c r="AG890" s="94"/>
      <c r="AH890" s="94"/>
      <c r="AI890" s="94"/>
      <c r="AJ890" s="94"/>
      <c r="AK890" s="94"/>
    </row>
    <row r="891" spans="1:37">
      <c r="A891" s="94"/>
      <c r="B891" s="94"/>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c r="AE891" s="94"/>
      <c r="AF891" s="94"/>
      <c r="AG891" s="94"/>
      <c r="AH891" s="94"/>
      <c r="AI891" s="94"/>
      <c r="AJ891" s="94"/>
      <c r="AK891" s="94"/>
    </row>
    <row r="892" spans="1:37">
      <c r="A892" s="94"/>
      <c r="B892" s="94"/>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c r="AE892" s="94"/>
      <c r="AF892" s="94"/>
      <c r="AG892" s="94"/>
      <c r="AH892" s="94"/>
      <c r="AI892" s="94"/>
      <c r="AJ892" s="94"/>
      <c r="AK892" s="94"/>
    </row>
    <row r="893" spans="1:37">
      <c r="A893" s="94"/>
      <c r="B893" s="94"/>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c r="AE893" s="94"/>
      <c r="AF893" s="94"/>
      <c r="AG893" s="94"/>
      <c r="AH893" s="94"/>
      <c r="AI893" s="94"/>
      <c r="AJ893" s="94"/>
      <c r="AK893" s="94"/>
    </row>
    <row r="894" spans="1:37">
      <c r="A894" s="94"/>
      <c r="B894" s="94"/>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c r="AE894" s="94"/>
      <c r="AF894" s="94"/>
      <c r="AG894" s="94"/>
      <c r="AH894" s="94"/>
      <c r="AI894" s="94"/>
      <c r="AJ894" s="94"/>
      <c r="AK894" s="94"/>
    </row>
    <row r="895" spans="1:37">
      <c r="A895" s="94"/>
      <c r="B895" s="94"/>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c r="AE895" s="94"/>
      <c r="AF895" s="94"/>
      <c r="AG895" s="94"/>
      <c r="AH895" s="94"/>
      <c r="AI895" s="94"/>
      <c r="AJ895" s="94"/>
      <c r="AK895" s="94"/>
    </row>
    <row r="896" spans="1:37">
      <c r="A896" s="94"/>
      <c r="B896" s="94"/>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c r="AE896" s="94"/>
      <c r="AF896" s="94"/>
      <c r="AG896" s="94"/>
      <c r="AH896" s="94"/>
      <c r="AI896" s="94"/>
      <c r="AJ896" s="94"/>
      <c r="AK896" s="94"/>
    </row>
    <row r="897" spans="1:37">
      <c r="A897" s="94"/>
      <c r="B897" s="94"/>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c r="AE897" s="94"/>
      <c r="AF897" s="94"/>
      <c r="AG897" s="94"/>
      <c r="AH897" s="94"/>
      <c r="AI897" s="94"/>
      <c r="AJ897" s="94"/>
      <c r="AK897" s="94"/>
    </row>
    <row r="898" spans="1:37">
      <c r="A898" s="94"/>
      <c r="B898" s="94"/>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c r="AE898" s="94"/>
      <c r="AF898" s="94"/>
      <c r="AG898" s="94"/>
      <c r="AH898" s="94"/>
      <c r="AI898" s="94"/>
      <c r="AJ898" s="94"/>
      <c r="AK898" s="94"/>
    </row>
    <row r="899" spans="1:37">
      <c r="A899" s="94"/>
      <c r="B899" s="94"/>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c r="AE899" s="94"/>
      <c r="AF899" s="94"/>
      <c r="AG899" s="94"/>
      <c r="AH899" s="94"/>
      <c r="AI899" s="94"/>
      <c r="AJ899" s="94"/>
      <c r="AK899" s="94"/>
    </row>
    <row r="900" spans="1:37">
      <c r="A900" s="94"/>
      <c r="B900" s="94"/>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c r="AE900" s="94"/>
      <c r="AF900" s="94"/>
      <c r="AG900" s="94"/>
      <c r="AH900" s="94"/>
      <c r="AI900" s="94"/>
      <c r="AJ900" s="94"/>
      <c r="AK900" s="94"/>
    </row>
    <row r="901" spans="1:37">
      <c r="A901" s="94"/>
      <c r="B901" s="94"/>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c r="AE901" s="94"/>
      <c r="AF901" s="94"/>
      <c r="AG901" s="94"/>
      <c r="AH901" s="94"/>
      <c r="AI901" s="94"/>
      <c r="AJ901" s="94"/>
      <c r="AK901" s="94"/>
    </row>
    <row r="902" spans="1:37">
      <c r="A902" s="94"/>
      <c r="B902" s="94"/>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c r="AE902" s="94"/>
      <c r="AF902" s="94"/>
      <c r="AG902" s="94"/>
      <c r="AH902" s="94"/>
      <c r="AI902" s="94"/>
      <c r="AJ902" s="94"/>
      <c r="AK902" s="94"/>
    </row>
    <row r="903" spans="1:37">
      <c r="A903" s="94"/>
      <c r="B903" s="94"/>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c r="AE903" s="94"/>
      <c r="AF903" s="94"/>
      <c r="AG903" s="94"/>
      <c r="AH903" s="94"/>
      <c r="AI903" s="94"/>
      <c r="AJ903" s="94"/>
      <c r="AK903" s="94"/>
    </row>
    <row r="904" spans="1:37">
      <c r="A904" s="94"/>
      <c r="B904" s="94"/>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c r="AE904" s="94"/>
      <c r="AF904" s="94"/>
      <c r="AG904" s="94"/>
      <c r="AH904" s="94"/>
      <c r="AI904" s="94"/>
      <c r="AJ904" s="94"/>
      <c r="AK904" s="94"/>
    </row>
    <row r="905" spans="1:37">
      <c r="A905" s="94"/>
      <c r="B905" s="94"/>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c r="AE905" s="94"/>
      <c r="AF905" s="94"/>
      <c r="AG905" s="94"/>
      <c r="AH905" s="94"/>
      <c r="AI905" s="94"/>
      <c r="AJ905" s="94"/>
      <c r="AK905" s="94"/>
    </row>
    <row r="906" spans="1:37">
      <c r="A906" s="94"/>
      <c r="B906" s="94"/>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c r="AE906" s="94"/>
      <c r="AF906" s="94"/>
      <c r="AG906" s="94"/>
      <c r="AH906" s="94"/>
      <c r="AI906" s="94"/>
      <c r="AJ906" s="94"/>
      <c r="AK906" s="94"/>
    </row>
    <row r="907" spans="1:37">
      <c r="A907" s="94"/>
      <c r="B907" s="94"/>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c r="AE907" s="94"/>
      <c r="AF907" s="94"/>
      <c r="AG907" s="94"/>
      <c r="AH907" s="94"/>
      <c r="AI907" s="94"/>
      <c r="AJ907" s="94"/>
      <c r="AK907" s="94"/>
    </row>
    <row r="908" spans="1:37">
      <c r="A908" s="94"/>
      <c r="B908" s="94"/>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c r="AE908" s="94"/>
      <c r="AF908" s="94"/>
      <c r="AG908" s="94"/>
      <c r="AH908" s="94"/>
      <c r="AI908" s="94"/>
      <c r="AJ908" s="94"/>
      <c r="AK908" s="94"/>
    </row>
    <row r="909" spans="1:37">
      <c r="A909" s="94"/>
      <c r="B909" s="94"/>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c r="AE909" s="94"/>
      <c r="AF909" s="94"/>
      <c r="AG909" s="94"/>
      <c r="AH909" s="94"/>
      <c r="AI909" s="94"/>
      <c r="AJ909" s="94"/>
      <c r="AK909" s="94"/>
    </row>
    <row r="910" spans="1:37">
      <c r="A910" s="94"/>
      <c r="B910" s="94"/>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c r="AE910" s="94"/>
      <c r="AF910" s="94"/>
      <c r="AG910" s="94"/>
      <c r="AH910" s="94"/>
      <c r="AI910" s="94"/>
      <c r="AJ910" s="94"/>
      <c r="AK910" s="94"/>
    </row>
    <row r="911" spans="1:37">
      <c r="A911" s="94"/>
      <c r="B911" s="94"/>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c r="AE911" s="94"/>
      <c r="AF911" s="94"/>
      <c r="AG911" s="94"/>
      <c r="AH911" s="94"/>
      <c r="AI911" s="94"/>
      <c r="AJ911" s="94"/>
      <c r="AK911" s="94"/>
    </row>
    <row r="912" spans="1:37">
      <c r="A912" s="94"/>
      <c r="B912" s="94"/>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c r="AE912" s="94"/>
      <c r="AF912" s="94"/>
      <c r="AG912" s="94"/>
      <c r="AH912" s="94"/>
      <c r="AI912" s="94"/>
      <c r="AJ912" s="94"/>
      <c r="AK912" s="94"/>
    </row>
    <row r="913" spans="1:37">
      <c r="A913" s="94"/>
      <c r="B913" s="94"/>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c r="AE913" s="94"/>
      <c r="AF913" s="94"/>
      <c r="AG913" s="94"/>
      <c r="AH913" s="94"/>
      <c r="AI913" s="94"/>
      <c r="AJ913" s="94"/>
      <c r="AK913" s="94"/>
    </row>
    <row r="914" spans="1:37">
      <c r="A914" s="94"/>
      <c r="B914" s="94"/>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c r="AE914" s="94"/>
      <c r="AF914" s="94"/>
      <c r="AG914" s="94"/>
      <c r="AH914" s="94"/>
      <c r="AI914" s="94"/>
      <c r="AJ914" s="94"/>
      <c r="AK914" s="94"/>
    </row>
    <row r="915" spans="1:37">
      <c r="A915" s="94"/>
      <c r="B915" s="94"/>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c r="AE915" s="94"/>
      <c r="AF915" s="94"/>
      <c r="AG915" s="94"/>
      <c r="AH915" s="94"/>
      <c r="AI915" s="94"/>
      <c r="AJ915" s="94"/>
      <c r="AK915" s="94"/>
    </row>
    <row r="916" spans="1:37">
      <c r="A916" s="94"/>
      <c r="B916" s="94"/>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c r="AE916" s="94"/>
      <c r="AF916" s="94"/>
      <c r="AG916" s="94"/>
      <c r="AH916" s="94"/>
      <c r="AI916" s="94"/>
      <c r="AJ916" s="94"/>
      <c r="AK916" s="94"/>
    </row>
    <row r="917" spans="1:37">
      <c r="A917" s="94"/>
      <c r="B917" s="94"/>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c r="AE917" s="94"/>
      <c r="AF917" s="94"/>
      <c r="AG917" s="94"/>
      <c r="AH917" s="94"/>
      <c r="AI917" s="94"/>
      <c r="AJ917" s="94"/>
      <c r="AK917" s="94"/>
    </row>
    <row r="918" spans="1:37">
      <c r="A918" s="94"/>
      <c r="B918" s="94"/>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c r="AE918" s="94"/>
      <c r="AF918" s="94"/>
      <c r="AG918" s="94"/>
      <c r="AH918" s="94"/>
      <c r="AI918" s="94"/>
      <c r="AJ918" s="94"/>
      <c r="AK918" s="94"/>
    </row>
    <row r="919" spans="1:37">
      <c r="A919" s="94"/>
      <c r="B919" s="94"/>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c r="AE919" s="94"/>
      <c r="AF919" s="94"/>
      <c r="AG919" s="94"/>
      <c r="AH919" s="94"/>
      <c r="AI919" s="94"/>
      <c r="AJ919" s="94"/>
      <c r="AK919" s="94"/>
    </row>
    <row r="920" spans="1:37">
      <c r="A920" s="94"/>
      <c r="B920" s="94"/>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c r="AE920" s="94"/>
      <c r="AF920" s="94"/>
      <c r="AG920" s="94"/>
      <c r="AH920" s="94"/>
      <c r="AI920" s="94"/>
      <c r="AJ920" s="94"/>
      <c r="AK920" s="94"/>
    </row>
    <row r="921" spans="1:37">
      <c r="A921" s="94"/>
      <c r="B921" s="94"/>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c r="AE921" s="94"/>
      <c r="AF921" s="94"/>
      <c r="AG921" s="94"/>
      <c r="AH921" s="94"/>
      <c r="AI921" s="94"/>
      <c r="AJ921" s="94"/>
      <c r="AK921" s="94"/>
    </row>
    <row r="922" spans="1:37">
      <c r="A922" s="94"/>
      <c r="B922" s="94"/>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c r="AE922" s="94"/>
      <c r="AF922" s="94"/>
      <c r="AG922" s="94"/>
      <c r="AH922" s="94"/>
      <c r="AI922" s="94"/>
      <c r="AJ922" s="94"/>
      <c r="AK922" s="94"/>
    </row>
    <row r="923" spans="1:37">
      <c r="A923" s="94"/>
      <c r="B923" s="94"/>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c r="AE923" s="94"/>
      <c r="AF923" s="94"/>
      <c r="AG923" s="94"/>
      <c r="AH923" s="94"/>
      <c r="AI923" s="94"/>
      <c r="AJ923" s="94"/>
      <c r="AK923" s="94"/>
    </row>
    <row r="924" spans="1:37">
      <c r="A924" s="94"/>
      <c r="B924" s="94"/>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c r="AE924" s="94"/>
      <c r="AF924" s="94"/>
      <c r="AG924" s="94"/>
      <c r="AH924" s="94"/>
      <c r="AI924" s="94"/>
      <c r="AJ924" s="94"/>
      <c r="AK924" s="94"/>
    </row>
    <row r="925" spans="1:37">
      <c r="A925" s="94"/>
      <c r="B925" s="94"/>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c r="AE925" s="94"/>
      <c r="AF925" s="94"/>
      <c r="AG925" s="94"/>
      <c r="AH925" s="94"/>
      <c r="AI925" s="94"/>
      <c r="AJ925" s="94"/>
      <c r="AK925" s="94"/>
    </row>
    <row r="926" spans="1:37">
      <c r="A926" s="94"/>
      <c r="B926" s="94"/>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c r="AE926" s="94"/>
      <c r="AF926" s="94"/>
      <c r="AG926" s="94"/>
      <c r="AH926" s="94"/>
      <c r="AI926" s="94"/>
      <c r="AJ926" s="94"/>
      <c r="AK926" s="94"/>
    </row>
    <row r="927" spans="1:37">
      <c r="A927" s="94"/>
      <c r="B927" s="94"/>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c r="AE927" s="94"/>
      <c r="AF927" s="94"/>
      <c r="AG927" s="94"/>
      <c r="AH927" s="94"/>
      <c r="AI927" s="94"/>
      <c r="AJ927" s="94"/>
      <c r="AK927" s="94"/>
    </row>
    <row r="928" spans="1:37">
      <c r="A928" s="94"/>
      <c r="B928" s="94"/>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c r="AE928" s="94"/>
      <c r="AF928" s="94"/>
      <c r="AG928" s="94"/>
      <c r="AH928" s="94"/>
      <c r="AI928" s="94"/>
      <c r="AJ928" s="94"/>
      <c r="AK928" s="94"/>
    </row>
    <row r="929" spans="1:37">
      <c r="A929" s="94"/>
      <c r="B929" s="94"/>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c r="AE929" s="94"/>
      <c r="AF929" s="94"/>
      <c r="AG929" s="94"/>
      <c r="AH929" s="94"/>
      <c r="AI929" s="94"/>
      <c r="AJ929" s="94"/>
      <c r="AK929" s="94"/>
    </row>
    <row r="930" spans="1:37">
      <c r="A930" s="94"/>
      <c r="B930" s="94"/>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c r="AE930" s="94"/>
      <c r="AF930" s="94"/>
      <c r="AG930" s="94"/>
      <c r="AH930" s="94"/>
      <c r="AI930" s="94"/>
      <c r="AJ930" s="94"/>
      <c r="AK930" s="94"/>
    </row>
    <row r="931" spans="1:37">
      <c r="A931" s="94"/>
      <c r="B931" s="94"/>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c r="AE931" s="94"/>
      <c r="AF931" s="94"/>
      <c r="AG931" s="94"/>
      <c r="AH931" s="94"/>
      <c r="AI931" s="94"/>
      <c r="AJ931" s="94"/>
      <c r="AK931" s="94"/>
    </row>
    <row r="932" spans="1:37">
      <c r="A932" s="94"/>
      <c r="B932" s="94"/>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c r="AE932" s="94"/>
      <c r="AF932" s="94"/>
      <c r="AG932" s="94"/>
      <c r="AH932" s="94"/>
      <c r="AI932" s="94"/>
      <c r="AJ932" s="94"/>
      <c r="AK932" s="94"/>
    </row>
  </sheetData>
  <autoFilter ref="A1:AK66" xr:uid="{00000000-0001-0000-0100-000000000000}"/>
  <conditionalFormatting sqref="J62:J66">
    <cfRule type="duplicateValues" dxfId="8" priority="101"/>
  </conditionalFormatting>
  <conditionalFormatting sqref="J67:J159 J2:J61">
    <cfRule type="duplicateValues" dxfId="7" priority="102"/>
  </conditionalFormatting>
  <conditionalFormatting sqref="J67:J175 J2:J61">
    <cfRule type="duplicateValues" dxfId="6" priority="104"/>
  </conditionalFormatting>
  <dataValidations count="7">
    <dataValidation type="list" allowBlank="1" showErrorMessage="1" sqref="C47:C51" xr:uid="{00000000-0002-0000-0100-000002000000}">
      <formula1>"AC,AM,AP,AL,BA,CE,DF,ES,GO,MG,MA,MS,MT,PB,PE,PI,PA,PR,RO,RJ,RS,RR,RN,SP,SC,SE,TO,BH"</formula1>
    </dataValidation>
    <dataValidation type="list" allowBlank="1" showErrorMessage="1" sqref="Y3:Y4 Y6:Y7 Y9 Y12:Y13 Y16:Y18 Y20 Y26:Y30 Y36 Y38 Y41:Y43 G2:G723" xr:uid="{00000000-0002-0000-0100-000004000000}">
      <formula1>"Sim,Não"</formula1>
    </dataValidation>
    <dataValidation type="list" allowBlank="1" showErrorMessage="1" sqref="C2:C46 C52:C723" xr:uid="{00000000-0002-0000-0100-000005000000}">
      <formula1>"AC,AM,AP,AL,BA,CE,DF,ES,GO,MG,MA,MS,MT,PB,PE,PI,PA,PR,RO,RJ,RS,RR,RN,SP,SC,SE,TO"</formula1>
    </dataValidation>
    <dataValidation type="list" allowBlank="1" showErrorMessage="1" sqref="H2:H723" xr:uid="{00000000-0002-0000-0100-000000000000}">
      <formula1>"Federal,Estadual,MP,TCE,TCU"</formula1>
    </dataValidation>
    <dataValidation type="list" allowBlank="1" showErrorMessage="1" sqref="I2:I723" xr:uid="{00000000-0002-0000-0100-000001000000}">
      <formula1>"ADI,Agravo de Instrumento,Ação Civil Pública,Ação Popular,Ação Rito Comum,Cautelar Preparatória,Cumprimento de sentença,Mandado de Injunção,Mandado de Segurança,Outro"</formula1>
    </dataValidation>
    <dataValidation type="list" allowBlank="1" showErrorMessage="1" sqref="E2:E723" xr:uid="{00000000-0002-0000-0100-000003000000}">
      <formula1>"Autor,Réu,Amicus Curiae,Terceiro interessado"</formula1>
    </dataValidation>
    <dataValidation type="list" allowBlank="1" showErrorMessage="1" sqref="D2:D723" xr:uid="{00000000-0002-0000-0100-000006000000}">
      <formula1>"Buser,Parceiro de fretamento,Associação,Autor popular"</formula1>
    </dataValidation>
  </dataValidations>
  <pageMargins left="0.511811024" right="0.511811024" top="0.78740157499999996" bottom="0.78740157499999996" header="0" footer="0"/>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992"/>
  <sheetViews>
    <sheetView workbookViewId="0">
      <selection activeCell="C7" sqref="C7"/>
    </sheetView>
  </sheetViews>
  <sheetFormatPr defaultColWidth="12.5703125" defaultRowHeight="15" customHeight="1"/>
  <cols>
    <col min="1" max="1" width="24.28515625" style="156" bestFit="1" customWidth="1"/>
    <col min="2" max="2" width="14.5703125" style="156" customWidth="1"/>
    <col min="3" max="3" width="59.85546875" style="156" customWidth="1"/>
    <col min="4" max="4" width="21.140625" style="156" customWidth="1"/>
    <col min="5" max="5" width="19.28515625" style="156" customWidth="1"/>
    <col min="6" max="16384" width="12.5703125" style="156"/>
  </cols>
  <sheetData>
    <row r="1" spans="1:5" ht="39.75" customHeight="1">
      <c r="A1" s="154" t="s">
        <v>1363</v>
      </c>
      <c r="B1" s="155"/>
      <c r="C1" s="155"/>
      <c r="D1" s="155"/>
      <c r="E1" s="155"/>
    </row>
    <row r="2" spans="1:5" ht="12.75" customHeight="1">
      <c r="A2" s="157" t="s">
        <v>533</v>
      </c>
      <c r="B2" s="157" t="s">
        <v>534</v>
      </c>
      <c r="C2" s="158" t="s">
        <v>535</v>
      </c>
      <c r="D2" s="157" t="s">
        <v>536</v>
      </c>
      <c r="E2" s="157" t="s">
        <v>537</v>
      </c>
    </row>
    <row r="3" spans="1:5" ht="12.75" customHeight="1">
      <c r="A3" s="156" t="s">
        <v>538</v>
      </c>
      <c r="B3" s="156" t="s">
        <v>539</v>
      </c>
      <c r="C3" s="159" t="s">
        <v>540</v>
      </c>
      <c r="D3" s="156" t="s">
        <v>541</v>
      </c>
      <c r="E3" s="156" t="s">
        <v>542</v>
      </c>
    </row>
    <row r="4" spans="1:5" ht="12.75" customHeight="1">
      <c r="A4" s="156" t="s">
        <v>543</v>
      </c>
      <c r="B4" s="156" t="s">
        <v>539</v>
      </c>
      <c r="C4" s="159" t="s">
        <v>540</v>
      </c>
      <c r="D4" s="156" t="s">
        <v>541</v>
      </c>
      <c r="E4" s="156" t="s">
        <v>542</v>
      </c>
    </row>
    <row r="5" spans="1:5" ht="12.75" customHeight="1">
      <c r="A5" s="156" t="s">
        <v>544</v>
      </c>
      <c r="B5" s="156" t="s">
        <v>539</v>
      </c>
      <c r="C5" s="159" t="s">
        <v>540</v>
      </c>
      <c r="D5" s="156" t="s">
        <v>541</v>
      </c>
      <c r="E5" s="156" t="s">
        <v>542</v>
      </c>
    </row>
    <row r="6" spans="1:5" ht="12.75" customHeight="1">
      <c r="A6" s="156" t="s">
        <v>545</v>
      </c>
      <c r="B6" s="156" t="s">
        <v>539</v>
      </c>
      <c r="C6" s="159" t="s">
        <v>540</v>
      </c>
      <c r="D6" s="156" t="s">
        <v>541</v>
      </c>
      <c r="E6" s="156" t="s">
        <v>542</v>
      </c>
    </row>
    <row r="7" spans="1:5" ht="12.75" customHeight="1">
      <c r="A7" s="156" t="s">
        <v>546</v>
      </c>
      <c r="B7" s="156" t="s">
        <v>539</v>
      </c>
      <c r="C7" s="159" t="s">
        <v>540</v>
      </c>
      <c r="D7" s="156" t="s">
        <v>541</v>
      </c>
      <c r="E7" s="156" t="s">
        <v>542</v>
      </c>
    </row>
    <row r="8" spans="1:5" ht="12.75" customHeight="1">
      <c r="A8" s="156" t="s">
        <v>547</v>
      </c>
      <c r="B8" s="156" t="s">
        <v>539</v>
      </c>
      <c r="C8" s="159" t="s">
        <v>540</v>
      </c>
      <c r="D8" s="156" t="s">
        <v>541</v>
      </c>
      <c r="E8" s="156" t="s">
        <v>542</v>
      </c>
    </row>
    <row r="9" spans="1:5" ht="12.75" customHeight="1">
      <c r="A9" s="156" t="s">
        <v>548</v>
      </c>
      <c r="B9" s="156" t="s">
        <v>539</v>
      </c>
      <c r="C9" s="159" t="s">
        <v>540</v>
      </c>
      <c r="D9" s="156" t="s">
        <v>541</v>
      </c>
      <c r="E9" s="156" t="s">
        <v>542</v>
      </c>
    </row>
    <row r="10" spans="1:5" ht="12.75" customHeight="1">
      <c r="A10" s="156" t="s">
        <v>549</v>
      </c>
      <c r="B10" s="156" t="s">
        <v>539</v>
      </c>
      <c r="C10" s="159" t="s">
        <v>540</v>
      </c>
      <c r="D10" s="156" t="s">
        <v>541</v>
      </c>
      <c r="E10" s="156" t="s">
        <v>542</v>
      </c>
    </row>
    <row r="11" spans="1:5" ht="12.75" customHeight="1">
      <c r="A11" s="160"/>
      <c r="C11" s="159"/>
    </row>
    <row r="12" spans="1:5" ht="12.75" customHeight="1">
      <c r="A12" s="160"/>
      <c r="C12" s="159"/>
    </row>
    <row r="13" spans="1:5" ht="12.75" customHeight="1">
      <c r="A13" s="160"/>
      <c r="C13" s="159"/>
    </row>
    <row r="14" spans="1:5" ht="12.75" customHeight="1">
      <c r="A14" s="160"/>
      <c r="C14" s="159"/>
    </row>
    <row r="15" spans="1:5" ht="12.75" customHeight="1">
      <c r="A15" s="160"/>
      <c r="C15" s="159"/>
    </row>
    <row r="16" spans="1:5" ht="12.75" customHeight="1">
      <c r="A16" s="160"/>
      <c r="C16" s="159"/>
    </row>
    <row r="17" spans="1:3" ht="12.75" customHeight="1">
      <c r="A17" s="160"/>
      <c r="C17" s="159"/>
    </row>
    <row r="18" spans="1:3" ht="12.75" customHeight="1">
      <c r="A18" s="160"/>
      <c r="C18" s="159"/>
    </row>
    <row r="19" spans="1:3" ht="12.75" customHeight="1">
      <c r="A19" s="159"/>
      <c r="C19" s="159"/>
    </row>
    <row r="20" spans="1:3" ht="12.75" customHeight="1">
      <c r="A20" s="159"/>
      <c r="C20" s="159"/>
    </row>
    <row r="21" spans="1:3" ht="12.75" customHeight="1">
      <c r="A21" s="159"/>
      <c r="C21" s="159"/>
    </row>
    <row r="22" spans="1:3" ht="12.75" customHeight="1">
      <c r="C22" s="159"/>
    </row>
    <row r="23" spans="1:3" ht="12.75" customHeight="1">
      <c r="C23" s="159"/>
    </row>
    <row r="24" spans="1:3" ht="12.75" customHeight="1">
      <c r="C24" s="159"/>
    </row>
    <row r="25" spans="1:3" ht="12.75" customHeight="1">
      <c r="C25" s="159"/>
    </row>
    <row r="26" spans="1:3" ht="12.75" customHeight="1">
      <c r="C26" s="159"/>
    </row>
    <row r="27" spans="1:3" ht="12.75" customHeight="1">
      <c r="C27" s="159"/>
    </row>
    <row r="28" spans="1:3" ht="12.75" customHeight="1">
      <c r="C28" s="159"/>
    </row>
    <row r="29" spans="1:3" ht="12.75" customHeight="1">
      <c r="C29" s="159"/>
    </row>
    <row r="30" spans="1:3" ht="12.75" customHeight="1">
      <c r="C30" s="159"/>
    </row>
    <row r="31" spans="1:3" ht="12.75" customHeight="1">
      <c r="C31" s="159"/>
    </row>
    <row r="32" spans="1:3" ht="12.75" customHeight="1">
      <c r="C32" s="159"/>
    </row>
    <row r="33" spans="3:3" ht="12.75" customHeight="1">
      <c r="C33" s="159"/>
    </row>
    <row r="34" spans="3:3" ht="12.75" customHeight="1">
      <c r="C34" s="159"/>
    </row>
    <row r="35" spans="3:3" ht="12.75" customHeight="1">
      <c r="C35" s="159"/>
    </row>
    <row r="36" spans="3:3" ht="12.75" customHeight="1">
      <c r="C36" s="159"/>
    </row>
    <row r="37" spans="3:3" ht="12.75" customHeight="1">
      <c r="C37" s="159"/>
    </row>
    <row r="38" spans="3:3" ht="12.75" customHeight="1">
      <c r="C38" s="159"/>
    </row>
    <row r="39" spans="3:3" ht="12.75" customHeight="1">
      <c r="C39" s="159"/>
    </row>
    <row r="40" spans="3:3" ht="12.75" customHeight="1">
      <c r="C40" s="159"/>
    </row>
    <row r="41" spans="3:3" ht="12.75" customHeight="1">
      <c r="C41" s="159"/>
    </row>
    <row r="42" spans="3:3" ht="12.75" customHeight="1">
      <c r="C42" s="159"/>
    </row>
    <row r="43" spans="3:3" ht="12.75" customHeight="1">
      <c r="C43" s="159"/>
    </row>
    <row r="44" spans="3:3" ht="12.75" customHeight="1">
      <c r="C44" s="159"/>
    </row>
    <row r="45" spans="3:3" ht="12.75" customHeight="1">
      <c r="C45" s="159"/>
    </row>
    <row r="46" spans="3:3" ht="12.75" customHeight="1">
      <c r="C46" s="159"/>
    </row>
    <row r="47" spans="3:3" ht="12.75" customHeight="1">
      <c r="C47" s="159"/>
    </row>
    <row r="48" spans="3:3" ht="12.75" customHeight="1">
      <c r="C48" s="159"/>
    </row>
    <row r="49" spans="3:3" ht="12.75" customHeight="1">
      <c r="C49" s="159"/>
    </row>
    <row r="50" spans="3:3" ht="12.75" customHeight="1">
      <c r="C50" s="159"/>
    </row>
    <row r="51" spans="3:3" ht="12.75" customHeight="1">
      <c r="C51" s="159"/>
    </row>
    <row r="52" spans="3:3" ht="12.75" customHeight="1">
      <c r="C52" s="159"/>
    </row>
    <row r="53" spans="3:3" ht="12.75" customHeight="1">
      <c r="C53" s="159"/>
    </row>
    <row r="54" spans="3:3" ht="12.75" customHeight="1">
      <c r="C54" s="159"/>
    </row>
    <row r="55" spans="3:3" ht="12.75" customHeight="1">
      <c r="C55" s="159"/>
    </row>
    <row r="56" spans="3:3" ht="12.75" customHeight="1">
      <c r="C56" s="159"/>
    </row>
    <row r="57" spans="3:3" ht="12.75" customHeight="1">
      <c r="C57" s="159"/>
    </row>
    <row r="58" spans="3:3" ht="12.75" customHeight="1">
      <c r="C58" s="159"/>
    </row>
    <row r="59" spans="3:3" ht="12.75" customHeight="1">
      <c r="C59" s="159"/>
    </row>
    <row r="60" spans="3:3" ht="12.75" customHeight="1">
      <c r="C60" s="159"/>
    </row>
    <row r="61" spans="3:3" ht="12.75" customHeight="1">
      <c r="C61" s="159"/>
    </row>
    <row r="62" spans="3:3" ht="12.75" customHeight="1">
      <c r="C62" s="159"/>
    </row>
    <row r="63" spans="3:3" ht="12.75" customHeight="1">
      <c r="C63" s="159"/>
    </row>
    <row r="64" spans="3:3" ht="12.75" customHeight="1">
      <c r="C64" s="159"/>
    </row>
    <row r="65" spans="3:3" ht="12.75" customHeight="1">
      <c r="C65" s="159"/>
    </row>
    <row r="66" spans="3:3" ht="12.75" customHeight="1">
      <c r="C66" s="159"/>
    </row>
    <row r="67" spans="3:3" ht="12.75" customHeight="1">
      <c r="C67" s="159"/>
    </row>
    <row r="68" spans="3:3" ht="12.75" customHeight="1">
      <c r="C68" s="159"/>
    </row>
    <row r="69" spans="3:3" ht="12.75" customHeight="1">
      <c r="C69" s="159"/>
    </row>
    <row r="70" spans="3:3" ht="12.75" customHeight="1">
      <c r="C70" s="159"/>
    </row>
    <row r="71" spans="3:3" ht="12.75" customHeight="1">
      <c r="C71" s="159"/>
    </row>
    <row r="72" spans="3:3" ht="12.75" customHeight="1">
      <c r="C72" s="159"/>
    </row>
    <row r="73" spans="3:3" ht="12.75" customHeight="1">
      <c r="C73" s="159"/>
    </row>
    <row r="74" spans="3:3" ht="12.75" customHeight="1">
      <c r="C74" s="159"/>
    </row>
    <row r="75" spans="3:3" ht="12.75" customHeight="1">
      <c r="C75" s="159"/>
    </row>
    <row r="76" spans="3:3" ht="12.75" customHeight="1">
      <c r="C76" s="159"/>
    </row>
    <row r="77" spans="3:3" ht="12.75" customHeight="1">
      <c r="C77" s="159"/>
    </row>
    <row r="78" spans="3:3" ht="12.75" customHeight="1">
      <c r="C78" s="159"/>
    </row>
    <row r="79" spans="3:3" ht="12.75" customHeight="1">
      <c r="C79" s="159"/>
    </row>
    <row r="80" spans="3:3" ht="12.75" customHeight="1">
      <c r="C80" s="159"/>
    </row>
    <row r="81" spans="3:3" ht="12.75" customHeight="1">
      <c r="C81" s="159"/>
    </row>
    <row r="82" spans="3:3" ht="12.75" customHeight="1">
      <c r="C82" s="159"/>
    </row>
    <row r="83" spans="3:3" ht="12.75" customHeight="1">
      <c r="C83" s="159"/>
    </row>
    <row r="84" spans="3:3" ht="12.75" customHeight="1">
      <c r="C84" s="159"/>
    </row>
    <row r="85" spans="3:3" ht="12.75" customHeight="1">
      <c r="C85" s="159"/>
    </row>
    <row r="86" spans="3:3" ht="12.75" customHeight="1">
      <c r="C86" s="159"/>
    </row>
    <row r="87" spans="3:3" ht="12.75" customHeight="1">
      <c r="C87" s="159"/>
    </row>
    <row r="88" spans="3:3" ht="12.75" customHeight="1">
      <c r="C88" s="159"/>
    </row>
    <row r="89" spans="3:3" ht="12.75" customHeight="1">
      <c r="C89" s="159"/>
    </row>
    <row r="90" spans="3:3" ht="12.75" customHeight="1">
      <c r="C90" s="159"/>
    </row>
    <row r="91" spans="3:3" ht="12.75" customHeight="1">
      <c r="C91" s="159"/>
    </row>
    <row r="92" spans="3:3" ht="12.75" customHeight="1">
      <c r="C92" s="159"/>
    </row>
    <row r="93" spans="3:3" ht="12.75" customHeight="1">
      <c r="C93" s="159"/>
    </row>
    <row r="94" spans="3:3" ht="12.75" customHeight="1">
      <c r="C94" s="159"/>
    </row>
    <row r="95" spans="3:3" ht="12.75" customHeight="1">
      <c r="C95" s="159"/>
    </row>
    <row r="96" spans="3:3" ht="12.75" customHeight="1">
      <c r="C96" s="159"/>
    </row>
    <row r="97" spans="3:3" ht="12.75" customHeight="1">
      <c r="C97" s="159"/>
    </row>
    <row r="98" spans="3:3" ht="12.75" customHeight="1">
      <c r="C98" s="159"/>
    </row>
    <row r="99" spans="3:3" ht="12.75" customHeight="1">
      <c r="C99" s="159"/>
    </row>
    <row r="100" spans="3:3" ht="12.75" customHeight="1">
      <c r="C100" s="159"/>
    </row>
    <row r="101" spans="3:3" ht="12.75" customHeight="1">
      <c r="C101" s="159"/>
    </row>
    <row r="102" spans="3:3" ht="12.75" customHeight="1">
      <c r="C102" s="159"/>
    </row>
    <row r="103" spans="3:3" ht="12.75" customHeight="1">
      <c r="C103" s="159"/>
    </row>
    <row r="104" spans="3:3" ht="12.75" customHeight="1">
      <c r="C104" s="159"/>
    </row>
    <row r="105" spans="3:3" ht="12.75" customHeight="1">
      <c r="C105" s="159"/>
    </row>
    <row r="106" spans="3:3" ht="12.75" customHeight="1">
      <c r="C106" s="159"/>
    </row>
    <row r="107" spans="3:3" ht="12.75" customHeight="1">
      <c r="C107" s="159"/>
    </row>
    <row r="108" spans="3:3" ht="12.75" customHeight="1">
      <c r="C108" s="159"/>
    </row>
    <row r="109" spans="3:3" ht="12.75" customHeight="1">
      <c r="C109" s="159"/>
    </row>
    <row r="110" spans="3:3" ht="12.75" customHeight="1">
      <c r="C110" s="159"/>
    </row>
    <row r="111" spans="3:3" ht="12.75" customHeight="1">
      <c r="C111" s="159"/>
    </row>
    <row r="112" spans="3:3" ht="12.75" customHeight="1">
      <c r="C112" s="159"/>
    </row>
    <row r="113" spans="3:3" ht="12.75" customHeight="1">
      <c r="C113" s="159"/>
    </row>
    <row r="114" spans="3:3" ht="12.75" customHeight="1">
      <c r="C114" s="159"/>
    </row>
    <row r="115" spans="3:3" ht="12.75" customHeight="1">
      <c r="C115" s="159"/>
    </row>
    <row r="116" spans="3:3" ht="12.75" customHeight="1">
      <c r="C116" s="159"/>
    </row>
    <row r="117" spans="3:3" ht="12.75" customHeight="1">
      <c r="C117" s="159"/>
    </row>
    <row r="118" spans="3:3" ht="12.75" customHeight="1">
      <c r="C118" s="159"/>
    </row>
    <row r="119" spans="3:3" ht="12.75" customHeight="1">
      <c r="C119" s="159"/>
    </row>
    <row r="120" spans="3:3" ht="12.75" customHeight="1">
      <c r="C120" s="159"/>
    </row>
    <row r="121" spans="3:3" ht="12.75" customHeight="1">
      <c r="C121" s="159"/>
    </row>
    <row r="122" spans="3:3" ht="12.75" customHeight="1">
      <c r="C122" s="159"/>
    </row>
    <row r="123" spans="3:3" ht="12.75" customHeight="1">
      <c r="C123" s="159"/>
    </row>
    <row r="124" spans="3:3" ht="12.75" customHeight="1">
      <c r="C124" s="159"/>
    </row>
    <row r="125" spans="3:3" ht="12.75" customHeight="1">
      <c r="C125" s="159"/>
    </row>
    <row r="126" spans="3:3" ht="12.75" customHeight="1">
      <c r="C126" s="159"/>
    </row>
    <row r="127" spans="3:3" ht="12.75" customHeight="1">
      <c r="C127" s="159"/>
    </row>
    <row r="128" spans="3:3" ht="12.75" customHeight="1">
      <c r="C128" s="159"/>
    </row>
    <row r="129" spans="3:3" ht="12.75" customHeight="1">
      <c r="C129" s="159"/>
    </row>
    <row r="130" spans="3:3" ht="12.75" customHeight="1">
      <c r="C130" s="159"/>
    </row>
    <row r="131" spans="3:3" ht="12.75" customHeight="1">
      <c r="C131" s="159"/>
    </row>
    <row r="132" spans="3:3" ht="12.75" customHeight="1">
      <c r="C132" s="159"/>
    </row>
    <row r="133" spans="3:3" ht="12.75" customHeight="1">
      <c r="C133" s="159"/>
    </row>
    <row r="134" spans="3:3" ht="12.75" customHeight="1">
      <c r="C134" s="159"/>
    </row>
    <row r="135" spans="3:3" ht="12.75" customHeight="1">
      <c r="C135" s="159"/>
    </row>
    <row r="136" spans="3:3" ht="12.75" customHeight="1">
      <c r="C136" s="159"/>
    </row>
    <row r="137" spans="3:3" ht="12.75" customHeight="1">
      <c r="C137" s="159"/>
    </row>
    <row r="138" spans="3:3" ht="12.75" customHeight="1">
      <c r="C138" s="159"/>
    </row>
    <row r="139" spans="3:3" ht="12.75" customHeight="1">
      <c r="C139" s="159"/>
    </row>
    <row r="140" spans="3:3" ht="12.75" customHeight="1">
      <c r="C140" s="159"/>
    </row>
    <row r="141" spans="3:3" ht="12.75" customHeight="1">
      <c r="C141" s="159"/>
    </row>
    <row r="142" spans="3:3" ht="12.75" customHeight="1">
      <c r="C142" s="159"/>
    </row>
    <row r="143" spans="3:3" ht="12.75" customHeight="1">
      <c r="C143" s="159"/>
    </row>
    <row r="144" spans="3:3" ht="12.75" customHeight="1">
      <c r="C144" s="159"/>
    </row>
    <row r="145" spans="3:3" ht="12.75" customHeight="1">
      <c r="C145" s="159"/>
    </row>
    <row r="146" spans="3:3" ht="12.75" customHeight="1">
      <c r="C146" s="159"/>
    </row>
    <row r="147" spans="3:3" ht="12.75" customHeight="1">
      <c r="C147" s="159"/>
    </row>
    <row r="148" spans="3:3" ht="12.75" customHeight="1">
      <c r="C148" s="159"/>
    </row>
    <row r="149" spans="3:3" ht="12.75" customHeight="1">
      <c r="C149" s="159"/>
    </row>
    <row r="150" spans="3:3" ht="12.75" customHeight="1">
      <c r="C150" s="159"/>
    </row>
    <row r="151" spans="3:3" ht="12.75" customHeight="1">
      <c r="C151" s="159"/>
    </row>
    <row r="152" spans="3:3" ht="12.75" customHeight="1">
      <c r="C152" s="159"/>
    </row>
    <row r="153" spans="3:3" ht="12.75" customHeight="1">
      <c r="C153" s="159"/>
    </row>
    <row r="154" spans="3:3" ht="12.75" customHeight="1">
      <c r="C154" s="159"/>
    </row>
    <row r="155" spans="3:3" ht="12.75" customHeight="1">
      <c r="C155" s="159"/>
    </row>
    <row r="156" spans="3:3" ht="12.75" customHeight="1">
      <c r="C156" s="159"/>
    </row>
    <row r="157" spans="3:3" ht="12.75" customHeight="1">
      <c r="C157" s="159"/>
    </row>
    <row r="158" spans="3:3" ht="12.75" customHeight="1">
      <c r="C158" s="159"/>
    </row>
    <row r="159" spans="3:3" ht="12.75" customHeight="1">
      <c r="C159" s="159"/>
    </row>
    <row r="160" spans="3:3" ht="12.75" customHeight="1">
      <c r="C160" s="159"/>
    </row>
    <row r="161" spans="3:3" ht="12.75" customHeight="1">
      <c r="C161" s="159"/>
    </row>
    <row r="162" spans="3:3" ht="12.75" customHeight="1">
      <c r="C162" s="159"/>
    </row>
    <row r="163" spans="3:3" ht="12.75" customHeight="1">
      <c r="C163" s="159"/>
    </row>
    <row r="164" spans="3:3" ht="12.75" customHeight="1">
      <c r="C164" s="159"/>
    </row>
    <row r="165" spans="3:3" ht="12.75" customHeight="1">
      <c r="C165" s="159"/>
    </row>
    <row r="166" spans="3:3" ht="12.75" customHeight="1">
      <c r="C166" s="159"/>
    </row>
    <row r="167" spans="3:3" ht="12.75" customHeight="1">
      <c r="C167" s="159"/>
    </row>
    <row r="168" spans="3:3" ht="12.75" customHeight="1">
      <c r="C168" s="159"/>
    </row>
    <row r="169" spans="3:3" ht="12.75" customHeight="1">
      <c r="C169" s="159"/>
    </row>
    <row r="170" spans="3:3" ht="12.75" customHeight="1">
      <c r="C170" s="159"/>
    </row>
    <row r="171" spans="3:3" ht="12.75" customHeight="1">
      <c r="C171" s="159"/>
    </row>
    <row r="172" spans="3:3" ht="12.75" customHeight="1">
      <c r="C172" s="159"/>
    </row>
    <row r="173" spans="3:3" ht="12.75" customHeight="1">
      <c r="C173" s="159"/>
    </row>
    <row r="174" spans="3:3" ht="12.75" customHeight="1">
      <c r="C174" s="159"/>
    </row>
    <row r="175" spans="3:3" ht="12.75" customHeight="1">
      <c r="C175" s="159"/>
    </row>
    <row r="176" spans="3:3" ht="12.75" customHeight="1">
      <c r="C176" s="159"/>
    </row>
    <row r="177" spans="3:3" ht="12.75" customHeight="1">
      <c r="C177" s="159"/>
    </row>
    <row r="178" spans="3:3" ht="12.75" customHeight="1">
      <c r="C178" s="159"/>
    </row>
    <row r="179" spans="3:3" ht="12.75" customHeight="1">
      <c r="C179" s="159"/>
    </row>
    <row r="180" spans="3:3" ht="12.75" customHeight="1">
      <c r="C180" s="159"/>
    </row>
    <row r="181" spans="3:3" ht="12.75" customHeight="1">
      <c r="C181" s="159"/>
    </row>
    <row r="182" spans="3:3" ht="12.75" customHeight="1">
      <c r="C182" s="159"/>
    </row>
    <row r="183" spans="3:3" ht="12.75" customHeight="1">
      <c r="C183" s="159"/>
    </row>
    <row r="184" spans="3:3" ht="12.75" customHeight="1">
      <c r="C184" s="159"/>
    </row>
    <row r="185" spans="3:3" ht="12.75" customHeight="1">
      <c r="C185" s="159"/>
    </row>
    <row r="186" spans="3:3" ht="12.75" customHeight="1">
      <c r="C186" s="159"/>
    </row>
    <row r="187" spans="3:3" ht="12.75" customHeight="1">
      <c r="C187" s="159"/>
    </row>
    <row r="188" spans="3:3" ht="12.75" customHeight="1">
      <c r="C188" s="159"/>
    </row>
    <row r="189" spans="3:3" ht="12.75" customHeight="1">
      <c r="C189" s="159"/>
    </row>
    <row r="190" spans="3:3" ht="12.75" customHeight="1">
      <c r="C190" s="159"/>
    </row>
    <row r="191" spans="3:3" ht="12.75" customHeight="1">
      <c r="C191" s="159"/>
    </row>
    <row r="192" spans="3:3" ht="12.75" customHeight="1">
      <c r="C192" s="159"/>
    </row>
    <row r="193" spans="3:3" ht="12.75" customHeight="1">
      <c r="C193" s="159"/>
    </row>
    <row r="194" spans="3:3" ht="12.75" customHeight="1">
      <c r="C194" s="159"/>
    </row>
    <row r="195" spans="3:3" ht="12.75" customHeight="1">
      <c r="C195" s="159"/>
    </row>
    <row r="196" spans="3:3" ht="12.75" customHeight="1">
      <c r="C196" s="159"/>
    </row>
    <row r="197" spans="3:3" ht="12.75" customHeight="1">
      <c r="C197" s="159"/>
    </row>
    <row r="198" spans="3:3" ht="12.75" customHeight="1">
      <c r="C198" s="159"/>
    </row>
    <row r="199" spans="3:3" ht="12.75" customHeight="1">
      <c r="C199" s="159"/>
    </row>
    <row r="200" spans="3:3" ht="12.75" customHeight="1">
      <c r="C200" s="159"/>
    </row>
    <row r="201" spans="3:3" ht="12.75" customHeight="1">
      <c r="C201" s="159"/>
    </row>
    <row r="202" spans="3:3" ht="12.75" customHeight="1">
      <c r="C202" s="159"/>
    </row>
    <row r="203" spans="3:3" ht="12.75" customHeight="1">
      <c r="C203" s="159"/>
    </row>
    <row r="204" spans="3:3" ht="12.75" customHeight="1">
      <c r="C204" s="159"/>
    </row>
    <row r="205" spans="3:3" ht="12.75" customHeight="1">
      <c r="C205" s="159"/>
    </row>
    <row r="206" spans="3:3" ht="12.75" customHeight="1">
      <c r="C206" s="159"/>
    </row>
    <row r="207" spans="3:3" ht="12.75" customHeight="1">
      <c r="C207" s="159"/>
    </row>
    <row r="208" spans="3:3" ht="12.75" customHeight="1">
      <c r="C208" s="159"/>
    </row>
    <row r="209" spans="3:3" ht="12.75" customHeight="1">
      <c r="C209" s="159"/>
    </row>
    <row r="210" spans="3:3" ht="12.75" customHeight="1">
      <c r="C210" s="159"/>
    </row>
    <row r="211" spans="3:3" ht="12.75" customHeight="1">
      <c r="C211" s="159"/>
    </row>
    <row r="212" spans="3:3" ht="12.75" customHeight="1">
      <c r="C212" s="159"/>
    </row>
    <row r="213" spans="3:3" ht="12.75" customHeight="1">
      <c r="C213" s="159"/>
    </row>
    <row r="214" spans="3:3" ht="12.75" customHeight="1">
      <c r="C214" s="159"/>
    </row>
    <row r="215" spans="3:3" ht="12.75" customHeight="1">
      <c r="C215" s="159"/>
    </row>
    <row r="216" spans="3:3" ht="12.75" customHeight="1">
      <c r="C216" s="159"/>
    </row>
    <row r="217" spans="3:3" ht="12.75" customHeight="1">
      <c r="C217" s="159"/>
    </row>
    <row r="218" spans="3:3" ht="12.75" customHeight="1">
      <c r="C218" s="159"/>
    </row>
    <row r="219" spans="3:3" ht="12.75" customHeight="1">
      <c r="C219" s="159"/>
    </row>
    <row r="220" spans="3:3" ht="12.75" customHeight="1">
      <c r="C220" s="159"/>
    </row>
    <row r="221" spans="3:3" ht="12.75" customHeight="1">
      <c r="C221" s="159"/>
    </row>
    <row r="222" spans="3:3" ht="12.75" customHeight="1">
      <c r="C222" s="159"/>
    </row>
    <row r="223" spans="3:3" ht="12.75" customHeight="1">
      <c r="C223" s="159"/>
    </row>
    <row r="224" spans="3:3" ht="12.75" customHeight="1">
      <c r="C224" s="159"/>
    </row>
    <row r="225" spans="3:3" ht="12.75" customHeight="1">
      <c r="C225" s="159"/>
    </row>
    <row r="226" spans="3:3" ht="12.75" customHeight="1">
      <c r="C226" s="159"/>
    </row>
    <row r="227" spans="3:3" ht="12.75" customHeight="1">
      <c r="C227" s="159"/>
    </row>
    <row r="228" spans="3:3" ht="12.75" customHeight="1">
      <c r="C228" s="159"/>
    </row>
    <row r="229" spans="3:3" ht="12.75" customHeight="1">
      <c r="C229" s="159"/>
    </row>
    <row r="230" spans="3:3" ht="12.75" customHeight="1">
      <c r="C230" s="159"/>
    </row>
    <row r="231" spans="3:3" ht="12.75" customHeight="1">
      <c r="C231" s="159"/>
    </row>
    <row r="232" spans="3:3" ht="12.75" customHeight="1">
      <c r="C232" s="159"/>
    </row>
    <row r="233" spans="3:3" ht="12.75" customHeight="1">
      <c r="C233" s="159"/>
    </row>
    <row r="234" spans="3:3" ht="12.75" customHeight="1">
      <c r="C234" s="159"/>
    </row>
    <row r="235" spans="3:3" ht="12.75" customHeight="1">
      <c r="C235" s="159"/>
    </row>
    <row r="236" spans="3:3" ht="12.75" customHeight="1">
      <c r="C236" s="159"/>
    </row>
    <row r="237" spans="3:3" ht="12.75" customHeight="1">
      <c r="C237" s="159"/>
    </row>
    <row r="238" spans="3:3" ht="12.75" customHeight="1">
      <c r="C238" s="159"/>
    </row>
    <row r="239" spans="3:3" ht="12.75" customHeight="1">
      <c r="C239" s="159"/>
    </row>
    <row r="240" spans="3:3" ht="12.75" customHeight="1">
      <c r="C240" s="159"/>
    </row>
    <row r="241" spans="3:3" ht="12.75" customHeight="1">
      <c r="C241" s="159"/>
    </row>
    <row r="242" spans="3:3" ht="12.75" customHeight="1">
      <c r="C242" s="159"/>
    </row>
    <row r="243" spans="3:3" ht="12.75" customHeight="1">
      <c r="C243" s="159"/>
    </row>
    <row r="244" spans="3:3" ht="12.75" customHeight="1">
      <c r="C244" s="159"/>
    </row>
    <row r="245" spans="3:3" ht="12.75" customHeight="1">
      <c r="C245" s="159"/>
    </row>
    <row r="246" spans="3:3" ht="12.75" customHeight="1">
      <c r="C246" s="159"/>
    </row>
    <row r="247" spans="3:3" ht="12.75" customHeight="1">
      <c r="C247" s="159"/>
    </row>
    <row r="248" spans="3:3" ht="12.75" customHeight="1">
      <c r="C248" s="159"/>
    </row>
    <row r="249" spans="3:3" ht="12.75" customHeight="1">
      <c r="C249" s="159"/>
    </row>
    <row r="250" spans="3:3" ht="12.75" customHeight="1">
      <c r="C250" s="159"/>
    </row>
    <row r="251" spans="3:3" ht="12.75" customHeight="1">
      <c r="C251" s="159"/>
    </row>
    <row r="252" spans="3:3" ht="12.75" customHeight="1">
      <c r="C252" s="159"/>
    </row>
    <row r="253" spans="3:3" ht="12.75" customHeight="1">
      <c r="C253" s="159"/>
    </row>
    <row r="254" spans="3:3" ht="12.75" customHeight="1">
      <c r="C254" s="159"/>
    </row>
    <row r="255" spans="3:3" ht="12.75" customHeight="1">
      <c r="C255" s="159"/>
    </row>
    <row r="256" spans="3:3" ht="12.75" customHeight="1">
      <c r="C256" s="159"/>
    </row>
    <row r="257" spans="3:3" ht="12.75" customHeight="1">
      <c r="C257" s="159"/>
    </row>
    <row r="258" spans="3:3" ht="12.75" customHeight="1">
      <c r="C258" s="159"/>
    </row>
    <row r="259" spans="3:3" ht="12.75" customHeight="1">
      <c r="C259" s="159"/>
    </row>
    <row r="260" spans="3:3" ht="12.75" customHeight="1">
      <c r="C260" s="159"/>
    </row>
    <row r="261" spans="3:3" ht="12.75" customHeight="1">
      <c r="C261" s="159"/>
    </row>
    <row r="262" spans="3:3" ht="12.75" customHeight="1">
      <c r="C262" s="159"/>
    </row>
    <row r="263" spans="3:3" ht="12.75" customHeight="1">
      <c r="C263" s="159"/>
    </row>
    <row r="264" spans="3:3" ht="12.75" customHeight="1">
      <c r="C264" s="159"/>
    </row>
    <row r="265" spans="3:3" ht="12.75" customHeight="1">
      <c r="C265" s="159"/>
    </row>
    <row r="266" spans="3:3" ht="12.75" customHeight="1">
      <c r="C266" s="159"/>
    </row>
    <row r="267" spans="3:3" ht="12.75" customHeight="1">
      <c r="C267" s="159"/>
    </row>
    <row r="268" spans="3:3" ht="12.75" customHeight="1">
      <c r="C268" s="159"/>
    </row>
    <row r="269" spans="3:3" ht="12.75" customHeight="1">
      <c r="C269" s="159"/>
    </row>
    <row r="270" spans="3:3" ht="12.75" customHeight="1">
      <c r="C270" s="159"/>
    </row>
    <row r="271" spans="3:3" ht="12.75" customHeight="1">
      <c r="C271" s="159"/>
    </row>
    <row r="272" spans="3:3" ht="12.75" customHeight="1">
      <c r="C272" s="159"/>
    </row>
    <row r="273" spans="3:3" ht="12.75" customHeight="1">
      <c r="C273" s="159"/>
    </row>
    <row r="274" spans="3:3" ht="12.75" customHeight="1">
      <c r="C274" s="159"/>
    </row>
    <row r="275" spans="3:3" ht="12.75" customHeight="1">
      <c r="C275" s="159"/>
    </row>
    <row r="276" spans="3:3" ht="12.75" customHeight="1">
      <c r="C276" s="159"/>
    </row>
    <row r="277" spans="3:3" ht="12.75" customHeight="1">
      <c r="C277" s="159"/>
    </row>
    <row r="278" spans="3:3" ht="12.75" customHeight="1">
      <c r="C278" s="159"/>
    </row>
    <row r="279" spans="3:3" ht="12.75" customHeight="1">
      <c r="C279" s="159"/>
    </row>
    <row r="280" spans="3:3" ht="12.75" customHeight="1">
      <c r="C280" s="159"/>
    </row>
    <row r="281" spans="3:3" ht="12.75" customHeight="1">
      <c r="C281" s="159"/>
    </row>
    <row r="282" spans="3:3" ht="12.75" customHeight="1">
      <c r="C282" s="159"/>
    </row>
    <row r="283" spans="3:3" ht="12.75" customHeight="1">
      <c r="C283" s="159"/>
    </row>
    <row r="284" spans="3:3" ht="12.75" customHeight="1">
      <c r="C284" s="159"/>
    </row>
    <row r="285" spans="3:3" ht="12.75" customHeight="1">
      <c r="C285" s="159"/>
    </row>
    <row r="286" spans="3:3" ht="12.75" customHeight="1">
      <c r="C286" s="159"/>
    </row>
    <row r="287" spans="3:3" ht="12.75" customHeight="1">
      <c r="C287" s="159"/>
    </row>
    <row r="288" spans="3:3" ht="12.75" customHeight="1">
      <c r="C288" s="159"/>
    </row>
    <row r="289" spans="3:3" ht="12.75" customHeight="1">
      <c r="C289" s="159"/>
    </row>
    <row r="290" spans="3:3" ht="12.75" customHeight="1">
      <c r="C290" s="159"/>
    </row>
    <row r="291" spans="3:3" ht="12.75" customHeight="1">
      <c r="C291" s="159"/>
    </row>
    <row r="292" spans="3:3" ht="12.75" customHeight="1">
      <c r="C292" s="159"/>
    </row>
    <row r="293" spans="3:3" ht="12.75" customHeight="1">
      <c r="C293" s="159"/>
    </row>
    <row r="294" spans="3:3" ht="12.75" customHeight="1">
      <c r="C294" s="159"/>
    </row>
    <row r="295" spans="3:3" ht="12.75" customHeight="1">
      <c r="C295" s="159"/>
    </row>
    <row r="296" spans="3:3" ht="12.75" customHeight="1">
      <c r="C296" s="159"/>
    </row>
    <row r="297" spans="3:3" ht="12.75" customHeight="1">
      <c r="C297" s="159"/>
    </row>
    <row r="298" spans="3:3" ht="12.75" customHeight="1">
      <c r="C298" s="159"/>
    </row>
    <row r="299" spans="3:3" ht="12.75" customHeight="1">
      <c r="C299" s="159"/>
    </row>
    <row r="300" spans="3:3" ht="12.75" customHeight="1">
      <c r="C300" s="159"/>
    </row>
    <row r="301" spans="3:3" ht="12.75" customHeight="1">
      <c r="C301" s="159"/>
    </row>
    <row r="302" spans="3:3" ht="12.75" customHeight="1">
      <c r="C302" s="159"/>
    </row>
    <row r="303" spans="3:3" ht="12.75" customHeight="1">
      <c r="C303" s="159"/>
    </row>
    <row r="304" spans="3:3" ht="12.75" customHeight="1">
      <c r="C304" s="159"/>
    </row>
    <row r="305" spans="3:3" ht="12.75" customHeight="1">
      <c r="C305" s="159"/>
    </row>
    <row r="306" spans="3:3" ht="12.75" customHeight="1">
      <c r="C306" s="159"/>
    </row>
    <row r="307" spans="3:3" ht="12.75" customHeight="1">
      <c r="C307" s="159"/>
    </row>
    <row r="308" spans="3:3" ht="12.75" customHeight="1">
      <c r="C308" s="159"/>
    </row>
    <row r="309" spans="3:3" ht="12.75" customHeight="1">
      <c r="C309" s="159"/>
    </row>
    <row r="310" spans="3:3" ht="12.75" customHeight="1">
      <c r="C310" s="159"/>
    </row>
    <row r="311" spans="3:3" ht="12.75" customHeight="1">
      <c r="C311" s="159"/>
    </row>
    <row r="312" spans="3:3" ht="12.75" customHeight="1">
      <c r="C312" s="159"/>
    </row>
    <row r="313" spans="3:3" ht="12.75" customHeight="1">
      <c r="C313" s="159"/>
    </row>
    <row r="314" spans="3:3" ht="12.75" customHeight="1">
      <c r="C314" s="159"/>
    </row>
    <row r="315" spans="3:3" ht="12.75" customHeight="1">
      <c r="C315" s="159"/>
    </row>
    <row r="316" spans="3:3" ht="12.75" customHeight="1">
      <c r="C316" s="159"/>
    </row>
    <row r="317" spans="3:3" ht="12.75" customHeight="1">
      <c r="C317" s="159"/>
    </row>
    <row r="318" spans="3:3" ht="12.75" customHeight="1">
      <c r="C318" s="159"/>
    </row>
    <row r="319" spans="3:3" ht="12.75" customHeight="1">
      <c r="C319" s="159"/>
    </row>
    <row r="320" spans="3:3" ht="12.75" customHeight="1">
      <c r="C320" s="159"/>
    </row>
    <row r="321" spans="3:3" ht="12.75" customHeight="1">
      <c r="C321" s="159"/>
    </row>
    <row r="322" spans="3:3" ht="12.75" customHeight="1">
      <c r="C322" s="159"/>
    </row>
    <row r="323" spans="3:3" ht="12.75" customHeight="1">
      <c r="C323" s="159"/>
    </row>
    <row r="324" spans="3:3" ht="12.75" customHeight="1">
      <c r="C324" s="159"/>
    </row>
    <row r="325" spans="3:3" ht="12.75" customHeight="1">
      <c r="C325" s="159"/>
    </row>
    <row r="326" spans="3:3" ht="12.75" customHeight="1">
      <c r="C326" s="159"/>
    </row>
    <row r="327" spans="3:3" ht="12.75" customHeight="1">
      <c r="C327" s="159"/>
    </row>
    <row r="328" spans="3:3" ht="12.75" customHeight="1">
      <c r="C328" s="159"/>
    </row>
    <row r="329" spans="3:3" ht="12.75" customHeight="1">
      <c r="C329" s="159"/>
    </row>
    <row r="330" spans="3:3" ht="12.75" customHeight="1">
      <c r="C330" s="159"/>
    </row>
    <row r="331" spans="3:3" ht="12.75" customHeight="1">
      <c r="C331" s="159"/>
    </row>
    <row r="332" spans="3:3" ht="12.75" customHeight="1">
      <c r="C332" s="159"/>
    </row>
    <row r="333" spans="3:3" ht="12.75" customHeight="1">
      <c r="C333" s="159"/>
    </row>
    <row r="334" spans="3:3" ht="12.75" customHeight="1">
      <c r="C334" s="159"/>
    </row>
    <row r="335" spans="3:3" ht="12.75" customHeight="1">
      <c r="C335" s="159"/>
    </row>
    <row r="336" spans="3:3" ht="12.75" customHeight="1">
      <c r="C336" s="159"/>
    </row>
    <row r="337" spans="3:3" ht="12.75" customHeight="1">
      <c r="C337" s="159"/>
    </row>
    <row r="338" spans="3:3" ht="12.75" customHeight="1">
      <c r="C338" s="159"/>
    </row>
    <row r="339" spans="3:3" ht="12.75" customHeight="1">
      <c r="C339" s="159"/>
    </row>
    <row r="340" spans="3:3" ht="12.75" customHeight="1">
      <c r="C340" s="159"/>
    </row>
    <row r="341" spans="3:3" ht="12.75" customHeight="1">
      <c r="C341" s="159"/>
    </row>
    <row r="342" spans="3:3" ht="12.75" customHeight="1">
      <c r="C342" s="159"/>
    </row>
    <row r="343" spans="3:3" ht="12.75" customHeight="1">
      <c r="C343" s="159"/>
    </row>
    <row r="344" spans="3:3" ht="12.75" customHeight="1">
      <c r="C344" s="159"/>
    </row>
    <row r="345" spans="3:3" ht="12.75" customHeight="1">
      <c r="C345" s="159"/>
    </row>
    <row r="346" spans="3:3" ht="12.75" customHeight="1">
      <c r="C346" s="159"/>
    </row>
    <row r="347" spans="3:3" ht="12.75" customHeight="1">
      <c r="C347" s="159"/>
    </row>
    <row r="348" spans="3:3" ht="12.75" customHeight="1">
      <c r="C348" s="159"/>
    </row>
    <row r="349" spans="3:3" ht="12.75" customHeight="1">
      <c r="C349" s="159"/>
    </row>
    <row r="350" spans="3:3" ht="12.75" customHeight="1">
      <c r="C350" s="159"/>
    </row>
    <row r="351" spans="3:3" ht="12.75" customHeight="1">
      <c r="C351" s="159"/>
    </row>
    <row r="352" spans="3:3" ht="12.75" customHeight="1">
      <c r="C352" s="159"/>
    </row>
    <row r="353" spans="3:3" ht="12.75" customHeight="1">
      <c r="C353" s="159"/>
    </row>
    <row r="354" spans="3:3" ht="12.75" customHeight="1">
      <c r="C354" s="159"/>
    </row>
    <row r="355" spans="3:3" ht="12.75" customHeight="1">
      <c r="C355" s="159"/>
    </row>
    <row r="356" spans="3:3" ht="12.75" customHeight="1">
      <c r="C356" s="159"/>
    </row>
    <row r="357" spans="3:3" ht="12.75" customHeight="1">
      <c r="C357" s="159"/>
    </row>
    <row r="358" spans="3:3" ht="12.75" customHeight="1">
      <c r="C358" s="159"/>
    </row>
    <row r="359" spans="3:3" ht="12.75" customHeight="1">
      <c r="C359" s="159"/>
    </row>
    <row r="360" spans="3:3" ht="12.75" customHeight="1">
      <c r="C360" s="159"/>
    </row>
    <row r="361" spans="3:3" ht="12.75" customHeight="1">
      <c r="C361" s="159"/>
    </row>
    <row r="362" spans="3:3" ht="12.75" customHeight="1">
      <c r="C362" s="159"/>
    </row>
    <row r="363" spans="3:3" ht="12.75" customHeight="1">
      <c r="C363" s="159"/>
    </row>
    <row r="364" spans="3:3" ht="12.75" customHeight="1">
      <c r="C364" s="159"/>
    </row>
    <row r="365" spans="3:3" ht="12.75" customHeight="1">
      <c r="C365" s="159"/>
    </row>
    <row r="366" spans="3:3" ht="12.75" customHeight="1">
      <c r="C366" s="159"/>
    </row>
    <row r="367" spans="3:3" ht="12.75" customHeight="1">
      <c r="C367" s="159"/>
    </row>
    <row r="368" spans="3:3" ht="12.75" customHeight="1">
      <c r="C368" s="159"/>
    </row>
    <row r="369" spans="3:3" ht="12.75" customHeight="1">
      <c r="C369" s="159"/>
    </row>
    <row r="370" spans="3:3" ht="12.75" customHeight="1">
      <c r="C370" s="159"/>
    </row>
    <row r="371" spans="3:3" ht="12.75" customHeight="1">
      <c r="C371" s="159"/>
    </row>
    <row r="372" spans="3:3" ht="12.75" customHeight="1">
      <c r="C372" s="159"/>
    </row>
    <row r="373" spans="3:3" ht="12.75" customHeight="1">
      <c r="C373" s="159"/>
    </row>
    <row r="374" spans="3:3" ht="12.75" customHeight="1">
      <c r="C374" s="159"/>
    </row>
    <row r="375" spans="3:3" ht="12.75" customHeight="1">
      <c r="C375" s="159"/>
    </row>
    <row r="376" spans="3:3" ht="12.75" customHeight="1">
      <c r="C376" s="159"/>
    </row>
    <row r="377" spans="3:3" ht="12.75" customHeight="1">
      <c r="C377" s="159"/>
    </row>
    <row r="378" spans="3:3" ht="12.75" customHeight="1">
      <c r="C378" s="159"/>
    </row>
    <row r="379" spans="3:3" ht="12.75" customHeight="1">
      <c r="C379" s="159"/>
    </row>
    <row r="380" spans="3:3" ht="12.75" customHeight="1">
      <c r="C380" s="159"/>
    </row>
    <row r="381" spans="3:3" ht="12.75" customHeight="1">
      <c r="C381" s="159"/>
    </row>
    <row r="382" spans="3:3" ht="12.75" customHeight="1">
      <c r="C382" s="159"/>
    </row>
    <row r="383" spans="3:3" ht="12.75" customHeight="1">
      <c r="C383" s="159"/>
    </row>
    <row r="384" spans="3:3" ht="12.75" customHeight="1">
      <c r="C384" s="159"/>
    </row>
    <row r="385" spans="3:3" ht="12.75" customHeight="1">
      <c r="C385" s="159"/>
    </row>
    <row r="386" spans="3:3" ht="12.75" customHeight="1">
      <c r="C386" s="159"/>
    </row>
    <row r="387" spans="3:3" ht="12.75" customHeight="1">
      <c r="C387" s="159"/>
    </row>
    <row r="388" spans="3:3" ht="12.75" customHeight="1">
      <c r="C388" s="159"/>
    </row>
    <row r="389" spans="3:3" ht="12.75" customHeight="1">
      <c r="C389" s="159"/>
    </row>
    <row r="390" spans="3:3" ht="12.75" customHeight="1">
      <c r="C390" s="159"/>
    </row>
    <row r="391" spans="3:3" ht="12.75" customHeight="1">
      <c r="C391" s="159"/>
    </row>
    <row r="392" spans="3:3" ht="12.75" customHeight="1">
      <c r="C392" s="159"/>
    </row>
    <row r="393" spans="3:3" ht="12.75" customHeight="1">
      <c r="C393" s="159"/>
    </row>
    <row r="394" spans="3:3" ht="12.75" customHeight="1">
      <c r="C394" s="159"/>
    </row>
    <row r="395" spans="3:3" ht="12.75" customHeight="1">
      <c r="C395" s="159"/>
    </row>
    <row r="396" spans="3:3" ht="12.75" customHeight="1">
      <c r="C396" s="159"/>
    </row>
    <row r="397" spans="3:3" ht="12.75" customHeight="1">
      <c r="C397" s="159"/>
    </row>
    <row r="398" spans="3:3" ht="12.75" customHeight="1">
      <c r="C398" s="159"/>
    </row>
    <row r="399" spans="3:3" ht="12.75" customHeight="1">
      <c r="C399" s="159"/>
    </row>
    <row r="400" spans="3:3" ht="12.75" customHeight="1">
      <c r="C400" s="159"/>
    </row>
    <row r="401" spans="3:3" ht="12.75" customHeight="1">
      <c r="C401" s="159"/>
    </row>
    <row r="402" spans="3:3" ht="12.75" customHeight="1">
      <c r="C402" s="159"/>
    </row>
    <row r="403" spans="3:3" ht="12.75" customHeight="1">
      <c r="C403" s="159"/>
    </row>
    <row r="404" spans="3:3" ht="12.75" customHeight="1">
      <c r="C404" s="159"/>
    </row>
    <row r="405" spans="3:3" ht="12.75" customHeight="1">
      <c r="C405" s="159"/>
    </row>
    <row r="406" spans="3:3" ht="12.75" customHeight="1">
      <c r="C406" s="159"/>
    </row>
    <row r="407" spans="3:3" ht="12.75" customHeight="1">
      <c r="C407" s="159"/>
    </row>
    <row r="408" spans="3:3" ht="12.75" customHeight="1">
      <c r="C408" s="159"/>
    </row>
    <row r="409" spans="3:3" ht="12.75" customHeight="1">
      <c r="C409" s="159"/>
    </row>
    <row r="410" spans="3:3" ht="12.75" customHeight="1">
      <c r="C410" s="159"/>
    </row>
    <row r="411" spans="3:3" ht="12.75" customHeight="1">
      <c r="C411" s="159"/>
    </row>
    <row r="412" spans="3:3" ht="12.75" customHeight="1">
      <c r="C412" s="159"/>
    </row>
    <row r="413" spans="3:3" ht="12.75" customHeight="1">
      <c r="C413" s="159"/>
    </row>
    <row r="414" spans="3:3" ht="12.75" customHeight="1">
      <c r="C414" s="159"/>
    </row>
    <row r="415" spans="3:3" ht="12.75" customHeight="1">
      <c r="C415" s="159"/>
    </row>
    <row r="416" spans="3:3" ht="12.75" customHeight="1">
      <c r="C416" s="159"/>
    </row>
    <row r="417" spans="3:3" ht="12.75" customHeight="1">
      <c r="C417" s="159"/>
    </row>
    <row r="418" spans="3:3" ht="12.75" customHeight="1">
      <c r="C418" s="159"/>
    </row>
    <row r="419" spans="3:3" ht="12.75" customHeight="1">
      <c r="C419" s="159"/>
    </row>
    <row r="420" spans="3:3" ht="12.75" customHeight="1">
      <c r="C420" s="159"/>
    </row>
    <row r="421" spans="3:3" ht="12.75" customHeight="1">
      <c r="C421" s="159"/>
    </row>
    <row r="422" spans="3:3" ht="12.75" customHeight="1">
      <c r="C422" s="159"/>
    </row>
    <row r="423" spans="3:3" ht="12.75" customHeight="1">
      <c r="C423" s="159"/>
    </row>
    <row r="424" spans="3:3" ht="12.75" customHeight="1">
      <c r="C424" s="159"/>
    </row>
    <row r="425" spans="3:3" ht="12.75" customHeight="1">
      <c r="C425" s="159"/>
    </row>
    <row r="426" spans="3:3" ht="12.75" customHeight="1">
      <c r="C426" s="159"/>
    </row>
    <row r="427" spans="3:3" ht="12.75" customHeight="1">
      <c r="C427" s="159"/>
    </row>
    <row r="428" spans="3:3" ht="12.75" customHeight="1">
      <c r="C428" s="159"/>
    </row>
    <row r="429" spans="3:3" ht="12.75" customHeight="1">
      <c r="C429" s="159"/>
    </row>
    <row r="430" spans="3:3" ht="12.75" customHeight="1">
      <c r="C430" s="159"/>
    </row>
    <row r="431" spans="3:3" ht="12.75" customHeight="1">
      <c r="C431" s="159"/>
    </row>
    <row r="432" spans="3:3" ht="12.75" customHeight="1">
      <c r="C432" s="159"/>
    </row>
    <row r="433" spans="3:3" ht="12.75" customHeight="1">
      <c r="C433" s="159"/>
    </row>
    <row r="434" spans="3:3" ht="12.75" customHeight="1">
      <c r="C434" s="159"/>
    </row>
    <row r="435" spans="3:3" ht="12.75" customHeight="1">
      <c r="C435" s="159"/>
    </row>
    <row r="436" spans="3:3" ht="12.75" customHeight="1">
      <c r="C436" s="159"/>
    </row>
    <row r="437" spans="3:3" ht="12.75" customHeight="1">
      <c r="C437" s="159"/>
    </row>
    <row r="438" spans="3:3" ht="12.75" customHeight="1">
      <c r="C438" s="159"/>
    </row>
    <row r="439" spans="3:3" ht="12.75" customHeight="1">
      <c r="C439" s="159"/>
    </row>
    <row r="440" spans="3:3" ht="12.75" customHeight="1">
      <c r="C440" s="159"/>
    </row>
    <row r="441" spans="3:3" ht="12.75" customHeight="1">
      <c r="C441" s="159"/>
    </row>
    <row r="442" spans="3:3" ht="12.75" customHeight="1">
      <c r="C442" s="159"/>
    </row>
    <row r="443" spans="3:3" ht="12.75" customHeight="1">
      <c r="C443" s="159"/>
    </row>
    <row r="444" spans="3:3" ht="12.75" customHeight="1">
      <c r="C444" s="159"/>
    </row>
    <row r="445" spans="3:3" ht="12.75" customHeight="1">
      <c r="C445" s="159"/>
    </row>
    <row r="446" spans="3:3" ht="12.75" customHeight="1">
      <c r="C446" s="159"/>
    </row>
    <row r="447" spans="3:3" ht="12.75" customHeight="1">
      <c r="C447" s="159"/>
    </row>
    <row r="448" spans="3:3" ht="12.75" customHeight="1">
      <c r="C448" s="159"/>
    </row>
    <row r="449" spans="3:3" ht="12.75" customHeight="1">
      <c r="C449" s="159"/>
    </row>
    <row r="450" spans="3:3" ht="12.75" customHeight="1">
      <c r="C450" s="159"/>
    </row>
    <row r="451" spans="3:3" ht="12.75" customHeight="1">
      <c r="C451" s="159"/>
    </row>
    <row r="452" spans="3:3" ht="12.75" customHeight="1">
      <c r="C452" s="159"/>
    </row>
    <row r="453" spans="3:3" ht="12.75" customHeight="1">
      <c r="C453" s="159"/>
    </row>
    <row r="454" spans="3:3" ht="12.75" customHeight="1">
      <c r="C454" s="159"/>
    </row>
    <row r="455" spans="3:3" ht="12.75" customHeight="1">
      <c r="C455" s="159"/>
    </row>
    <row r="456" spans="3:3" ht="12.75" customHeight="1">
      <c r="C456" s="159"/>
    </row>
    <row r="457" spans="3:3" ht="12.75" customHeight="1">
      <c r="C457" s="159"/>
    </row>
    <row r="458" spans="3:3" ht="12.75" customHeight="1">
      <c r="C458" s="159"/>
    </row>
    <row r="459" spans="3:3" ht="12.75" customHeight="1">
      <c r="C459" s="159"/>
    </row>
    <row r="460" spans="3:3" ht="12.75" customHeight="1">
      <c r="C460" s="159"/>
    </row>
    <row r="461" spans="3:3" ht="12.75" customHeight="1">
      <c r="C461" s="159"/>
    </row>
    <row r="462" spans="3:3" ht="12.75" customHeight="1">
      <c r="C462" s="159"/>
    </row>
    <row r="463" spans="3:3" ht="12.75" customHeight="1">
      <c r="C463" s="159"/>
    </row>
    <row r="464" spans="3:3" ht="12.75" customHeight="1">
      <c r="C464" s="159"/>
    </row>
    <row r="465" spans="3:3" ht="12.75" customHeight="1">
      <c r="C465" s="159"/>
    </row>
    <row r="466" spans="3:3" ht="12.75" customHeight="1">
      <c r="C466" s="159"/>
    </row>
    <row r="467" spans="3:3" ht="12.75" customHeight="1">
      <c r="C467" s="159"/>
    </row>
    <row r="468" spans="3:3" ht="12.75" customHeight="1">
      <c r="C468" s="159"/>
    </row>
    <row r="469" spans="3:3" ht="12.75" customHeight="1">
      <c r="C469" s="159"/>
    </row>
    <row r="470" spans="3:3" ht="12.75" customHeight="1">
      <c r="C470" s="159"/>
    </row>
    <row r="471" spans="3:3" ht="12.75" customHeight="1">
      <c r="C471" s="159"/>
    </row>
    <row r="472" spans="3:3" ht="12.75" customHeight="1">
      <c r="C472" s="159"/>
    </row>
    <row r="473" spans="3:3" ht="12.75" customHeight="1">
      <c r="C473" s="159"/>
    </row>
    <row r="474" spans="3:3" ht="12.75" customHeight="1">
      <c r="C474" s="159"/>
    </row>
    <row r="475" spans="3:3" ht="12.75" customHeight="1">
      <c r="C475" s="159"/>
    </row>
    <row r="476" spans="3:3" ht="12.75" customHeight="1">
      <c r="C476" s="159"/>
    </row>
    <row r="477" spans="3:3" ht="12.75" customHeight="1">
      <c r="C477" s="159"/>
    </row>
    <row r="478" spans="3:3" ht="12.75" customHeight="1">
      <c r="C478" s="159"/>
    </row>
    <row r="479" spans="3:3" ht="12.75" customHeight="1">
      <c r="C479" s="159"/>
    </row>
    <row r="480" spans="3:3" ht="12.75" customHeight="1">
      <c r="C480" s="159"/>
    </row>
    <row r="481" spans="3:3" ht="12.75" customHeight="1">
      <c r="C481" s="159"/>
    </row>
    <row r="482" spans="3:3" ht="12.75" customHeight="1">
      <c r="C482" s="159"/>
    </row>
    <row r="483" spans="3:3" ht="12.75" customHeight="1">
      <c r="C483" s="159"/>
    </row>
    <row r="484" spans="3:3" ht="12.75" customHeight="1">
      <c r="C484" s="159"/>
    </row>
    <row r="485" spans="3:3" ht="12.75" customHeight="1">
      <c r="C485" s="159"/>
    </row>
    <row r="486" spans="3:3" ht="12.75" customHeight="1">
      <c r="C486" s="159"/>
    </row>
    <row r="487" spans="3:3" ht="12.75" customHeight="1">
      <c r="C487" s="159"/>
    </row>
    <row r="488" spans="3:3" ht="12.75" customHeight="1">
      <c r="C488" s="159"/>
    </row>
    <row r="489" spans="3:3" ht="12.75" customHeight="1">
      <c r="C489" s="159"/>
    </row>
    <row r="490" spans="3:3" ht="12.75" customHeight="1">
      <c r="C490" s="159"/>
    </row>
    <row r="491" spans="3:3" ht="12.75" customHeight="1">
      <c r="C491" s="159"/>
    </row>
    <row r="492" spans="3:3" ht="12.75" customHeight="1">
      <c r="C492" s="159"/>
    </row>
    <row r="493" spans="3:3" ht="12.75" customHeight="1">
      <c r="C493" s="159"/>
    </row>
    <row r="494" spans="3:3" ht="12.75" customHeight="1">
      <c r="C494" s="159"/>
    </row>
    <row r="495" spans="3:3" ht="12.75" customHeight="1">
      <c r="C495" s="159"/>
    </row>
    <row r="496" spans="3:3" ht="12.75" customHeight="1">
      <c r="C496" s="159"/>
    </row>
    <row r="497" spans="3:3" ht="12.75" customHeight="1">
      <c r="C497" s="159"/>
    </row>
    <row r="498" spans="3:3" ht="12.75" customHeight="1">
      <c r="C498" s="159"/>
    </row>
    <row r="499" spans="3:3" ht="12.75" customHeight="1">
      <c r="C499" s="159"/>
    </row>
    <row r="500" spans="3:3" ht="12.75" customHeight="1">
      <c r="C500" s="159"/>
    </row>
    <row r="501" spans="3:3" ht="12.75" customHeight="1">
      <c r="C501" s="159"/>
    </row>
    <row r="502" spans="3:3" ht="12.75" customHeight="1">
      <c r="C502" s="159"/>
    </row>
    <row r="503" spans="3:3" ht="12.75" customHeight="1">
      <c r="C503" s="159"/>
    </row>
    <row r="504" spans="3:3" ht="12.75" customHeight="1">
      <c r="C504" s="159"/>
    </row>
    <row r="505" spans="3:3" ht="12.75" customHeight="1">
      <c r="C505" s="159"/>
    </row>
    <row r="506" spans="3:3" ht="12.75" customHeight="1">
      <c r="C506" s="159"/>
    </row>
    <row r="507" spans="3:3" ht="12.75" customHeight="1">
      <c r="C507" s="159"/>
    </row>
    <row r="508" spans="3:3" ht="12.75" customHeight="1">
      <c r="C508" s="159"/>
    </row>
    <row r="509" spans="3:3" ht="12.75" customHeight="1">
      <c r="C509" s="159"/>
    </row>
    <row r="510" spans="3:3" ht="12.75" customHeight="1">
      <c r="C510" s="159"/>
    </row>
    <row r="511" spans="3:3" ht="12.75" customHeight="1">
      <c r="C511" s="159"/>
    </row>
    <row r="512" spans="3:3" ht="12.75" customHeight="1">
      <c r="C512" s="159"/>
    </row>
    <row r="513" spans="3:3" ht="12.75" customHeight="1">
      <c r="C513" s="159"/>
    </row>
    <row r="514" spans="3:3" ht="12.75" customHeight="1">
      <c r="C514" s="159"/>
    </row>
    <row r="515" spans="3:3" ht="12.75" customHeight="1">
      <c r="C515" s="159"/>
    </row>
    <row r="516" spans="3:3" ht="12.75" customHeight="1">
      <c r="C516" s="159"/>
    </row>
    <row r="517" spans="3:3" ht="12.75" customHeight="1">
      <c r="C517" s="159"/>
    </row>
    <row r="518" spans="3:3" ht="12.75" customHeight="1">
      <c r="C518" s="159"/>
    </row>
    <row r="519" spans="3:3" ht="12.75" customHeight="1">
      <c r="C519" s="159"/>
    </row>
    <row r="520" spans="3:3" ht="12.75" customHeight="1">
      <c r="C520" s="159"/>
    </row>
    <row r="521" spans="3:3" ht="12.75" customHeight="1">
      <c r="C521" s="159"/>
    </row>
    <row r="522" spans="3:3" ht="12.75" customHeight="1">
      <c r="C522" s="159"/>
    </row>
    <row r="523" spans="3:3" ht="12.75" customHeight="1">
      <c r="C523" s="159"/>
    </row>
    <row r="524" spans="3:3" ht="12.75" customHeight="1">
      <c r="C524" s="159"/>
    </row>
    <row r="525" spans="3:3" ht="12.75" customHeight="1">
      <c r="C525" s="159"/>
    </row>
    <row r="526" spans="3:3" ht="12.75" customHeight="1">
      <c r="C526" s="159"/>
    </row>
    <row r="527" spans="3:3" ht="12.75" customHeight="1">
      <c r="C527" s="159"/>
    </row>
    <row r="528" spans="3:3" ht="12.75" customHeight="1">
      <c r="C528" s="159"/>
    </row>
    <row r="529" spans="3:3" ht="12.75" customHeight="1">
      <c r="C529" s="159"/>
    </row>
    <row r="530" spans="3:3" ht="12.75" customHeight="1">
      <c r="C530" s="159"/>
    </row>
    <row r="531" spans="3:3" ht="12.75" customHeight="1">
      <c r="C531" s="159"/>
    </row>
    <row r="532" spans="3:3" ht="12.75" customHeight="1">
      <c r="C532" s="159"/>
    </row>
    <row r="533" spans="3:3" ht="12.75" customHeight="1">
      <c r="C533" s="159"/>
    </row>
    <row r="534" spans="3:3" ht="12.75" customHeight="1">
      <c r="C534" s="159"/>
    </row>
    <row r="535" spans="3:3" ht="12.75" customHeight="1">
      <c r="C535" s="159"/>
    </row>
    <row r="536" spans="3:3" ht="12.75" customHeight="1">
      <c r="C536" s="159"/>
    </row>
    <row r="537" spans="3:3" ht="12.75" customHeight="1">
      <c r="C537" s="159"/>
    </row>
    <row r="538" spans="3:3" ht="12.75" customHeight="1">
      <c r="C538" s="159"/>
    </row>
    <row r="539" spans="3:3" ht="12.75" customHeight="1">
      <c r="C539" s="159"/>
    </row>
    <row r="540" spans="3:3" ht="12.75" customHeight="1">
      <c r="C540" s="159"/>
    </row>
    <row r="541" spans="3:3" ht="12.75" customHeight="1">
      <c r="C541" s="159"/>
    </row>
    <row r="542" spans="3:3" ht="12.75" customHeight="1">
      <c r="C542" s="159"/>
    </row>
    <row r="543" spans="3:3" ht="12.75" customHeight="1">
      <c r="C543" s="159"/>
    </row>
    <row r="544" spans="3:3" ht="12.75" customHeight="1">
      <c r="C544" s="159"/>
    </row>
    <row r="545" spans="3:3" ht="12.75" customHeight="1">
      <c r="C545" s="159"/>
    </row>
    <row r="546" spans="3:3" ht="12.75" customHeight="1">
      <c r="C546" s="159"/>
    </row>
    <row r="547" spans="3:3" ht="12.75" customHeight="1">
      <c r="C547" s="159"/>
    </row>
    <row r="548" spans="3:3" ht="12.75" customHeight="1">
      <c r="C548" s="159"/>
    </row>
    <row r="549" spans="3:3" ht="12.75" customHeight="1">
      <c r="C549" s="159"/>
    </row>
    <row r="550" spans="3:3" ht="12.75" customHeight="1">
      <c r="C550" s="159"/>
    </row>
    <row r="551" spans="3:3" ht="12.75" customHeight="1">
      <c r="C551" s="159"/>
    </row>
    <row r="552" spans="3:3" ht="12.75" customHeight="1">
      <c r="C552" s="159"/>
    </row>
    <row r="553" spans="3:3" ht="12.75" customHeight="1">
      <c r="C553" s="159"/>
    </row>
    <row r="554" spans="3:3" ht="12.75" customHeight="1">
      <c r="C554" s="159"/>
    </row>
    <row r="555" spans="3:3" ht="12.75" customHeight="1">
      <c r="C555" s="159"/>
    </row>
    <row r="556" spans="3:3" ht="12.75" customHeight="1">
      <c r="C556" s="159"/>
    </row>
    <row r="557" spans="3:3" ht="12.75" customHeight="1">
      <c r="C557" s="159"/>
    </row>
    <row r="558" spans="3:3" ht="12.75" customHeight="1">
      <c r="C558" s="159"/>
    </row>
    <row r="559" spans="3:3" ht="12.75" customHeight="1">
      <c r="C559" s="159"/>
    </row>
    <row r="560" spans="3:3" ht="12.75" customHeight="1">
      <c r="C560" s="159"/>
    </row>
    <row r="561" spans="3:3" ht="12.75" customHeight="1">
      <c r="C561" s="159"/>
    </row>
    <row r="562" spans="3:3" ht="12.75" customHeight="1">
      <c r="C562" s="159"/>
    </row>
    <row r="563" spans="3:3" ht="12.75" customHeight="1">
      <c r="C563" s="159"/>
    </row>
    <row r="564" spans="3:3" ht="12.75" customHeight="1">
      <c r="C564" s="159"/>
    </row>
    <row r="565" spans="3:3" ht="12.75" customHeight="1">
      <c r="C565" s="159"/>
    </row>
    <row r="566" spans="3:3" ht="12.75" customHeight="1">
      <c r="C566" s="159"/>
    </row>
    <row r="567" spans="3:3" ht="12.75" customHeight="1">
      <c r="C567" s="159"/>
    </row>
    <row r="568" spans="3:3" ht="12.75" customHeight="1">
      <c r="C568" s="159"/>
    </row>
    <row r="569" spans="3:3" ht="12.75" customHeight="1">
      <c r="C569" s="159"/>
    </row>
    <row r="570" spans="3:3" ht="12.75" customHeight="1">
      <c r="C570" s="159"/>
    </row>
    <row r="571" spans="3:3" ht="12.75" customHeight="1">
      <c r="C571" s="159"/>
    </row>
    <row r="572" spans="3:3" ht="12.75" customHeight="1">
      <c r="C572" s="159"/>
    </row>
    <row r="573" spans="3:3" ht="12.75" customHeight="1">
      <c r="C573" s="159"/>
    </row>
    <row r="574" spans="3:3" ht="12.75" customHeight="1">
      <c r="C574" s="159"/>
    </row>
    <row r="575" spans="3:3" ht="12.75" customHeight="1">
      <c r="C575" s="159"/>
    </row>
    <row r="576" spans="3:3" ht="12.75" customHeight="1">
      <c r="C576" s="159"/>
    </row>
    <row r="577" spans="3:3" ht="12.75" customHeight="1">
      <c r="C577" s="159"/>
    </row>
    <row r="578" spans="3:3" ht="12.75" customHeight="1">
      <c r="C578" s="159"/>
    </row>
    <row r="579" spans="3:3" ht="12.75" customHeight="1">
      <c r="C579" s="159"/>
    </row>
    <row r="580" spans="3:3" ht="12.75" customHeight="1">
      <c r="C580" s="159"/>
    </row>
    <row r="581" spans="3:3" ht="12.75" customHeight="1">
      <c r="C581" s="159"/>
    </row>
    <row r="582" spans="3:3" ht="12.75" customHeight="1">
      <c r="C582" s="159"/>
    </row>
    <row r="583" spans="3:3" ht="12.75" customHeight="1">
      <c r="C583" s="159"/>
    </row>
    <row r="584" spans="3:3" ht="12.75" customHeight="1">
      <c r="C584" s="159"/>
    </row>
    <row r="585" spans="3:3" ht="12.75" customHeight="1">
      <c r="C585" s="159"/>
    </row>
    <row r="586" spans="3:3" ht="12.75" customHeight="1">
      <c r="C586" s="159"/>
    </row>
    <row r="587" spans="3:3" ht="12.75" customHeight="1">
      <c r="C587" s="159"/>
    </row>
    <row r="588" spans="3:3" ht="12.75" customHeight="1">
      <c r="C588" s="159"/>
    </row>
    <row r="589" spans="3:3" ht="12.75" customHeight="1">
      <c r="C589" s="159"/>
    </row>
    <row r="590" spans="3:3" ht="12.75" customHeight="1">
      <c r="C590" s="159"/>
    </row>
    <row r="591" spans="3:3" ht="12.75" customHeight="1">
      <c r="C591" s="159"/>
    </row>
    <row r="592" spans="3:3" ht="12.75" customHeight="1">
      <c r="C592" s="159"/>
    </row>
    <row r="593" spans="3:3" ht="12.75" customHeight="1">
      <c r="C593" s="159"/>
    </row>
    <row r="594" spans="3:3" ht="12.75" customHeight="1">
      <c r="C594" s="159"/>
    </row>
    <row r="595" spans="3:3" ht="12.75" customHeight="1">
      <c r="C595" s="159"/>
    </row>
    <row r="596" spans="3:3" ht="12.75" customHeight="1">
      <c r="C596" s="159"/>
    </row>
    <row r="597" spans="3:3" ht="12.75" customHeight="1">
      <c r="C597" s="159"/>
    </row>
    <row r="598" spans="3:3" ht="12.75" customHeight="1">
      <c r="C598" s="159"/>
    </row>
    <row r="599" spans="3:3" ht="12.75" customHeight="1">
      <c r="C599" s="159"/>
    </row>
    <row r="600" spans="3:3" ht="12.75" customHeight="1">
      <c r="C600" s="159"/>
    </row>
    <row r="601" spans="3:3" ht="12.75" customHeight="1">
      <c r="C601" s="159"/>
    </row>
    <row r="602" spans="3:3" ht="12.75" customHeight="1">
      <c r="C602" s="159"/>
    </row>
    <row r="603" spans="3:3" ht="12.75" customHeight="1">
      <c r="C603" s="159"/>
    </row>
    <row r="604" spans="3:3" ht="12.75" customHeight="1">
      <c r="C604" s="159"/>
    </row>
    <row r="605" spans="3:3" ht="12.75" customHeight="1">
      <c r="C605" s="159"/>
    </row>
    <row r="606" spans="3:3" ht="12.75" customHeight="1">
      <c r="C606" s="159"/>
    </row>
    <row r="607" spans="3:3" ht="12.75" customHeight="1">
      <c r="C607" s="159"/>
    </row>
    <row r="608" spans="3:3" ht="12.75" customHeight="1">
      <c r="C608" s="159"/>
    </row>
    <row r="609" spans="3:3" ht="12.75" customHeight="1">
      <c r="C609" s="159"/>
    </row>
    <row r="610" spans="3:3" ht="12.75" customHeight="1">
      <c r="C610" s="159"/>
    </row>
    <row r="611" spans="3:3" ht="12.75" customHeight="1">
      <c r="C611" s="159"/>
    </row>
    <row r="612" spans="3:3" ht="12.75" customHeight="1">
      <c r="C612" s="159"/>
    </row>
    <row r="613" spans="3:3" ht="12.75" customHeight="1">
      <c r="C613" s="159"/>
    </row>
    <row r="614" spans="3:3" ht="12.75" customHeight="1">
      <c r="C614" s="159"/>
    </row>
    <row r="615" spans="3:3" ht="12.75" customHeight="1">
      <c r="C615" s="159"/>
    </row>
    <row r="616" spans="3:3" ht="12.75" customHeight="1">
      <c r="C616" s="159"/>
    </row>
    <row r="617" spans="3:3" ht="12.75" customHeight="1">
      <c r="C617" s="159"/>
    </row>
    <row r="618" spans="3:3" ht="12.75" customHeight="1">
      <c r="C618" s="159"/>
    </row>
    <row r="619" spans="3:3" ht="12.75" customHeight="1">
      <c r="C619" s="159"/>
    </row>
    <row r="620" spans="3:3" ht="12.75" customHeight="1">
      <c r="C620" s="159"/>
    </row>
    <row r="621" spans="3:3" ht="12.75" customHeight="1">
      <c r="C621" s="159"/>
    </row>
    <row r="622" spans="3:3" ht="12.75" customHeight="1">
      <c r="C622" s="159"/>
    </row>
    <row r="623" spans="3:3" ht="12.75" customHeight="1">
      <c r="C623" s="159"/>
    </row>
    <row r="624" spans="3:3" ht="12.75" customHeight="1">
      <c r="C624" s="159"/>
    </row>
    <row r="625" spans="3:3" ht="12.75" customHeight="1">
      <c r="C625" s="159"/>
    </row>
    <row r="626" spans="3:3" ht="12.75" customHeight="1">
      <c r="C626" s="159"/>
    </row>
    <row r="627" spans="3:3" ht="12.75" customHeight="1">
      <c r="C627" s="159"/>
    </row>
    <row r="628" spans="3:3" ht="12.75" customHeight="1">
      <c r="C628" s="159"/>
    </row>
    <row r="629" spans="3:3" ht="12.75" customHeight="1">
      <c r="C629" s="159"/>
    </row>
    <row r="630" spans="3:3" ht="12.75" customHeight="1">
      <c r="C630" s="159"/>
    </row>
    <row r="631" spans="3:3" ht="12.75" customHeight="1">
      <c r="C631" s="159"/>
    </row>
    <row r="632" spans="3:3" ht="12.75" customHeight="1">
      <c r="C632" s="159"/>
    </row>
    <row r="633" spans="3:3" ht="12.75" customHeight="1">
      <c r="C633" s="159"/>
    </row>
    <row r="634" spans="3:3" ht="12.75" customHeight="1">
      <c r="C634" s="159"/>
    </row>
    <row r="635" spans="3:3" ht="12.75" customHeight="1">
      <c r="C635" s="159"/>
    </row>
    <row r="636" spans="3:3" ht="12.75" customHeight="1">
      <c r="C636" s="159"/>
    </row>
    <row r="637" spans="3:3" ht="12.75" customHeight="1">
      <c r="C637" s="159"/>
    </row>
    <row r="638" spans="3:3" ht="12.75" customHeight="1">
      <c r="C638" s="159"/>
    </row>
    <row r="639" spans="3:3" ht="12.75" customHeight="1">
      <c r="C639" s="159"/>
    </row>
    <row r="640" spans="3:3" ht="12.75" customHeight="1">
      <c r="C640" s="159"/>
    </row>
    <row r="641" spans="3:3" ht="12.75" customHeight="1">
      <c r="C641" s="159"/>
    </row>
    <row r="642" spans="3:3" ht="12.75" customHeight="1">
      <c r="C642" s="159"/>
    </row>
    <row r="643" spans="3:3" ht="12.75" customHeight="1">
      <c r="C643" s="159"/>
    </row>
    <row r="644" spans="3:3" ht="12.75" customHeight="1">
      <c r="C644" s="159"/>
    </row>
    <row r="645" spans="3:3" ht="12.75" customHeight="1">
      <c r="C645" s="159"/>
    </row>
    <row r="646" spans="3:3" ht="12.75" customHeight="1">
      <c r="C646" s="159"/>
    </row>
    <row r="647" spans="3:3" ht="12.75" customHeight="1">
      <c r="C647" s="159"/>
    </row>
    <row r="648" spans="3:3" ht="12.75" customHeight="1">
      <c r="C648" s="159"/>
    </row>
    <row r="649" spans="3:3" ht="12.75" customHeight="1">
      <c r="C649" s="159"/>
    </row>
    <row r="650" spans="3:3" ht="12.75" customHeight="1">
      <c r="C650" s="159"/>
    </row>
    <row r="651" spans="3:3" ht="12.75" customHeight="1">
      <c r="C651" s="159"/>
    </row>
    <row r="652" spans="3:3" ht="12.75" customHeight="1">
      <c r="C652" s="159"/>
    </row>
    <row r="653" spans="3:3" ht="12.75" customHeight="1">
      <c r="C653" s="159"/>
    </row>
    <row r="654" spans="3:3" ht="12.75" customHeight="1">
      <c r="C654" s="159"/>
    </row>
    <row r="655" spans="3:3" ht="12.75" customHeight="1">
      <c r="C655" s="159"/>
    </row>
    <row r="656" spans="3:3" ht="12.75" customHeight="1">
      <c r="C656" s="159"/>
    </row>
    <row r="657" spans="3:3" ht="12.75" customHeight="1">
      <c r="C657" s="159"/>
    </row>
    <row r="658" spans="3:3" ht="12.75" customHeight="1">
      <c r="C658" s="159"/>
    </row>
    <row r="659" spans="3:3" ht="12.75" customHeight="1">
      <c r="C659" s="159"/>
    </row>
    <row r="660" spans="3:3" ht="12.75" customHeight="1">
      <c r="C660" s="159"/>
    </row>
    <row r="661" spans="3:3" ht="12.75" customHeight="1">
      <c r="C661" s="159"/>
    </row>
    <row r="662" spans="3:3" ht="12.75" customHeight="1">
      <c r="C662" s="159"/>
    </row>
    <row r="663" spans="3:3" ht="12.75" customHeight="1">
      <c r="C663" s="159"/>
    </row>
    <row r="664" spans="3:3" ht="12.75" customHeight="1">
      <c r="C664" s="159"/>
    </row>
    <row r="665" spans="3:3" ht="12.75" customHeight="1">
      <c r="C665" s="159"/>
    </row>
    <row r="666" spans="3:3" ht="12.75" customHeight="1">
      <c r="C666" s="159"/>
    </row>
    <row r="667" spans="3:3" ht="12.75" customHeight="1">
      <c r="C667" s="159"/>
    </row>
    <row r="668" spans="3:3" ht="12.75" customHeight="1">
      <c r="C668" s="159"/>
    </row>
    <row r="669" spans="3:3" ht="12.75" customHeight="1">
      <c r="C669" s="159"/>
    </row>
    <row r="670" spans="3:3" ht="12.75" customHeight="1">
      <c r="C670" s="159"/>
    </row>
    <row r="671" spans="3:3" ht="12.75" customHeight="1">
      <c r="C671" s="159"/>
    </row>
    <row r="672" spans="3:3" ht="12.75" customHeight="1">
      <c r="C672" s="159"/>
    </row>
    <row r="673" spans="3:3" ht="12.75" customHeight="1">
      <c r="C673" s="159"/>
    </row>
    <row r="674" spans="3:3" ht="12.75" customHeight="1">
      <c r="C674" s="159"/>
    </row>
    <row r="675" spans="3:3" ht="12.75" customHeight="1">
      <c r="C675" s="159"/>
    </row>
    <row r="676" spans="3:3" ht="12.75" customHeight="1">
      <c r="C676" s="159"/>
    </row>
    <row r="677" spans="3:3" ht="12.75" customHeight="1">
      <c r="C677" s="159"/>
    </row>
    <row r="678" spans="3:3" ht="12.75" customHeight="1">
      <c r="C678" s="159"/>
    </row>
    <row r="679" spans="3:3" ht="12.75" customHeight="1">
      <c r="C679" s="159"/>
    </row>
    <row r="680" spans="3:3" ht="12.75" customHeight="1">
      <c r="C680" s="159"/>
    </row>
    <row r="681" spans="3:3" ht="12.75" customHeight="1">
      <c r="C681" s="159"/>
    </row>
    <row r="682" spans="3:3" ht="12.75" customHeight="1">
      <c r="C682" s="159"/>
    </row>
    <row r="683" spans="3:3" ht="12.75" customHeight="1">
      <c r="C683" s="159"/>
    </row>
    <row r="684" spans="3:3" ht="12.75" customHeight="1">
      <c r="C684" s="159"/>
    </row>
    <row r="685" spans="3:3" ht="12.75" customHeight="1">
      <c r="C685" s="159"/>
    </row>
    <row r="686" spans="3:3" ht="12.75" customHeight="1">
      <c r="C686" s="159"/>
    </row>
    <row r="687" spans="3:3" ht="12.75" customHeight="1">
      <c r="C687" s="159"/>
    </row>
    <row r="688" spans="3:3" ht="12.75" customHeight="1">
      <c r="C688" s="159"/>
    </row>
    <row r="689" spans="3:3" ht="12.75" customHeight="1">
      <c r="C689" s="159"/>
    </row>
    <row r="690" spans="3:3" ht="12.75" customHeight="1">
      <c r="C690" s="159"/>
    </row>
    <row r="691" spans="3:3" ht="12.75" customHeight="1">
      <c r="C691" s="159"/>
    </row>
    <row r="692" spans="3:3" ht="12.75" customHeight="1">
      <c r="C692" s="159"/>
    </row>
    <row r="693" spans="3:3" ht="12.75" customHeight="1">
      <c r="C693" s="159"/>
    </row>
    <row r="694" spans="3:3" ht="12.75" customHeight="1">
      <c r="C694" s="159"/>
    </row>
    <row r="695" spans="3:3" ht="12.75" customHeight="1">
      <c r="C695" s="159"/>
    </row>
    <row r="696" spans="3:3" ht="12.75" customHeight="1">
      <c r="C696" s="159"/>
    </row>
    <row r="697" spans="3:3" ht="12.75" customHeight="1">
      <c r="C697" s="159"/>
    </row>
    <row r="698" spans="3:3" ht="12.75" customHeight="1">
      <c r="C698" s="159"/>
    </row>
    <row r="699" spans="3:3" ht="12.75" customHeight="1">
      <c r="C699" s="159"/>
    </row>
    <row r="700" spans="3:3" ht="12.75" customHeight="1">
      <c r="C700" s="159"/>
    </row>
    <row r="701" spans="3:3" ht="12.75" customHeight="1">
      <c r="C701" s="159"/>
    </row>
    <row r="702" spans="3:3" ht="12.75" customHeight="1">
      <c r="C702" s="159"/>
    </row>
    <row r="703" spans="3:3" ht="12.75" customHeight="1">
      <c r="C703" s="159"/>
    </row>
    <row r="704" spans="3:3" ht="12.75" customHeight="1">
      <c r="C704" s="159"/>
    </row>
    <row r="705" spans="3:3" ht="12.75" customHeight="1">
      <c r="C705" s="159"/>
    </row>
    <row r="706" spans="3:3" ht="12.75" customHeight="1">
      <c r="C706" s="159"/>
    </row>
    <row r="707" spans="3:3" ht="12.75" customHeight="1">
      <c r="C707" s="159"/>
    </row>
    <row r="708" spans="3:3" ht="12.75" customHeight="1">
      <c r="C708" s="159"/>
    </row>
    <row r="709" spans="3:3" ht="12.75" customHeight="1">
      <c r="C709" s="159"/>
    </row>
    <row r="710" spans="3:3" ht="12.75" customHeight="1">
      <c r="C710" s="159"/>
    </row>
    <row r="711" spans="3:3" ht="12.75" customHeight="1">
      <c r="C711" s="159"/>
    </row>
    <row r="712" spans="3:3" ht="12.75" customHeight="1">
      <c r="C712" s="159"/>
    </row>
    <row r="713" spans="3:3" ht="12.75" customHeight="1">
      <c r="C713" s="159"/>
    </row>
    <row r="714" spans="3:3" ht="12.75" customHeight="1">
      <c r="C714" s="159"/>
    </row>
    <row r="715" spans="3:3" ht="12.75" customHeight="1">
      <c r="C715" s="159"/>
    </row>
    <row r="716" spans="3:3" ht="12.75" customHeight="1">
      <c r="C716" s="159"/>
    </row>
    <row r="717" spans="3:3" ht="12.75" customHeight="1">
      <c r="C717" s="159"/>
    </row>
    <row r="718" spans="3:3" ht="12.75" customHeight="1">
      <c r="C718" s="159"/>
    </row>
    <row r="719" spans="3:3" ht="12.75" customHeight="1">
      <c r="C719" s="159"/>
    </row>
    <row r="720" spans="3:3" ht="12.75" customHeight="1">
      <c r="C720" s="159"/>
    </row>
    <row r="721" spans="3:3" ht="12.75" customHeight="1">
      <c r="C721" s="159"/>
    </row>
    <row r="722" spans="3:3" ht="12.75" customHeight="1">
      <c r="C722" s="159"/>
    </row>
    <row r="723" spans="3:3" ht="12.75" customHeight="1">
      <c r="C723" s="159"/>
    </row>
    <row r="724" spans="3:3" ht="12.75" customHeight="1">
      <c r="C724" s="159"/>
    </row>
    <row r="725" spans="3:3" ht="12.75" customHeight="1">
      <c r="C725" s="159"/>
    </row>
    <row r="726" spans="3:3" ht="12.75" customHeight="1">
      <c r="C726" s="159"/>
    </row>
    <row r="727" spans="3:3" ht="12.75" customHeight="1">
      <c r="C727" s="159"/>
    </row>
    <row r="728" spans="3:3" ht="12.75" customHeight="1">
      <c r="C728" s="159"/>
    </row>
    <row r="729" spans="3:3" ht="12.75" customHeight="1">
      <c r="C729" s="159"/>
    </row>
    <row r="730" spans="3:3" ht="12.75" customHeight="1">
      <c r="C730" s="159"/>
    </row>
    <row r="731" spans="3:3" ht="12.75" customHeight="1">
      <c r="C731" s="159"/>
    </row>
    <row r="732" spans="3:3" ht="12.75" customHeight="1">
      <c r="C732" s="159"/>
    </row>
    <row r="733" spans="3:3" ht="12.75" customHeight="1">
      <c r="C733" s="159"/>
    </row>
    <row r="734" spans="3:3" ht="12.75" customHeight="1">
      <c r="C734" s="159"/>
    </row>
    <row r="735" spans="3:3" ht="12.75" customHeight="1">
      <c r="C735" s="159"/>
    </row>
    <row r="736" spans="3:3" ht="12.75" customHeight="1">
      <c r="C736" s="159"/>
    </row>
    <row r="737" spans="3:3" ht="12.75" customHeight="1">
      <c r="C737" s="159"/>
    </row>
    <row r="738" spans="3:3" ht="12.75" customHeight="1">
      <c r="C738" s="159"/>
    </row>
    <row r="739" spans="3:3" ht="12.75" customHeight="1">
      <c r="C739" s="159"/>
    </row>
    <row r="740" spans="3:3" ht="12.75" customHeight="1">
      <c r="C740" s="159"/>
    </row>
    <row r="741" spans="3:3" ht="12.75" customHeight="1">
      <c r="C741" s="159"/>
    </row>
    <row r="742" spans="3:3" ht="12.75" customHeight="1">
      <c r="C742" s="159"/>
    </row>
    <row r="743" spans="3:3" ht="12.75" customHeight="1">
      <c r="C743" s="159"/>
    </row>
    <row r="744" spans="3:3" ht="12.75" customHeight="1">
      <c r="C744" s="159"/>
    </row>
    <row r="745" spans="3:3" ht="12.75" customHeight="1">
      <c r="C745" s="159"/>
    </row>
    <row r="746" spans="3:3" ht="12.75" customHeight="1">
      <c r="C746" s="159"/>
    </row>
    <row r="747" spans="3:3" ht="12.75" customHeight="1">
      <c r="C747" s="159"/>
    </row>
    <row r="748" spans="3:3" ht="12.75" customHeight="1">
      <c r="C748" s="159"/>
    </row>
    <row r="749" spans="3:3" ht="12.75" customHeight="1">
      <c r="C749" s="159"/>
    </row>
    <row r="750" spans="3:3" ht="12.75" customHeight="1">
      <c r="C750" s="159"/>
    </row>
    <row r="751" spans="3:3" ht="12.75" customHeight="1">
      <c r="C751" s="159"/>
    </row>
    <row r="752" spans="3:3" ht="12.75" customHeight="1">
      <c r="C752" s="159"/>
    </row>
    <row r="753" spans="3:3" ht="12.75" customHeight="1">
      <c r="C753" s="159"/>
    </row>
    <row r="754" spans="3:3" ht="12.75" customHeight="1">
      <c r="C754" s="159"/>
    </row>
    <row r="755" spans="3:3" ht="12.75" customHeight="1">
      <c r="C755" s="159"/>
    </row>
    <row r="756" spans="3:3" ht="12.75" customHeight="1">
      <c r="C756" s="159"/>
    </row>
    <row r="757" spans="3:3" ht="12.75" customHeight="1">
      <c r="C757" s="159"/>
    </row>
    <row r="758" spans="3:3" ht="12.75" customHeight="1">
      <c r="C758" s="159"/>
    </row>
    <row r="759" spans="3:3" ht="12.75" customHeight="1">
      <c r="C759" s="159"/>
    </row>
    <row r="760" spans="3:3" ht="12.75" customHeight="1">
      <c r="C760" s="159"/>
    </row>
    <row r="761" spans="3:3" ht="12.75" customHeight="1">
      <c r="C761" s="159"/>
    </row>
    <row r="762" spans="3:3" ht="12.75" customHeight="1">
      <c r="C762" s="159"/>
    </row>
    <row r="763" spans="3:3" ht="12.75" customHeight="1">
      <c r="C763" s="159"/>
    </row>
    <row r="764" spans="3:3" ht="12.75" customHeight="1">
      <c r="C764" s="159"/>
    </row>
    <row r="765" spans="3:3" ht="12.75" customHeight="1">
      <c r="C765" s="159"/>
    </row>
    <row r="766" spans="3:3" ht="12.75" customHeight="1">
      <c r="C766" s="159"/>
    </row>
    <row r="767" spans="3:3" ht="12.75" customHeight="1">
      <c r="C767" s="159"/>
    </row>
    <row r="768" spans="3:3" ht="12.75" customHeight="1">
      <c r="C768" s="159"/>
    </row>
    <row r="769" spans="3:3" ht="12.75" customHeight="1">
      <c r="C769" s="159"/>
    </row>
    <row r="770" spans="3:3" ht="12.75" customHeight="1">
      <c r="C770" s="159"/>
    </row>
    <row r="771" spans="3:3" ht="12.75" customHeight="1">
      <c r="C771" s="159"/>
    </row>
    <row r="772" spans="3:3" ht="12.75" customHeight="1">
      <c r="C772" s="159"/>
    </row>
    <row r="773" spans="3:3" ht="12.75" customHeight="1">
      <c r="C773" s="159"/>
    </row>
    <row r="774" spans="3:3" ht="12.75" customHeight="1">
      <c r="C774" s="159"/>
    </row>
    <row r="775" spans="3:3" ht="12.75" customHeight="1">
      <c r="C775" s="159"/>
    </row>
    <row r="776" spans="3:3" ht="12.75" customHeight="1">
      <c r="C776" s="159"/>
    </row>
    <row r="777" spans="3:3" ht="12.75" customHeight="1">
      <c r="C777" s="159"/>
    </row>
    <row r="778" spans="3:3" ht="12.75" customHeight="1">
      <c r="C778" s="159"/>
    </row>
    <row r="779" spans="3:3" ht="12.75" customHeight="1">
      <c r="C779" s="159"/>
    </row>
    <row r="780" spans="3:3" ht="12.75" customHeight="1">
      <c r="C780" s="159"/>
    </row>
    <row r="781" spans="3:3" ht="12.75" customHeight="1">
      <c r="C781" s="159"/>
    </row>
    <row r="782" spans="3:3" ht="12.75" customHeight="1">
      <c r="C782" s="159"/>
    </row>
    <row r="783" spans="3:3" ht="12.75" customHeight="1">
      <c r="C783" s="159"/>
    </row>
    <row r="784" spans="3:3" ht="12.75" customHeight="1">
      <c r="C784" s="159"/>
    </row>
    <row r="785" spans="3:3" ht="12.75" customHeight="1">
      <c r="C785" s="159"/>
    </row>
    <row r="786" spans="3:3" ht="12.75" customHeight="1">
      <c r="C786" s="159"/>
    </row>
    <row r="787" spans="3:3" ht="12.75" customHeight="1">
      <c r="C787" s="159"/>
    </row>
    <row r="788" spans="3:3" ht="12.75" customHeight="1">
      <c r="C788" s="159"/>
    </row>
    <row r="789" spans="3:3" ht="12.75" customHeight="1">
      <c r="C789" s="159"/>
    </row>
    <row r="790" spans="3:3" ht="12.75" customHeight="1">
      <c r="C790" s="159"/>
    </row>
    <row r="791" spans="3:3" ht="12.75" customHeight="1">
      <c r="C791" s="159"/>
    </row>
    <row r="792" spans="3:3" ht="12.75" customHeight="1">
      <c r="C792" s="159"/>
    </row>
    <row r="793" spans="3:3" ht="12.75" customHeight="1">
      <c r="C793" s="159"/>
    </row>
    <row r="794" spans="3:3" ht="12.75" customHeight="1">
      <c r="C794" s="159"/>
    </row>
    <row r="795" spans="3:3" ht="12.75" customHeight="1">
      <c r="C795" s="159"/>
    </row>
    <row r="796" spans="3:3" ht="12.75" customHeight="1">
      <c r="C796" s="159"/>
    </row>
    <row r="797" spans="3:3" ht="12.75" customHeight="1">
      <c r="C797" s="159"/>
    </row>
    <row r="798" spans="3:3" ht="12.75" customHeight="1">
      <c r="C798" s="159"/>
    </row>
    <row r="799" spans="3:3" ht="12.75" customHeight="1">
      <c r="C799" s="159"/>
    </row>
    <row r="800" spans="3:3" ht="12.75" customHeight="1">
      <c r="C800" s="159"/>
    </row>
    <row r="801" spans="3:3" ht="12.75" customHeight="1">
      <c r="C801" s="159"/>
    </row>
    <row r="802" spans="3:3" ht="12.75" customHeight="1">
      <c r="C802" s="159"/>
    </row>
    <row r="803" spans="3:3" ht="12.75" customHeight="1">
      <c r="C803" s="159"/>
    </row>
    <row r="804" spans="3:3" ht="12.75" customHeight="1">
      <c r="C804" s="159"/>
    </row>
    <row r="805" spans="3:3" ht="12.75" customHeight="1">
      <c r="C805" s="159"/>
    </row>
    <row r="806" spans="3:3" ht="12.75" customHeight="1">
      <c r="C806" s="159"/>
    </row>
    <row r="807" spans="3:3" ht="12.75" customHeight="1">
      <c r="C807" s="159"/>
    </row>
    <row r="808" spans="3:3" ht="12.75" customHeight="1">
      <c r="C808" s="159"/>
    </row>
    <row r="809" spans="3:3" ht="12.75" customHeight="1">
      <c r="C809" s="159"/>
    </row>
    <row r="810" spans="3:3" ht="12.75" customHeight="1">
      <c r="C810" s="159"/>
    </row>
    <row r="811" spans="3:3" ht="12.75" customHeight="1">
      <c r="C811" s="159"/>
    </row>
    <row r="812" spans="3:3" ht="12.75" customHeight="1">
      <c r="C812" s="159"/>
    </row>
    <row r="813" spans="3:3" ht="12.75" customHeight="1">
      <c r="C813" s="159"/>
    </row>
    <row r="814" spans="3:3" ht="12.75" customHeight="1">
      <c r="C814" s="159"/>
    </row>
    <row r="815" spans="3:3" ht="12.75" customHeight="1">
      <c r="C815" s="159"/>
    </row>
    <row r="816" spans="3:3" ht="12.75" customHeight="1">
      <c r="C816" s="159"/>
    </row>
    <row r="817" spans="3:3" ht="12.75" customHeight="1">
      <c r="C817" s="159"/>
    </row>
    <row r="818" spans="3:3" ht="12.75" customHeight="1">
      <c r="C818" s="159"/>
    </row>
    <row r="819" spans="3:3" ht="12.75" customHeight="1">
      <c r="C819" s="159"/>
    </row>
    <row r="820" spans="3:3" ht="12.75" customHeight="1">
      <c r="C820" s="159"/>
    </row>
    <row r="821" spans="3:3" ht="12.75" customHeight="1">
      <c r="C821" s="159"/>
    </row>
    <row r="822" spans="3:3" ht="12.75" customHeight="1">
      <c r="C822" s="159"/>
    </row>
    <row r="823" spans="3:3" ht="12.75" customHeight="1">
      <c r="C823" s="159"/>
    </row>
    <row r="824" spans="3:3" ht="12.75" customHeight="1">
      <c r="C824" s="159"/>
    </row>
    <row r="825" spans="3:3" ht="12.75" customHeight="1">
      <c r="C825" s="159"/>
    </row>
    <row r="826" spans="3:3" ht="12.75" customHeight="1">
      <c r="C826" s="159"/>
    </row>
    <row r="827" spans="3:3" ht="12.75" customHeight="1">
      <c r="C827" s="159"/>
    </row>
    <row r="828" spans="3:3" ht="12.75" customHeight="1">
      <c r="C828" s="159"/>
    </row>
    <row r="829" spans="3:3" ht="12.75" customHeight="1">
      <c r="C829" s="159"/>
    </row>
    <row r="830" spans="3:3" ht="12.75" customHeight="1">
      <c r="C830" s="159"/>
    </row>
    <row r="831" spans="3:3" ht="12.75" customHeight="1">
      <c r="C831" s="159"/>
    </row>
    <row r="832" spans="3:3" ht="12.75" customHeight="1">
      <c r="C832" s="159"/>
    </row>
    <row r="833" spans="3:3" ht="12.75" customHeight="1">
      <c r="C833" s="159"/>
    </row>
    <row r="834" spans="3:3" ht="12.75" customHeight="1">
      <c r="C834" s="159"/>
    </row>
    <row r="835" spans="3:3" ht="12.75" customHeight="1">
      <c r="C835" s="159"/>
    </row>
    <row r="836" spans="3:3" ht="12.75" customHeight="1">
      <c r="C836" s="159"/>
    </row>
    <row r="837" spans="3:3" ht="12.75" customHeight="1">
      <c r="C837" s="159"/>
    </row>
    <row r="838" spans="3:3" ht="12.75" customHeight="1">
      <c r="C838" s="159"/>
    </row>
    <row r="839" spans="3:3" ht="12.75" customHeight="1">
      <c r="C839" s="159"/>
    </row>
    <row r="840" spans="3:3" ht="12.75" customHeight="1">
      <c r="C840" s="159"/>
    </row>
    <row r="841" spans="3:3" ht="12.75" customHeight="1">
      <c r="C841" s="159"/>
    </row>
    <row r="842" spans="3:3" ht="12.75" customHeight="1">
      <c r="C842" s="159"/>
    </row>
    <row r="843" spans="3:3" ht="12.75" customHeight="1">
      <c r="C843" s="159"/>
    </row>
    <row r="844" spans="3:3" ht="12.75" customHeight="1">
      <c r="C844" s="159"/>
    </row>
    <row r="845" spans="3:3" ht="12.75" customHeight="1">
      <c r="C845" s="159"/>
    </row>
    <row r="846" spans="3:3" ht="12.75" customHeight="1">
      <c r="C846" s="159"/>
    </row>
    <row r="847" spans="3:3" ht="12.75" customHeight="1">
      <c r="C847" s="159"/>
    </row>
    <row r="848" spans="3:3" ht="12.75" customHeight="1">
      <c r="C848" s="159"/>
    </row>
    <row r="849" spans="3:3" ht="12.75" customHeight="1">
      <c r="C849" s="159"/>
    </row>
    <row r="850" spans="3:3" ht="12.75" customHeight="1">
      <c r="C850" s="159"/>
    </row>
    <row r="851" spans="3:3" ht="12.75" customHeight="1">
      <c r="C851" s="159"/>
    </row>
    <row r="852" spans="3:3" ht="12.75" customHeight="1">
      <c r="C852" s="159"/>
    </row>
    <row r="853" spans="3:3" ht="12.75" customHeight="1">
      <c r="C853" s="159"/>
    </row>
    <row r="854" spans="3:3" ht="12.75" customHeight="1">
      <c r="C854" s="159"/>
    </row>
    <row r="855" spans="3:3" ht="12.75" customHeight="1">
      <c r="C855" s="159"/>
    </row>
    <row r="856" spans="3:3" ht="12.75" customHeight="1">
      <c r="C856" s="159"/>
    </row>
    <row r="857" spans="3:3" ht="12.75" customHeight="1">
      <c r="C857" s="159"/>
    </row>
    <row r="858" spans="3:3" ht="12.75" customHeight="1">
      <c r="C858" s="159"/>
    </row>
    <row r="859" spans="3:3" ht="12.75" customHeight="1">
      <c r="C859" s="159"/>
    </row>
    <row r="860" spans="3:3" ht="12.75" customHeight="1">
      <c r="C860" s="159"/>
    </row>
    <row r="861" spans="3:3" ht="12.75" customHeight="1">
      <c r="C861" s="159"/>
    </row>
    <row r="862" spans="3:3" ht="12.75" customHeight="1">
      <c r="C862" s="159"/>
    </row>
    <row r="863" spans="3:3" ht="12.75" customHeight="1">
      <c r="C863" s="159"/>
    </row>
    <row r="864" spans="3:3" ht="12.75" customHeight="1">
      <c r="C864" s="159"/>
    </row>
    <row r="865" spans="3:3" ht="12.75" customHeight="1">
      <c r="C865" s="159"/>
    </row>
    <row r="866" spans="3:3" ht="12.75" customHeight="1">
      <c r="C866" s="159"/>
    </row>
    <row r="867" spans="3:3" ht="12.75" customHeight="1">
      <c r="C867" s="159"/>
    </row>
    <row r="868" spans="3:3" ht="12.75" customHeight="1">
      <c r="C868" s="159"/>
    </row>
    <row r="869" spans="3:3" ht="12.75" customHeight="1">
      <c r="C869" s="159"/>
    </row>
    <row r="870" spans="3:3" ht="12.75" customHeight="1">
      <c r="C870" s="159"/>
    </row>
    <row r="871" spans="3:3" ht="12.75" customHeight="1">
      <c r="C871" s="159"/>
    </row>
    <row r="872" spans="3:3" ht="12.75" customHeight="1">
      <c r="C872" s="159"/>
    </row>
    <row r="873" spans="3:3" ht="12.75" customHeight="1">
      <c r="C873" s="159"/>
    </row>
    <row r="874" spans="3:3" ht="12.75" customHeight="1">
      <c r="C874" s="159"/>
    </row>
    <row r="875" spans="3:3" ht="12.75" customHeight="1">
      <c r="C875" s="159"/>
    </row>
    <row r="876" spans="3:3" ht="12.75" customHeight="1">
      <c r="C876" s="159"/>
    </row>
    <row r="877" spans="3:3" ht="12.75" customHeight="1">
      <c r="C877" s="159"/>
    </row>
    <row r="878" spans="3:3" ht="12.75" customHeight="1">
      <c r="C878" s="159"/>
    </row>
    <row r="879" spans="3:3" ht="12.75" customHeight="1">
      <c r="C879" s="159"/>
    </row>
    <row r="880" spans="3:3" ht="12.75" customHeight="1">
      <c r="C880" s="159"/>
    </row>
    <row r="881" spans="3:3" ht="12.75" customHeight="1">
      <c r="C881" s="159"/>
    </row>
    <row r="882" spans="3:3" ht="12.75" customHeight="1">
      <c r="C882" s="159"/>
    </row>
    <row r="883" spans="3:3" ht="12.75" customHeight="1">
      <c r="C883" s="159"/>
    </row>
    <row r="884" spans="3:3" ht="12.75" customHeight="1">
      <c r="C884" s="159"/>
    </row>
    <row r="885" spans="3:3" ht="12.75" customHeight="1">
      <c r="C885" s="159"/>
    </row>
    <row r="886" spans="3:3" ht="12.75" customHeight="1">
      <c r="C886" s="159"/>
    </row>
    <row r="887" spans="3:3" ht="12.75" customHeight="1">
      <c r="C887" s="159"/>
    </row>
    <row r="888" spans="3:3" ht="12.75" customHeight="1">
      <c r="C888" s="159"/>
    </row>
    <row r="889" spans="3:3" ht="12.75" customHeight="1">
      <c r="C889" s="159"/>
    </row>
    <row r="890" spans="3:3" ht="12.75" customHeight="1">
      <c r="C890" s="159"/>
    </row>
    <row r="891" spans="3:3" ht="12.75" customHeight="1">
      <c r="C891" s="159"/>
    </row>
    <row r="892" spans="3:3" ht="12.75" customHeight="1">
      <c r="C892" s="159"/>
    </row>
    <row r="893" spans="3:3" ht="12.75" customHeight="1">
      <c r="C893" s="159"/>
    </row>
    <row r="894" spans="3:3" ht="12.75" customHeight="1">
      <c r="C894" s="159"/>
    </row>
    <row r="895" spans="3:3" ht="12.75" customHeight="1">
      <c r="C895" s="159"/>
    </row>
    <row r="896" spans="3:3" ht="12.75" customHeight="1">
      <c r="C896" s="159"/>
    </row>
    <row r="897" spans="3:3" ht="12.75" customHeight="1">
      <c r="C897" s="159"/>
    </row>
    <row r="898" spans="3:3" ht="12.75" customHeight="1">
      <c r="C898" s="159"/>
    </row>
    <row r="899" spans="3:3" ht="12.75" customHeight="1">
      <c r="C899" s="159"/>
    </row>
    <row r="900" spans="3:3" ht="12.75" customHeight="1">
      <c r="C900" s="159"/>
    </row>
    <row r="901" spans="3:3" ht="12.75" customHeight="1">
      <c r="C901" s="159"/>
    </row>
    <row r="902" spans="3:3" ht="12.75" customHeight="1">
      <c r="C902" s="159"/>
    </row>
    <row r="903" spans="3:3" ht="12.75" customHeight="1">
      <c r="C903" s="159"/>
    </row>
    <row r="904" spans="3:3" ht="12.75" customHeight="1">
      <c r="C904" s="159"/>
    </row>
    <row r="905" spans="3:3" ht="12.75" customHeight="1">
      <c r="C905" s="159"/>
    </row>
    <row r="906" spans="3:3" ht="12.75" customHeight="1">
      <c r="C906" s="159"/>
    </row>
    <row r="907" spans="3:3" ht="12.75" customHeight="1">
      <c r="C907" s="159"/>
    </row>
    <row r="908" spans="3:3" ht="12.75" customHeight="1">
      <c r="C908" s="159"/>
    </row>
    <row r="909" spans="3:3" ht="12.75" customHeight="1">
      <c r="C909" s="159"/>
    </row>
    <row r="910" spans="3:3" ht="12.75" customHeight="1">
      <c r="C910" s="159"/>
    </row>
    <row r="911" spans="3:3" ht="12.75" customHeight="1">
      <c r="C911" s="159"/>
    </row>
    <row r="912" spans="3:3" ht="12.75" customHeight="1">
      <c r="C912" s="159"/>
    </row>
    <row r="913" spans="3:3" ht="12.75" customHeight="1">
      <c r="C913" s="159"/>
    </row>
    <row r="914" spans="3:3" ht="12.75" customHeight="1">
      <c r="C914" s="159"/>
    </row>
    <row r="915" spans="3:3" ht="12.75" customHeight="1">
      <c r="C915" s="159"/>
    </row>
    <row r="916" spans="3:3" ht="12.75" customHeight="1">
      <c r="C916" s="159"/>
    </row>
    <row r="917" spans="3:3" ht="12.75" customHeight="1">
      <c r="C917" s="159"/>
    </row>
    <row r="918" spans="3:3" ht="12.75" customHeight="1">
      <c r="C918" s="159"/>
    </row>
    <row r="919" spans="3:3" ht="12.75" customHeight="1">
      <c r="C919" s="159"/>
    </row>
    <row r="920" spans="3:3" ht="12.75" customHeight="1">
      <c r="C920" s="159"/>
    </row>
    <row r="921" spans="3:3" ht="12.75" customHeight="1">
      <c r="C921" s="159"/>
    </row>
    <row r="922" spans="3:3" ht="12.75" customHeight="1">
      <c r="C922" s="159"/>
    </row>
    <row r="923" spans="3:3" ht="12.75" customHeight="1">
      <c r="C923" s="159"/>
    </row>
    <row r="924" spans="3:3" ht="12.75" customHeight="1">
      <c r="C924" s="159"/>
    </row>
    <row r="925" spans="3:3" ht="12.75" customHeight="1">
      <c r="C925" s="159"/>
    </row>
    <row r="926" spans="3:3" ht="12.75" customHeight="1">
      <c r="C926" s="159"/>
    </row>
    <row r="927" spans="3:3" ht="12.75" customHeight="1">
      <c r="C927" s="159"/>
    </row>
    <row r="928" spans="3:3" ht="12.75" customHeight="1">
      <c r="C928" s="159"/>
    </row>
    <row r="929" spans="3:3" ht="12.75" customHeight="1">
      <c r="C929" s="159"/>
    </row>
    <row r="930" spans="3:3" ht="12.75" customHeight="1">
      <c r="C930" s="159"/>
    </row>
    <row r="931" spans="3:3" ht="12.75" customHeight="1">
      <c r="C931" s="159"/>
    </row>
    <row r="932" spans="3:3" ht="12.75" customHeight="1">
      <c r="C932" s="159"/>
    </row>
    <row r="933" spans="3:3" ht="12.75" customHeight="1">
      <c r="C933" s="159"/>
    </row>
    <row r="934" spans="3:3" ht="12.75" customHeight="1">
      <c r="C934" s="159"/>
    </row>
    <row r="935" spans="3:3" ht="12.75" customHeight="1">
      <c r="C935" s="159"/>
    </row>
    <row r="936" spans="3:3" ht="12.75" customHeight="1">
      <c r="C936" s="159"/>
    </row>
    <row r="937" spans="3:3" ht="12.75" customHeight="1">
      <c r="C937" s="159"/>
    </row>
    <row r="938" spans="3:3" ht="12.75" customHeight="1">
      <c r="C938" s="159"/>
    </row>
    <row r="939" spans="3:3" ht="12.75" customHeight="1">
      <c r="C939" s="159"/>
    </row>
    <row r="940" spans="3:3" ht="12.75" customHeight="1">
      <c r="C940" s="159"/>
    </row>
    <row r="941" spans="3:3" ht="12.75" customHeight="1">
      <c r="C941" s="159"/>
    </row>
    <row r="942" spans="3:3" ht="12.75" customHeight="1">
      <c r="C942" s="159"/>
    </row>
    <row r="943" spans="3:3" ht="12.75" customHeight="1">
      <c r="C943" s="159"/>
    </row>
    <row r="944" spans="3:3" ht="12.75" customHeight="1">
      <c r="C944" s="159"/>
    </row>
    <row r="945" spans="3:3" ht="12.75" customHeight="1">
      <c r="C945" s="159"/>
    </row>
    <row r="946" spans="3:3" ht="12.75" customHeight="1">
      <c r="C946" s="159"/>
    </row>
    <row r="947" spans="3:3" ht="12.75" customHeight="1">
      <c r="C947" s="159"/>
    </row>
    <row r="948" spans="3:3" ht="12.75" customHeight="1">
      <c r="C948" s="159"/>
    </row>
    <row r="949" spans="3:3" ht="12.75" customHeight="1">
      <c r="C949" s="159"/>
    </row>
    <row r="950" spans="3:3" ht="12.75" customHeight="1">
      <c r="C950" s="159"/>
    </row>
    <row r="951" spans="3:3" ht="12.75" customHeight="1">
      <c r="C951" s="159"/>
    </row>
    <row r="952" spans="3:3" ht="12.75" customHeight="1">
      <c r="C952" s="159"/>
    </row>
    <row r="953" spans="3:3" ht="12.75" customHeight="1">
      <c r="C953" s="159"/>
    </row>
    <row r="954" spans="3:3" ht="12.75" customHeight="1">
      <c r="C954" s="159"/>
    </row>
    <row r="955" spans="3:3" ht="12.75" customHeight="1">
      <c r="C955" s="159"/>
    </row>
    <row r="956" spans="3:3" ht="12.75" customHeight="1">
      <c r="C956" s="159"/>
    </row>
    <row r="957" spans="3:3" ht="12.75" customHeight="1">
      <c r="C957" s="159"/>
    </row>
    <row r="958" spans="3:3" ht="12.75" customHeight="1">
      <c r="C958" s="159"/>
    </row>
    <row r="959" spans="3:3" ht="12.75" customHeight="1">
      <c r="C959" s="159"/>
    </row>
    <row r="960" spans="3:3" ht="12.75" customHeight="1">
      <c r="C960" s="159"/>
    </row>
    <row r="961" spans="3:3" ht="12.75" customHeight="1">
      <c r="C961" s="159"/>
    </row>
    <row r="962" spans="3:3" ht="12.75" customHeight="1">
      <c r="C962" s="159"/>
    </row>
    <row r="963" spans="3:3" ht="12.75" customHeight="1">
      <c r="C963" s="159"/>
    </row>
    <row r="964" spans="3:3" ht="12.75" customHeight="1">
      <c r="C964" s="159"/>
    </row>
    <row r="965" spans="3:3" ht="12.75" customHeight="1">
      <c r="C965" s="159"/>
    </row>
    <row r="966" spans="3:3" ht="12.75" customHeight="1">
      <c r="C966" s="159"/>
    </row>
    <row r="967" spans="3:3" ht="12.75" customHeight="1">
      <c r="C967" s="159"/>
    </row>
    <row r="968" spans="3:3" ht="12.75" customHeight="1">
      <c r="C968" s="159"/>
    </row>
    <row r="969" spans="3:3" ht="12.75" customHeight="1">
      <c r="C969" s="159"/>
    </row>
    <row r="970" spans="3:3" ht="12.75" customHeight="1">
      <c r="C970" s="159"/>
    </row>
    <row r="971" spans="3:3" ht="12.75" customHeight="1">
      <c r="C971" s="159"/>
    </row>
    <row r="972" spans="3:3" ht="12.75" customHeight="1">
      <c r="C972" s="159"/>
    </row>
    <row r="973" spans="3:3" ht="12.75" customHeight="1">
      <c r="C973" s="159"/>
    </row>
    <row r="974" spans="3:3" ht="12.75" customHeight="1">
      <c r="C974" s="159"/>
    </row>
    <row r="975" spans="3:3" ht="12.75" customHeight="1">
      <c r="C975" s="159"/>
    </row>
    <row r="976" spans="3:3" ht="12.75" customHeight="1">
      <c r="C976" s="159"/>
    </row>
    <row r="977" spans="3:3" ht="12.75" customHeight="1">
      <c r="C977" s="159"/>
    </row>
    <row r="978" spans="3:3" ht="12.75" customHeight="1">
      <c r="C978" s="159"/>
    </row>
    <row r="979" spans="3:3" ht="12.75" customHeight="1">
      <c r="C979" s="159"/>
    </row>
    <row r="980" spans="3:3" ht="12.75" customHeight="1">
      <c r="C980" s="159"/>
    </row>
    <row r="981" spans="3:3" ht="12.75" customHeight="1">
      <c r="C981" s="159"/>
    </row>
    <row r="982" spans="3:3" ht="12.75" customHeight="1">
      <c r="C982" s="159"/>
    </row>
    <row r="983" spans="3:3" ht="12.75" customHeight="1">
      <c r="C983" s="159"/>
    </row>
    <row r="984" spans="3:3" ht="12.75" customHeight="1">
      <c r="C984" s="159"/>
    </row>
    <row r="985" spans="3:3" ht="12.75" customHeight="1">
      <c r="C985" s="159"/>
    </row>
    <row r="986" spans="3:3" ht="12.75" customHeight="1">
      <c r="C986" s="159"/>
    </row>
    <row r="987" spans="3:3" ht="12.75" customHeight="1">
      <c r="C987" s="159"/>
    </row>
    <row r="988" spans="3:3" ht="12.75" customHeight="1">
      <c r="C988" s="159"/>
    </row>
    <row r="989" spans="3:3" ht="12.75" customHeight="1">
      <c r="C989" s="159"/>
    </row>
    <row r="990" spans="3:3" ht="12.75" customHeight="1">
      <c r="C990" s="159"/>
    </row>
    <row r="991" spans="3:3" ht="12.75" customHeight="1">
      <c r="C991" s="159"/>
    </row>
    <row r="992" spans="3:3" ht="12.75" customHeight="1">
      <c r="C992" s="159"/>
    </row>
  </sheetData>
  <mergeCells count="1">
    <mergeCell ref="A1:E1"/>
  </mergeCells>
  <conditionalFormatting sqref="A11:A19">
    <cfRule type="duplicateValues" dxfId="5" priority="2"/>
  </conditionalFormatting>
  <conditionalFormatting sqref="A11:A21">
    <cfRule type="duplicateValues" dxfId="4" priority="87"/>
  </conditionalFormatting>
  <conditionalFormatting sqref="A3:A21">
    <cfRule type="duplicateValues" dxfId="3" priority="89"/>
  </conditionalFormatting>
  <pageMargins left="0.511811024" right="0.511811024" top="0.78740157499999996" bottom="0.78740157499999996"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H124"/>
  <sheetViews>
    <sheetView workbookViewId="0">
      <pane ySplit="1" topLeftCell="A2" activePane="bottomLeft" state="frozen"/>
      <selection pane="bottomLeft" activeCell="I116" sqref="I2:I116"/>
    </sheetView>
  </sheetViews>
  <sheetFormatPr defaultColWidth="12.5703125" defaultRowHeight="12"/>
  <cols>
    <col min="1" max="1" width="18.28515625" style="86" bestFit="1" customWidth="1"/>
    <col min="2" max="2" width="3.85546875" style="86" bestFit="1" customWidth="1"/>
    <col min="3" max="3" width="7" style="86" bestFit="1" customWidth="1"/>
    <col min="4" max="4" width="14.85546875" style="86" bestFit="1" customWidth="1"/>
    <col min="5" max="5" width="25.7109375" style="86" bestFit="1" customWidth="1"/>
    <col min="6" max="6" width="16.5703125" style="86" bestFit="1" customWidth="1"/>
    <col min="7" max="7" width="12" style="86" bestFit="1" customWidth="1"/>
    <col min="8" max="8" width="11.85546875" style="86" bestFit="1" customWidth="1"/>
    <col min="9" max="9" width="24.140625" style="86" bestFit="1" customWidth="1"/>
    <col min="10" max="10" width="65.140625" style="86" customWidth="1"/>
    <col min="11" max="11" width="70.28515625" style="86" customWidth="1"/>
    <col min="12" max="12" width="57.140625" style="86" bestFit="1" customWidth="1"/>
    <col min="13" max="13" width="82.7109375" style="86" customWidth="1"/>
    <col min="14" max="14" width="39.7109375" style="86" bestFit="1" customWidth="1"/>
    <col min="15" max="15" width="18.42578125" style="86" bestFit="1" customWidth="1"/>
    <col min="16" max="16" width="45.85546875" style="86" bestFit="1" customWidth="1"/>
    <col min="17" max="17" width="18.42578125" style="86" bestFit="1" customWidth="1"/>
    <col min="18" max="18" width="99" style="86" bestFit="1" customWidth="1"/>
    <col min="19" max="19" width="13.5703125" style="86" bestFit="1" customWidth="1"/>
    <col min="20" max="20" width="44.42578125" style="86" bestFit="1" customWidth="1"/>
    <col min="21" max="21" width="127.140625" style="86" bestFit="1" customWidth="1"/>
    <col min="22" max="22" width="25.5703125" style="86" bestFit="1" customWidth="1"/>
    <col min="23" max="23" width="96.7109375" style="86" bestFit="1" customWidth="1"/>
    <col min="24" max="24" width="11.28515625" style="86" bestFit="1" customWidth="1"/>
    <col min="25" max="25" width="16.85546875" style="86" bestFit="1" customWidth="1"/>
    <col min="26" max="26" width="90.5703125" style="86" bestFit="1" customWidth="1"/>
    <col min="27" max="27" width="34.85546875" style="86" bestFit="1" customWidth="1"/>
    <col min="28" max="28" width="14.140625" style="86" bestFit="1" customWidth="1"/>
    <col min="29" max="29" width="23.28515625" style="86" bestFit="1" customWidth="1"/>
    <col min="30" max="30" width="31" style="86" bestFit="1" customWidth="1"/>
    <col min="31" max="31" width="40.5703125" style="86" bestFit="1" customWidth="1"/>
    <col min="32" max="32" width="54.7109375" style="86" bestFit="1" customWidth="1"/>
    <col min="33" max="33" width="13.140625" style="86" bestFit="1" customWidth="1"/>
    <col min="34" max="16384" width="12.5703125" style="86"/>
  </cols>
  <sheetData>
    <row r="1" spans="1:33">
      <c r="A1" s="85" t="s">
        <v>70</v>
      </c>
      <c r="B1" s="85" t="s">
        <v>72</v>
      </c>
      <c r="C1" s="85" t="s">
        <v>73</v>
      </c>
      <c r="D1" s="85" t="s">
        <v>74</v>
      </c>
      <c r="E1" s="85" t="s">
        <v>75</v>
      </c>
      <c r="F1" s="85" t="s">
        <v>76</v>
      </c>
      <c r="G1" s="85" t="s">
        <v>77</v>
      </c>
      <c r="H1" s="85" t="s">
        <v>78</v>
      </c>
      <c r="I1" s="85" t="s">
        <v>79</v>
      </c>
      <c r="J1" s="85" t="s">
        <v>80</v>
      </c>
      <c r="K1" s="85" t="s">
        <v>550</v>
      </c>
      <c r="L1" s="85" t="s">
        <v>82</v>
      </c>
      <c r="M1" s="85" t="s">
        <v>83</v>
      </c>
      <c r="N1" s="85" t="s">
        <v>84</v>
      </c>
      <c r="O1" s="85" t="s">
        <v>85</v>
      </c>
      <c r="P1" s="85" t="s">
        <v>86</v>
      </c>
      <c r="Q1" s="85" t="s">
        <v>87</v>
      </c>
      <c r="R1" s="85" t="s">
        <v>88</v>
      </c>
      <c r="S1" s="85" t="s">
        <v>89</v>
      </c>
      <c r="T1" s="85" t="s">
        <v>90</v>
      </c>
      <c r="U1" s="85" t="s">
        <v>91</v>
      </c>
      <c r="V1" s="85" t="s">
        <v>92</v>
      </c>
      <c r="W1" s="85" t="s">
        <v>93</v>
      </c>
      <c r="X1" s="85" t="s">
        <v>94</v>
      </c>
      <c r="Y1" s="85" t="s">
        <v>95</v>
      </c>
      <c r="Z1" s="85" t="s">
        <v>96</v>
      </c>
      <c r="AA1" s="85" t="s">
        <v>97</v>
      </c>
      <c r="AB1" s="85" t="s">
        <v>98</v>
      </c>
      <c r="AC1" s="85" t="s">
        <v>99</v>
      </c>
      <c r="AD1" s="85" t="s">
        <v>100</v>
      </c>
      <c r="AE1" s="85" t="s">
        <v>101</v>
      </c>
      <c r="AF1" s="85" t="s">
        <v>103</v>
      </c>
      <c r="AG1" s="85" t="s">
        <v>104</v>
      </c>
    </row>
    <row r="2" spans="1:33" ht="36">
      <c r="A2" s="87">
        <v>45007</v>
      </c>
      <c r="B2" s="88" t="s">
        <v>105</v>
      </c>
      <c r="C2" s="88" t="s">
        <v>106</v>
      </c>
      <c r="D2" s="88" t="s">
        <v>107</v>
      </c>
      <c r="E2" s="89" t="s">
        <v>551</v>
      </c>
      <c r="F2" s="88" t="s">
        <v>109</v>
      </c>
      <c r="G2" s="88" t="s">
        <v>110</v>
      </c>
      <c r="H2" s="88" t="s">
        <v>111</v>
      </c>
      <c r="I2" s="90" t="s">
        <v>552</v>
      </c>
      <c r="J2" s="89" t="s">
        <v>553</v>
      </c>
      <c r="K2" s="90" t="s">
        <v>554</v>
      </c>
      <c r="L2" s="90" t="s">
        <v>555</v>
      </c>
      <c r="M2" s="88" t="s">
        <v>556</v>
      </c>
      <c r="N2" s="88" t="s">
        <v>557</v>
      </c>
      <c r="O2" s="90" t="s">
        <v>558</v>
      </c>
      <c r="P2" s="88" t="s">
        <v>559</v>
      </c>
      <c r="Q2" s="88" t="s">
        <v>560</v>
      </c>
      <c r="R2" s="91" t="s">
        <v>560</v>
      </c>
      <c r="S2" s="88" t="s">
        <v>560</v>
      </c>
      <c r="T2" s="88" t="s">
        <v>560</v>
      </c>
      <c r="U2" s="88" t="s">
        <v>560</v>
      </c>
      <c r="V2" s="88" t="s">
        <v>560</v>
      </c>
      <c r="W2" s="88" t="s">
        <v>560</v>
      </c>
      <c r="X2" s="88" t="s">
        <v>109</v>
      </c>
      <c r="Y2" s="88" t="s">
        <v>560</v>
      </c>
      <c r="Z2" s="88" t="s">
        <v>561</v>
      </c>
      <c r="AA2" s="91" t="s">
        <v>51</v>
      </c>
      <c r="AB2" s="90" t="s">
        <v>562</v>
      </c>
      <c r="AC2" s="88" t="s">
        <v>560</v>
      </c>
      <c r="AD2" s="88" t="s">
        <v>560</v>
      </c>
      <c r="AE2" s="90" t="s">
        <v>562</v>
      </c>
      <c r="AF2" s="92" t="s">
        <v>138</v>
      </c>
      <c r="AG2" s="88" t="s">
        <v>563</v>
      </c>
    </row>
    <row r="3" spans="1:33" ht="36">
      <c r="A3" s="87">
        <v>45015</v>
      </c>
      <c r="B3" s="91" t="s">
        <v>139</v>
      </c>
      <c r="C3" s="91" t="s">
        <v>106</v>
      </c>
      <c r="D3" s="91" t="s">
        <v>107</v>
      </c>
      <c r="E3" s="93" t="s">
        <v>551</v>
      </c>
      <c r="F3" s="91" t="s">
        <v>109</v>
      </c>
      <c r="G3" s="91" t="s">
        <v>110</v>
      </c>
      <c r="H3" s="91" t="s">
        <v>111</v>
      </c>
      <c r="I3" s="94" t="s">
        <v>564</v>
      </c>
      <c r="J3" s="93" t="s">
        <v>553</v>
      </c>
      <c r="K3" s="94" t="s">
        <v>565</v>
      </c>
      <c r="L3" s="94" t="s">
        <v>566</v>
      </c>
      <c r="M3" s="91" t="s">
        <v>567</v>
      </c>
      <c r="N3" s="91" t="s">
        <v>568</v>
      </c>
      <c r="O3" s="94" t="s">
        <v>155</v>
      </c>
      <c r="P3" s="91" t="s">
        <v>569</v>
      </c>
      <c r="Q3" s="91" t="s">
        <v>560</v>
      </c>
      <c r="R3" s="91" t="s">
        <v>560</v>
      </c>
      <c r="S3" s="91" t="s">
        <v>560</v>
      </c>
      <c r="T3" s="91" t="s">
        <v>560</v>
      </c>
      <c r="U3" s="91" t="s">
        <v>560</v>
      </c>
      <c r="V3" s="91" t="s">
        <v>560</v>
      </c>
      <c r="W3" s="91" t="s">
        <v>560</v>
      </c>
      <c r="X3" s="91" t="s">
        <v>109</v>
      </c>
      <c r="Y3" s="91" t="s">
        <v>560</v>
      </c>
      <c r="Z3" s="94" t="s">
        <v>570</v>
      </c>
      <c r="AA3" s="91" t="s">
        <v>51</v>
      </c>
      <c r="AB3" s="95">
        <v>87638.97</v>
      </c>
      <c r="AC3" s="91" t="s">
        <v>560</v>
      </c>
      <c r="AD3" s="91" t="s">
        <v>560</v>
      </c>
      <c r="AE3" s="95">
        <v>87638.97</v>
      </c>
      <c r="AF3" s="96" t="s">
        <v>138</v>
      </c>
      <c r="AG3" s="91" t="s">
        <v>563</v>
      </c>
    </row>
    <row r="4" spans="1:33" ht="36">
      <c r="A4" s="87">
        <v>44958</v>
      </c>
      <c r="B4" s="91" t="s">
        <v>139</v>
      </c>
      <c r="C4" s="91" t="s">
        <v>106</v>
      </c>
      <c r="D4" s="91" t="s">
        <v>107</v>
      </c>
      <c r="E4" s="93" t="s">
        <v>551</v>
      </c>
      <c r="F4" s="91" t="s">
        <v>109</v>
      </c>
      <c r="G4" s="91" t="s">
        <v>110</v>
      </c>
      <c r="H4" s="91" t="s">
        <v>111</v>
      </c>
      <c r="I4" s="91" t="s">
        <v>571</v>
      </c>
      <c r="J4" s="93" t="s">
        <v>553</v>
      </c>
      <c r="K4" s="94" t="s">
        <v>572</v>
      </c>
      <c r="L4" s="94" t="s">
        <v>573</v>
      </c>
      <c r="M4" s="94" t="s">
        <v>567</v>
      </c>
      <c r="N4" s="91" t="s">
        <v>574</v>
      </c>
      <c r="O4" s="91" t="s">
        <v>575</v>
      </c>
      <c r="P4" s="91" t="s">
        <v>576</v>
      </c>
      <c r="Q4" s="91" t="s">
        <v>560</v>
      </c>
      <c r="R4" s="91" t="s">
        <v>560</v>
      </c>
      <c r="S4" s="91" t="s">
        <v>560</v>
      </c>
      <c r="T4" s="91" t="s">
        <v>560</v>
      </c>
      <c r="U4" s="91" t="s">
        <v>560</v>
      </c>
      <c r="V4" s="91" t="s">
        <v>560</v>
      </c>
      <c r="W4" s="91" t="s">
        <v>560</v>
      </c>
      <c r="X4" s="91" t="s">
        <v>109</v>
      </c>
      <c r="Y4" s="91" t="s">
        <v>560</v>
      </c>
      <c r="Z4" s="91" t="s">
        <v>577</v>
      </c>
      <c r="AA4" s="91" t="s">
        <v>51</v>
      </c>
      <c r="AB4" s="97">
        <v>24111.73</v>
      </c>
      <c r="AC4" s="91" t="s">
        <v>560</v>
      </c>
      <c r="AD4" s="91" t="s">
        <v>560</v>
      </c>
      <c r="AE4" s="97">
        <v>24111.73</v>
      </c>
      <c r="AF4" s="96" t="s">
        <v>138</v>
      </c>
      <c r="AG4" s="91" t="s">
        <v>563</v>
      </c>
    </row>
    <row r="5" spans="1:33" ht="36">
      <c r="A5" s="87">
        <v>44937</v>
      </c>
      <c r="B5" s="91" t="s">
        <v>105</v>
      </c>
      <c r="C5" s="91" t="s">
        <v>106</v>
      </c>
      <c r="D5" s="91" t="s">
        <v>107</v>
      </c>
      <c r="E5" s="93" t="s">
        <v>551</v>
      </c>
      <c r="F5" s="91" t="s">
        <v>109</v>
      </c>
      <c r="G5" s="91" t="s">
        <v>110</v>
      </c>
      <c r="H5" s="91" t="s">
        <v>111</v>
      </c>
      <c r="I5" s="91" t="s">
        <v>578</v>
      </c>
      <c r="J5" s="93" t="s">
        <v>553</v>
      </c>
      <c r="K5" s="94" t="s">
        <v>579</v>
      </c>
      <c r="L5" s="91" t="s">
        <v>580</v>
      </c>
      <c r="M5" s="94" t="s">
        <v>581</v>
      </c>
      <c r="N5" s="91" t="s">
        <v>582</v>
      </c>
      <c r="O5" s="94" t="s">
        <v>583</v>
      </c>
      <c r="P5" s="91" t="s">
        <v>584</v>
      </c>
      <c r="Q5" s="91" t="s">
        <v>560</v>
      </c>
      <c r="R5" s="91" t="s">
        <v>560</v>
      </c>
      <c r="S5" s="91" t="s">
        <v>560</v>
      </c>
      <c r="T5" s="91" t="s">
        <v>560</v>
      </c>
      <c r="U5" s="91" t="s">
        <v>560</v>
      </c>
      <c r="V5" s="91" t="s">
        <v>560</v>
      </c>
      <c r="W5" s="91" t="s">
        <v>560</v>
      </c>
      <c r="X5" s="91" t="s">
        <v>109</v>
      </c>
      <c r="Y5" s="91" t="s">
        <v>560</v>
      </c>
      <c r="Z5" s="91" t="s">
        <v>577</v>
      </c>
      <c r="AA5" s="91" t="s">
        <v>51</v>
      </c>
      <c r="AB5" s="98">
        <v>44583.14</v>
      </c>
      <c r="AC5" s="91" t="s">
        <v>560</v>
      </c>
      <c r="AD5" s="91" t="s">
        <v>560</v>
      </c>
      <c r="AE5" s="98">
        <v>44583.14</v>
      </c>
      <c r="AF5" s="96" t="s">
        <v>138</v>
      </c>
      <c r="AG5" s="91" t="s">
        <v>563</v>
      </c>
    </row>
    <row r="6" spans="1:33" ht="36">
      <c r="A6" s="87">
        <v>45044</v>
      </c>
      <c r="B6" s="91" t="s">
        <v>139</v>
      </c>
      <c r="C6" s="91" t="s">
        <v>106</v>
      </c>
      <c r="D6" s="91" t="s">
        <v>107</v>
      </c>
      <c r="E6" s="93" t="s">
        <v>551</v>
      </c>
      <c r="F6" s="91" t="s">
        <v>109</v>
      </c>
      <c r="G6" s="91" t="s">
        <v>110</v>
      </c>
      <c r="H6" s="91" t="s">
        <v>111</v>
      </c>
      <c r="I6" s="90" t="s">
        <v>585</v>
      </c>
      <c r="J6" s="93" t="s">
        <v>553</v>
      </c>
      <c r="K6" s="94" t="s">
        <v>586</v>
      </c>
      <c r="L6" s="94" t="s">
        <v>114</v>
      </c>
      <c r="M6" s="94" t="s">
        <v>587</v>
      </c>
      <c r="N6" s="91" t="s">
        <v>588</v>
      </c>
      <c r="O6" s="94" t="s">
        <v>589</v>
      </c>
      <c r="P6" s="91" t="s">
        <v>590</v>
      </c>
      <c r="Q6" s="91" t="s">
        <v>560</v>
      </c>
      <c r="R6" s="91" t="s">
        <v>560</v>
      </c>
      <c r="S6" s="91" t="s">
        <v>560</v>
      </c>
      <c r="T6" s="91" t="s">
        <v>560</v>
      </c>
      <c r="U6" s="91" t="s">
        <v>560</v>
      </c>
      <c r="V6" s="91" t="s">
        <v>560</v>
      </c>
      <c r="W6" s="91" t="s">
        <v>560</v>
      </c>
      <c r="X6" s="91" t="s">
        <v>109</v>
      </c>
      <c r="Y6" s="91" t="s">
        <v>560</v>
      </c>
      <c r="Z6" s="94" t="s">
        <v>591</v>
      </c>
      <c r="AA6" s="91" t="s">
        <v>592</v>
      </c>
      <c r="AB6" s="95" t="s">
        <v>593</v>
      </c>
      <c r="AC6" s="91" t="s">
        <v>560</v>
      </c>
      <c r="AD6" s="91" t="s">
        <v>560</v>
      </c>
      <c r="AE6" s="95" t="s">
        <v>593</v>
      </c>
      <c r="AF6" s="96" t="s">
        <v>138</v>
      </c>
      <c r="AG6" s="91" t="s">
        <v>563</v>
      </c>
    </row>
    <row r="7" spans="1:33" ht="36">
      <c r="A7" s="87">
        <v>44693</v>
      </c>
      <c r="B7" s="99" t="s">
        <v>139</v>
      </c>
      <c r="C7" s="88" t="s">
        <v>106</v>
      </c>
      <c r="D7" s="88" t="s">
        <v>107</v>
      </c>
      <c r="E7" s="99" t="s">
        <v>551</v>
      </c>
      <c r="F7" s="88" t="s">
        <v>109</v>
      </c>
      <c r="G7" s="88" t="s">
        <v>110</v>
      </c>
      <c r="H7" s="88" t="s">
        <v>111</v>
      </c>
      <c r="I7" s="88" t="s">
        <v>594</v>
      </c>
      <c r="J7" s="100" t="s">
        <v>595</v>
      </c>
      <c r="K7" s="88" t="s">
        <v>596</v>
      </c>
      <c r="L7" s="99" t="s">
        <v>597</v>
      </c>
      <c r="M7" s="90" t="s">
        <v>598</v>
      </c>
      <c r="N7" s="88" t="s">
        <v>599</v>
      </c>
      <c r="O7" s="99" t="s">
        <v>450</v>
      </c>
      <c r="P7" s="88" t="s">
        <v>600</v>
      </c>
      <c r="Q7" s="88" t="s">
        <v>560</v>
      </c>
      <c r="R7" s="88" t="s">
        <v>560</v>
      </c>
      <c r="S7" s="88" t="s">
        <v>560</v>
      </c>
      <c r="T7" s="88" t="s">
        <v>560</v>
      </c>
      <c r="U7" s="88" t="s">
        <v>560</v>
      </c>
      <c r="V7" s="88" t="s">
        <v>560</v>
      </c>
      <c r="W7" s="88" t="s">
        <v>560</v>
      </c>
      <c r="X7" s="88" t="s">
        <v>109</v>
      </c>
      <c r="Y7" s="88" t="s">
        <v>560</v>
      </c>
      <c r="Z7" s="91" t="s">
        <v>577</v>
      </c>
      <c r="AA7" s="91" t="s">
        <v>51</v>
      </c>
      <c r="AB7" s="88" t="s">
        <v>601</v>
      </c>
      <c r="AC7" s="88" t="s">
        <v>560</v>
      </c>
      <c r="AD7" s="88" t="s">
        <v>560</v>
      </c>
      <c r="AE7" s="101">
        <v>0</v>
      </c>
      <c r="AF7" s="92" t="s">
        <v>311</v>
      </c>
      <c r="AG7" s="88" t="s">
        <v>563</v>
      </c>
    </row>
    <row r="8" spans="1:33" ht="24">
      <c r="A8" s="87">
        <v>44756</v>
      </c>
      <c r="B8" s="99" t="s">
        <v>139</v>
      </c>
      <c r="C8" s="88" t="s">
        <v>106</v>
      </c>
      <c r="D8" s="88" t="s">
        <v>107</v>
      </c>
      <c r="E8" s="99" t="s">
        <v>551</v>
      </c>
      <c r="F8" s="88" t="s">
        <v>109</v>
      </c>
      <c r="G8" s="88" t="s">
        <v>110</v>
      </c>
      <c r="H8" s="88" t="s">
        <v>111</v>
      </c>
      <c r="I8" s="88" t="s">
        <v>602</v>
      </c>
      <c r="J8" s="100" t="s">
        <v>603</v>
      </c>
      <c r="K8" s="88" t="s">
        <v>604</v>
      </c>
      <c r="L8" s="99" t="s">
        <v>605</v>
      </c>
      <c r="M8" s="90" t="s">
        <v>598</v>
      </c>
      <c r="N8" s="88" t="s">
        <v>599</v>
      </c>
      <c r="O8" s="99" t="s">
        <v>155</v>
      </c>
      <c r="P8" s="88" t="s">
        <v>606</v>
      </c>
      <c r="Q8" s="88" t="s">
        <v>560</v>
      </c>
      <c r="R8" s="88" t="s">
        <v>560</v>
      </c>
      <c r="S8" s="88" t="s">
        <v>560</v>
      </c>
      <c r="T8" s="88" t="s">
        <v>560</v>
      </c>
      <c r="U8" s="88" t="s">
        <v>560</v>
      </c>
      <c r="V8" s="88" t="s">
        <v>560</v>
      </c>
      <c r="W8" s="88" t="s">
        <v>560</v>
      </c>
      <c r="X8" s="88" t="s">
        <v>109</v>
      </c>
      <c r="Y8" s="88" t="s">
        <v>560</v>
      </c>
      <c r="Z8" s="91" t="s">
        <v>577</v>
      </c>
      <c r="AA8" s="91" t="s">
        <v>51</v>
      </c>
      <c r="AB8" s="88" t="s">
        <v>607</v>
      </c>
      <c r="AC8" s="88" t="s">
        <v>560</v>
      </c>
      <c r="AD8" s="88" t="s">
        <v>560</v>
      </c>
      <c r="AE8" s="101" t="s">
        <v>607</v>
      </c>
      <c r="AF8" s="92" t="s">
        <v>311</v>
      </c>
      <c r="AG8" s="88" t="s">
        <v>563</v>
      </c>
    </row>
    <row r="9" spans="1:33" ht="36">
      <c r="A9" s="87">
        <v>44516</v>
      </c>
      <c r="B9" s="99" t="s">
        <v>139</v>
      </c>
      <c r="C9" s="88" t="s">
        <v>106</v>
      </c>
      <c r="D9" s="88" t="s">
        <v>107</v>
      </c>
      <c r="E9" s="99" t="s">
        <v>551</v>
      </c>
      <c r="F9" s="88" t="s">
        <v>109</v>
      </c>
      <c r="G9" s="88" t="s">
        <v>110</v>
      </c>
      <c r="H9" s="88" t="s">
        <v>111</v>
      </c>
      <c r="I9" s="88" t="s">
        <v>608</v>
      </c>
      <c r="J9" s="93" t="s">
        <v>609</v>
      </c>
      <c r="K9" s="88" t="s">
        <v>610</v>
      </c>
      <c r="L9" s="99" t="s">
        <v>279</v>
      </c>
      <c r="M9" s="90" t="s">
        <v>611</v>
      </c>
      <c r="N9" s="88" t="s">
        <v>612</v>
      </c>
      <c r="O9" s="99" t="s">
        <v>613</v>
      </c>
      <c r="P9" s="88" t="s">
        <v>614</v>
      </c>
      <c r="Q9" s="88" t="s">
        <v>560</v>
      </c>
      <c r="R9" s="88" t="s">
        <v>560</v>
      </c>
      <c r="S9" s="88" t="s">
        <v>560</v>
      </c>
      <c r="T9" s="88" t="s">
        <v>560</v>
      </c>
      <c r="U9" s="88" t="s">
        <v>560</v>
      </c>
      <c r="V9" s="88" t="s">
        <v>560</v>
      </c>
      <c r="W9" s="88" t="s">
        <v>560</v>
      </c>
      <c r="X9" s="88" t="s">
        <v>109</v>
      </c>
      <c r="Y9" s="88" t="s">
        <v>560</v>
      </c>
      <c r="Z9" s="91" t="s">
        <v>577</v>
      </c>
      <c r="AA9" s="91" t="s">
        <v>51</v>
      </c>
      <c r="AB9" s="88" t="s">
        <v>615</v>
      </c>
      <c r="AC9" s="88" t="s">
        <v>560</v>
      </c>
      <c r="AD9" s="88" t="s">
        <v>560</v>
      </c>
      <c r="AE9" s="101" t="s">
        <v>615</v>
      </c>
      <c r="AF9" s="92" t="s">
        <v>311</v>
      </c>
      <c r="AG9" s="88" t="s">
        <v>563</v>
      </c>
    </row>
    <row r="10" spans="1:33" ht="36">
      <c r="A10" s="87">
        <v>45254</v>
      </c>
      <c r="B10" s="90" t="s">
        <v>139</v>
      </c>
      <c r="C10" s="90" t="s">
        <v>106</v>
      </c>
      <c r="D10" s="90" t="s">
        <v>107</v>
      </c>
      <c r="E10" s="89" t="s">
        <v>551</v>
      </c>
      <c r="F10" s="90" t="s">
        <v>109</v>
      </c>
      <c r="G10" s="90" t="s">
        <v>110</v>
      </c>
      <c r="H10" s="90" t="s">
        <v>111</v>
      </c>
      <c r="I10" s="90" t="s">
        <v>616</v>
      </c>
      <c r="J10" s="89" t="s">
        <v>617</v>
      </c>
      <c r="K10" s="90" t="s">
        <v>618</v>
      </c>
      <c r="L10" s="90" t="s">
        <v>619</v>
      </c>
      <c r="M10" s="90" t="s">
        <v>598</v>
      </c>
      <c r="N10" s="90" t="s">
        <v>620</v>
      </c>
      <c r="O10" s="90" t="s">
        <v>155</v>
      </c>
      <c r="P10" s="90" t="s">
        <v>621</v>
      </c>
      <c r="Q10" s="90" t="s">
        <v>560</v>
      </c>
      <c r="R10" s="90" t="s">
        <v>560</v>
      </c>
      <c r="S10" s="90" t="s">
        <v>560</v>
      </c>
      <c r="T10" s="90" t="s">
        <v>560</v>
      </c>
      <c r="U10" s="90" t="s">
        <v>560</v>
      </c>
      <c r="V10" s="90" t="s">
        <v>560</v>
      </c>
      <c r="W10" s="90" t="s">
        <v>560</v>
      </c>
      <c r="X10" s="90" t="s">
        <v>109</v>
      </c>
      <c r="Y10" s="90" t="s">
        <v>560</v>
      </c>
      <c r="Z10" s="88" t="s">
        <v>577</v>
      </c>
      <c r="AA10" s="91" t="s">
        <v>51</v>
      </c>
      <c r="AB10" s="102">
        <v>45254</v>
      </c>
      <c r="AC10" s="90" t="s">
        <v>560</v>
      </c>
      <c r="AD10" s="90" t="s">
        <v>560</v>
      </c>
      <c r="AE10" s="102">
        <v>45254</v>
      </c>
      <c r="AF10" s="103" t="s">
        <v>311</v>
      </c>
      <c r="AG10" s="90" t="s">
        <v>563</v>
      </c>
    </row>
    <row r="11" spans="1:33" ht="36">
      <c r="A11" s="104">
        <v>44942</v>
      </c>
      <c r="B11" s="105" t="s">
        <v>105</v>
      </c>
      <c r="C11" s="105" t="s">
        <v>106</v>
      </c>
      <c r="D11" s="105" t="s">
        <v>107</v>
      </c>
      <c r="E11" s="106" t="s">
        <v>551</v>
      </c>
      <c r="F11" s="105" t="s">
        <v>109</v>
      </c>
      <c r="G11" s="105" t="s">
        <v>110</v>
      </c>
      <c r="H11" s="105" t="s">
        <v>111</v>
      </c>
      <c r="I11" s="105" t="s">
        <v>622</v>
      </c>
      <c r="J11" s="107" t="s">
        <v>162</v>
      </c>
      <c r="K11" s="108" t="s">
        <v>623</v>
      </c>
      <c r="L11" s="108" t="s">
        <v>114</v>
      </c>
      <c r="M11" s="107" t="s">
        <v>624</v>
      </c>
      <c r="N11" s="105" t="s">
        <v>625</v>
      </c>
      <c r="O11" s="105" t="s">
        <v>589</v>
      </c>
      <c r="P11" s="105" t="s">
        <v>626</v>
      </c>
      <c r="Q11" s="105" t="s">
        <v>560</v>
      </c>
      <c r="R11" s="108" t="s">
        <v>560</v>
      </c>
      <c r="S11" s="105" t="s">
        <v>560</v>
      </c>
      <c r="T11" s="105" t="s">
        <v>560</v>
      </c>
      <c r="U11" s="105" t="s">
        <v>560</v>
      </c>
      <c r="V11" s="105" t="s">
        <v>560</v>
      </c>
      <c r="W11" s="105" t="s">
        <v>560</v>
      </c>
      <c r="X11" s="105" t="s">
        <v>109</v>
      </c>
      <c r="Y11" s="105" t="s">
        <v>560</v>
      </c>
      <c r="Z11" s="105" t="s">
        <v>577</v>
      </c>
      <c r="AA11" s="91" t="s">
        <v>51</v>
      </c>
      <c r="AB11" s="105" t="s">
        <v>627</v>
      </c>
      <c r="AC11" s="105" t="s">
        <v>560</v>
      </c>
      <c r="AD11" s="105" t="s">
        <v>628</v>
      </c>
      <c r="AE11" s="105" t="s">
        <v>627</v>
      </c>
      <c r="AF11" s="109" t="s">
        <v>629</v>
      </c>
      <c r="AG11" s="105" t="s">
        <v>563</v>
      </c>
    </row>
    <row r="12" spans="1:33" ht="36">
      <c r="A12" s="110">
        <v>45218</v>
      </c>
      <c r="B12" s="88" t="s">
        <v>139</v>
      </c>
      <c r="C12" s="88" t="s">
        <v>106</v>
      </c>
      <c r="D12" s="88" t="s">
        <v>107</v>
      </c>
      <c r="E12" s="89" t="s">
        <v>108</v>
      </c>
      <c r="F12" s="88" t="s">
        <v>109</v>
      </c>
      <c r="G12" s="88" t="s">
        <v>110</v>
      </c>
      <c r="H12" s="88" t="s">
        <v>111</v>
      </c>
      <c r="I12" s="90" t="s">
        <v>630</v>
      </c>
      <c r="J12" s="89" t="s">
        <v>631</v>
      </c>
      <c r="K12" s="90" t="s">
        <v>632</v>
      </c>
      <c r="L12" s="89" t="s">
        <v>633</v>
      </c>
      <c r="M12" s="90" t="s">
        <v>634</v>
      </c>
      <c r="N12" s="88" t="s">
        <v>374</v>
      </c>
      <c r="O12" s="90" t="s">
        <v>155</v>
      </c>
      <c r="P12" s="88" t="s">
        <v>635</v>
      </c>
      <c r="Q12" s="88" t="s">
        <v>560</v>
      </c>
      <c r="R12" s="88" t="s">
        <v>560</v>
      </c>
      <c r="S12" s="88" t="s">
        <v>560</v>
      </c>
      <c r="T12" s="88" t="s">
        <v>560</v>
      </c>
      <c r="U12" s="88" t="s">
        <v>560</v>
      </c>
      <c r="V12" s="88" t="s">
        <v>560</v>
      </c>
      <c r="W12" s="88" t="s">
        <v>560</v>
      </c>
      <c r="X12" s="88" t="s">
        <v>109</v>
      </c>
      <c r="Y12" s="88" t="s">
        <v>560</v>
      </c>
      <c r="Z12" s="88" t="s">
        <v>577</v>
      </c>
      <c r="AA12" s="91" t="s">
        <v>51</v>
      </c>
      <c r="AB12" s="102" t="s">
        <v>636</v>
      </c>
      <c r="AC12" s="88" t="s">
        <v>560</v>
      </c>
      <c r="AD12" s="88" t="s">
        <v>560</v>
      </c>
      <c r="AE12" s="102" t="s">
        <v>636</v>
      </c>
      <c r="AF12" s="92" t="s">
        <v>311</v>
      </c>
      <c r="AG12" s="88" t="s">
        <v>563</v>
      </c>
    </row>
    <row r="13" spans="1:33" ht="36">
      <c r="A13" s="111">
        <v>45076</v>
      </c>
      <c r="B13" s="88" t="s">
        <v>139</v>
      </c>
      <c r="C13" s="88" t="s">
        <v>106</v>
      </c>
      <c r="D13" s="88" t="s">
        <v>107</v>
      </c>
      <c r="E13" s="89" t="s">
        <v>108</v>
      </c>
      <c r="F13" s="88" t="s">
        <v>109</v>
      </c>
      <c r="G13" s="88" t="s">
        <v>110</v>
      </c>
      <c r="H13" s="88" t="s">
        <v>111</v>
      </c>
      <c r="I13" s="90" t="s">
        <v>637</v>
      </c>
      <c r="J13" s="89" t="s">
        <v>162</v>
      </c>
      <c r="K13" s="90" t="s">
        <v>638</v>
      </c>
      <c r="L13" s="90" t="s">
        <v>114</v>
      </c>
      <c r="M13" s="89" t="s">
        <v>639</v>
      </c>
      <c r="N13" s="88" t="s">
        <v>588</v>
      </c>
      <c r="O13" s="105" t="s">
        <v>589</v>
      </c>
      <c r="P13" s="88" t="s">
        <v>590</v>
      </c>
      <c r="Q13" s="88" t="s">
        <v>560</v>
      </c>
      <c r="R13" s="88" t="s">
        <v>640</v>
      </c>
      <c r="S13" s="88" t="s">
        <v>560</v>
      </c>
      <c r="T13" s="88" t="s">
        <v>560</v>
      </c>
      <c r="U13" s="88" t="s">
        <v>560</v>
      </c>
      <c r="V13" s="88" t="s">
        <v>560</v>
      </c>
      <c r="W13" s="88" t="s">
        <v>560</v>
      </c>
      <c r="X13" s="88" t="s">
        <v>109</v>
      </c>
      <c r="Y13" s="88" t="s">
        <v>560</v>
      </c>
      <c r="Z13" s="88" t="s">
        <v>577</v>
      </c>
      <c r="AA13" s="91" t="s">
        <v>51</v>
      </c>
      <c r="AB13" s="102" t="s">
        <v>641</v>
      </c>
      <c r="AC13" s="88" t="s">
        <v>560</v>
      </c>
      <c r="AD13" s="88" t="s">
        <v>560</v>
      </c>
      <c r="AE13" s="112">
        <v>0</v>
      </c>
      <c r="AF13" s="92" t="s">
        <v>629</v>
      </c>
      <c r="AG13" s="88" t="s">
        <v>563</v>
      </c>
    </row>
    <row r="14" spans="1:33" ht="36">
      <c r="A14" s="113">
        <v>44888</v>
      </c>
      <c r="B14" s="91" t="s">
        <v>105</v>
      </c>
      <c r="C14" s="91" t="s">
        <v>106</v>
      </c>
      <c r="D14" s="91" t="s">
        <v>107</v>
      </c>
      <c r="E14" s="93" t="s">
        <v>108</v>
      </c>
      <c r="F14" s="91" t="s">
        <v>109</v>
      </c>
      <c r="G14" s="91" t="s">
        <v>110</v>
      </c>
      <c r="H14" s="91" t="s">
        <v>111</v>
      </c>
      <c r="I14" s="90" t="s">
        <v>642</v>
      </c>
      <c r="J14" s="93" t="s">
        <v>162</v>
      </c>
      <c r="K14" s="90" t="s">
        <v>643</v>
      </c>
      <c r="L14" s="94" t="s">
        <v>114</v>
      </c>
      <c r="M14" s="93" t="s">
        <v>644</v>
      </c>
      <c r="N14" s="91" t="s">
        <v>219</v>
      </c>
      <c r="O14" s="94" t="s">
        <v>116</v>
      </c>
      <c r="P14" s="91" t="s">
        <v>645</v>
      </c>
      <c r="Q14" s="91" t="s">
        <v>560</v>
      </c>
      <c r="R14" s="91" t="s">
        <v>213</v>
      </c>
      <c r="S14" s="91" t="s">
        <v>560</v>
      </c>
      <c r="T14" s="91" t="s">
        <v>560</v>
      </c>
      <c r="U14" s="91" t="s">
        <v>560</v>
      </c>
      <c r="V14" s="91" t="s">
        <v>560</v>
      </c>
      <c r="W14" s="91" t="s">
        <v>560</v>
      </c>
      <c r="X14" s="91" t="s">
        <v>109</v>
      </c>
      <c r="Y14" s="91" t="s">
        <v>560</v>
      </c>
      <c r="Z14" s="114" t="s">
        <v>646</v>
      </c>
      <c r="AA14" s="91" t="s">
        <v>646</v>
      </c>
      <c r="AB14" s="95">
        <v>122765.19</v>
      </c>
      <c r="AC14" s="91" t="s">
        <v>560</v>
      </c>
      <c r="AD14" s="96" t="s">
        <v>647</v>
      </c>
      <c r="AE14" s="115" t="s">
        <v>648</v>
      </c>
      <c r="AF14" s="96" t="s">
        <v>138</v>
      </c>
      <c r="AG14" s="91" t="s">
        <v>563</v>
      </c>
    </row>
    <row r="15" spans="1:33" ht="48">
      <c r="A15" s="113">
        <v>45274</v>
      </c>
      <c r="B15" s="91" t="s">
        <v>139</v>
      </c>
      <c r="C15" s="91" t="s">
        <v>106</v>
      </c>
      <c r="D15" s="91" t="s">
        <v>107</v>
      </c>
      <c r="E15" s="93" t="s">
        <v>108</v>
      </c>
      <c r="F15" s="91" t="s">
        <v>109</v>
      </c>
      <c r="G15" s="91" t="s">
        <v>110</v>
      </c>
      <c r="H15" s="91" t="s">
        <v>111</v>
      </c>
      <c r="I15" s="90" t="s">
        <v>649</v>
      </c>
      <c r="J15" s="93" t="s">
        <v>650</v>
      </c>
      <c r="K15" s="90" t="s">
        <v>651</v>
      </c>
      <c r="L15" s="93" t="s">
        <v>633</v>
      </c>
      <c r="M15" s="93" t="s">
        <v>644</v>
      </c>
      <c r="N15" s="91" t="s">
        <v>652</v>
      </c>
      <c r="O15" s="94" t="s">
        <v>155</v>
      </c>
      <c r="P15" s="91" t="s">
        <v>653</v>
      </c>
      <c r="Q15" s="91" t="s">
        <v>560</v>
      </c>
      <c r="R15" s="91" t="s">
        <v>560</v>
      </c>
      <c r="S15" s="91" t="s">
        <v>560</v>
      </c>
      <c r="T15" s="91" t="s">
        <v>560</v>
      </c>
      <c r="U15" s="91" t="s">
        <v>560</v>
      </c>
      <c r="V15" s="91" t="s">
        <v>560</v>
      </c>
      <c r="W15" s="91" t="s">
        <v>560</v>
      </c>
      <c r="X15" s="91" t="s">
        <v>109</v>
      </c>
      <c r="Y15" s="91" t="s">
        <v>560</v>
      </c>
      <c r="Z15" s="114" t="s">
        <v>654</v>
      </c>
      <c r="AA15" s="91" t="s">
        <v>51</v>
      </c>
      <c r="AB15" s="95" t="s">
        <v>655</v>
      </c>
      <c r="AC15" s="91" t="s">
        <v>560</v>
      </c>
      <c r="AD15" s="91" t="s">
        <v>560</v>
      </c>
      <c r="AE15" s="95" t="s">
        <v>655</v>
      </c>
      <c r="AF15" s="96" t="s">
        <v>656</v>
      </c>
      <c r="AG15" s="91" t="s">
        <v>563</v>
      </c>
    </row>
    <row r="16" spans="1:33" ht="48">
      <c r="A16" s="113">
        <v>45301</v>
      </c>
      <c r="B16" s="91" t="s">
        <v>139</v>
      </c>
      <c r="C16" s="91" t="s">
        <v>106</v>
      </c>
      <c r="D16" s="91" t="s">
        <v>107</v>
      </c>
      <c r="E16" s="93" t="s">
        <v>108</v>
      </c>
      <c r="F16" s="91" t="s">
        <v>109</v>
      </c>
      <c r="G16" s="91" t="s">
        <v>110</v>
      </c>
      <c r="H16" s="91" t="s">
        <v>111</v>
      </c>
      <c r="I16" s="90" t="s">
        <v>657</v>
      </c>
      <c r="J16" s="93" t="s">
        <v>658</v>
      </c>
      <c r="K16" s="90" t="s">
        <v>659</v>
      </c>
      <c r="L16" s="93" t="s">
        <v>660</v>
      </c>
      <c r="M16" s="93" t="s">
        <v>644</v>
      </c>
      <c r="N16" s="91" t="s">
        <v>661</v>
      </c>
      <c r="O16" s="94" t="s">
        <v>155</v>
      </c>
      <c r="P16" s="91" t="s">
        <v>662</v>
      </c>
      <c r="Q16" s="91" t="s">
        <v>560</v>
      </c>
      <c r="R16" s="91" t="s">
        <v>560</v>
      </c>
      <c r="S16" s="91" t="s">
        <v>560</v>
      </c>
      <c r="T16" s="91" t="s">
        <v>560</v>
      </c>
      <c r="U16" s="91" t="s">
        <v>560</v>
      </c>
      <c r="V16" s="91" t="s">
        <v>560</v>
      </c>
      <c r="W16" s="91" t="s">
        <v>560</v>
      </c>
      <c r="X16" s="91" t="s">
        <v>109</v>
      </c>
      <c r="Y16" s="91" t="s">
        <v>560</v>
      </c>
      <c r="Z16" s="94" t="s">
        <v>663</v>
      </c>
      <c r="AA16" s="91" t="s">
        <v>51</v>
      </c>
      <c r="AB16" s="95" t="s">
        <v>664</v>
      </c>
      <c r="AC16" s="91" t="s">
        <v>560</v>
      </c>
      <c r="AD16" s="91" t="s">
        <v>560</v>
      </c>
      <c r="AE16" s="95" t="s">
        <v>664</v>
      </c>
      <c r="AF16" s="96" t="s">
        <v>656</v>
      </c>
      <c r="AG16" s="91" t="s">
        <v>563</v>
      </c>
    </row>
    <row r="17" spans="1:33" ht="48">
      <c r="A17" s="113">
        <v>45350</v>
      </c>
      <c r="B17" s="91" t="s">
        <v>139</v>
      </c>
      <c r="C17" s="91" t="s">
        <v>106</v>
      </c>
      <c r="D17" s="91" t="s">
        <v>107</v>
      </c>
      <c r="E17" s="93" t="s">
        <v>108</v>
      </c>
      <c r="F17" s="91" t="s">
        <v>109</v>
      </c>
      <c r="G17" s="91" t="s">
        <v>110</v>
      </c>
      <c r="H17" s="91" t="s">
        <v>111</v>
      </c>
      <c r="I17" s="90" t="s">
        <v>665</v>
      </c>
      <c r="J17" s="93" t="s">
        <v>666</v>
      </c>
      <c r="K17" s="90" t="s">
        <v>667</v>
      </c>
      <c r="L17" s="93" t="s">
        <v>668</v>
      </c>
      <c r="M17" s="94" t="s">
        <v>669</v>
      </c>
      <c r="N17" s="91" t="s">
        <v>670</v>
      </c>
      <c r="O17" s="94" t="s">
        <v>671</v>
      </c>
      <c r="P17" s="91" t="s">
        <v>672</v>
      </c>
      <c r="Q17" s="91" t="s">
        <v>560</v>
      </c>
      <c r="R17" s="91" t="s">
        <v>673</v>
      </c>
      <c r="S17" s="91" t="s">
        <v>560</v>
      </c>
      <c r="T17" s="91" t="s">
        <v>560</v>
      </c>
      <c r="U17" s="91" t="s">
        <v>560</v>
      </c>
      <c r="V17" s="91" t="s">
        <v>560</v>
      </c>
      <c r="W17" s="91" t="s">
        <v>560</v>
      </c>
      <c r="X17" s="91" t="s">
        <v>109</v>
      </c>
      <c r="Y17" s="91" t="s">
        <v>560</v>
      </c>
      <c r="Z17" s="94" t="s">
        <v>51</v>
      </c>
      <c r="AA17" s="91" t="s">
        <v>51</v>
      </c>
      <c r="AB17" s="95" t="s">
        <v>674</v>
      </c>
      <c r="AC17" s="91" t="s">
        <v>560</v>
      </c>
      <c r="AD17" s="91" t="s">
        <v>560</v>
      </c>
      <c r="AE17" s="95" t="s">
        <v>674</v>
      </c>
      <c r="AF17" s="96" t="s">
        <v>122</v>
      </c>
      <c r="AG17" s="91" t="s">
        <v>563</v>
      </c>
    </row>
    <row r="18" spans="1:33" ht="36">
      <c r="A18" s="113">
        <v>45348</v>
      </c>
      <c r="B18" s="91" t="s">
        <v>139</v>
      </c>
      <c r="C18" s="91" t="s">
        <v>106</v>
      </c>
      <c r="D18" s="91" t="s">
        <v>107</v>
      </c>
      <c r="E18" s="93" t="s">
        <v>108</v>
      </c>
      <c r="F18" s="91" t="s">
        <v>109</v>
      </c>
      <c r="G18" s="91" t="s">
        <v>110</v>
      </c>
      <c r="H18" s="91" t="s">
        <v>111</v>
      </c>
      <c r="I18" s="90" t="s">
        <v>675</v>
      </c>
      <c r="J18" s="93" t="s">
        <v>676</v>
      </c>
      <c r="K18" s="90" t="s">
        <v>677</v>
      </c>
      <c r="L18" s="93" t="s">
        <v>668</v>
      </c>
      <c r="M18" s="94" t="s">
        <v>669</v>
      </c>
      <c r="N18" s="91" t="s">
        <v>678</v>
      </c>
      <c r="O18" s="94" t="s">
        <v>155</v>
      </c>
      <c r="P18" s="91" t="s">
        <v>679</v>
      </c>
      <c r="Q18" s="91" t="s">
        <v>560</v>
      </c>
      <c r="R18" s="91" t="s">
        <v>673</v>
      </c>
      <c r="S18" s="91" t="s">
        <v>560</v>
      </c>
      <c r="T18" s="91" t="s">
        <v>560</v>
      </c>
      <c r="U18" s="91" t="s">
        <v>560</v>
      </c>
      <c r="V18" s="91" t="s">
        <v>560</v>
      </c>
      <c r="W18" s="91" t="s">
        <v>560</v>
      </c>
      <c r="X18" s="91" t="s">
        <v>109</v>
      </c>
      <c r="Y18" s="91" t="s">
        <v>560</v>
      </c>
      <c r="Z18" s="94" t="s">
        <v>51</v>
      </c>
      <c r="AA18" s="91" t="s">
        <v>51</v>
      </c>
      <c r="AB18" s="95" t="s">
        <v>680</v>
      </c>
      <c r="AC18" s="91" t="s">
        <v>560</v>
      </c>
      <c r="AD18" s="91" t="s">
        <v>560</v>
      </c>
      <c r="AE18" s="95" t="s">
        <v>680</v>
      </c>
      <c r="AF18" s="96" t="s">
        <v>311</v>
      </c>
      <c r="AG18" s="91" t="s">
        <v>563</v>
      </c>
    </row>
    <row r="19" spans="1:33" ht="36">
      <c r="A19" s="113">
        <v>45107</v>
      </c>
      <c r="B19" s="91" t="s">
        <v>105</v>
      </c>
      <c r="C19" s="91" t="s">
        <v>106</v>
      </c>
      <c r="D19" s="91" t="s">
        <v>107</v>
      </c>
      <c r="E19" s="93" t="s">
        <v>108</v>
      </c>
      <c r="F19" s="91" t="s">
        <v>109</v>
      </c>
      <c r="G19" s="91" t="s">
        <v>110</v>
      </c>
      <c r="H19" s="91" t="s">
        <v>111</v>
      </c>
      <c r="I19" s="90" t="s">
        <v>681</v>
      </c>
      <c r="J19" s="93" t="s">
        <v>682</v>
      </c>
      <c r="K19" s="90" t="s">
        <v>683</v>
      </c>
      <c r="L19" s="93" t="s">
        <v>114</v>
      </c>
      <c r="M19" s="94" t="s">
        <v>684</v>
      </c>
      <c r="N19" s="91" t="s">
        <v>219</v>
      </c>
      <c r="O19" s="94" t="s">
        <v>116</v>
      </c>
      <c r="P19" s="91" t="s">
        <v>220</v>
      </c>
      <c r="Q19" s="91" t="s">
        <v>560</v>
      </c>
      <c r="R19" s="91" t="s">
        <v>560</v>
      </c>
      <c r="S19" s="91" t="s">
        <v>560</v>
      </c>
      <c r="T19" s="91" t="s">
        <v>560</v>
      </c>
      <c r="U19" s="91" t="s">
        <v>560</v>
      </c>
      <c r="V19" s="91" t="s">
        <v>560</v>
      </c>
      <c r="W19" s="91" t="s">
        <v>560</v>
      </c>
      <c r="X19" s="91" t="s">
        <v>109</v>
      </c>
      <c r="Y19" s="91" t="s">
        <v>560</v>
      </c>
      <c r="Z19" s="94" t="s">
        <v>685</v>
      </c>
      <c r="AA19" s="91" t="s">
        <v>51</v>
      </c>
      <c r="AB19" s="95">
        <v>14263.91</v>
      </c>
      <c r="AC19" s="91" t="s">
        <v>560</v>
      </c>
      <c r="AD19" s="91">
        <v>6766.31</v>
      </c>
      <c r="AE19" s="95">
        <v>6766.31</v>
      </c>
      <c r="AF19" s="96" t="s">
        <v>138</v>
      </c>
      <c r="AG19" s="91" t="s">
        <v>563</v>
      </c>
    </row>
    <row r="20" spans="1:33" ht="48">
      <c r="A20" s="113">
        <v>45134</v>
      </c>
      <c r="B20" s="91" t="s">
        <v>139</v>
      </c>
      <c r="C20" s="91" t="s">
        <v>106</v>
      </c>
      <c r="D20" s="91" t="s">
        <v>107</v>
      </c>
      <c r="E20" s="93" t="s">
        <v>108</v>
      </c>
      <c r="F20" s="91" t="s">
        <v>109</v>
      </c>
      <c r="G20" s="91" t="s">
        <v>110</v>
      </c>
      <c r="H20" s="91" t="s">
        <v>111</v>
      </c>
      <c r="I20" s="90" t="s">
        <v>686</v>
      </c>
      <c r="J20" s="93" t="s">
        <v>687</v>
      </c>
      <c r="K20" s="90" t="s">
        <v>610</v>
      </c>
      <c r="L20" s="93" t="s">
        <v>279</v>
      </c>
      <c r="M20" s="94" t="s">
        <v>688</v>
      </c>
      <c r="N20" s="91" t="s">
        <v>689</v>
      </c>
      <c r="O20" s="94" t="s">
        <v>155</v>
      </c>
      <c r="P20" s="91" t="s">
        <v>672</v>
      </c>
      <c r="Q20" s="91" t="s">
        <v>560</v>
      </c>
      <c r="R20" s="91" t="s">
        <v>560</v>
      </c>
      <c r="S20" s="91" t="s">
        <v>560</v>
      </c>
      <c r="T20" s="91" t="s">
        <v>560</v>
      </c>
      <c r="U20" s="91" t="s">
        <v>560</v>
      </c>
      <c r="V20" s="91" t="s">
        <v>560</v>
      </c>
      <c r="W20" s="91" t="s">
        <v>560</v>
      </c>
      <c r="X20" s="91" t="s">
        <v>109</v>
      </c>
      <c r="Y20" s="91" t="s">
        <v>560</v>
      </c>
      <c r="Z20" s="94" t="s">
        <v>690</v>
      </c>
      <c r="AA20" s="91" t="s">
        <v>119</v>
      </c>
      <c r="AB20" s="95">
        <v>182056.73</v>
      </c>
      <c r="AC20" s="91" t="s">
        <v>560</v>
      </c>
      <c r="AD20" s="91" t="s">
        <v>560</v>
      </c>
      <c r="AE20" s="95">
        <v>182056.73</v>
      </c>
      <c r="AF20" s="96" t="s">
        <v>122</v>
      </c>
      <c r="AG20" s="91" t="s">
        <v>563</v>
      </c>
    </row>
    <row r="21" spans="1:33" ht="48">
      <c r="A21" s="113">
        <v>44518</v>
      </c>
      <c r="B21" s="91" t="s">
        <v>139</v>
      </c>
      <c r="C21" s="91" t="s">
        <v>106</v>
      </c>
      <c r="D21" s="91" t="s">
        <v>107</v>
      </c>
      <c r="E21" s="93" t="s">
        <v>108</v>
      </c>
      <c r="F21" s="91" t="s">
        <v>109</v>
      </c>
      <c r="G21" s="91" t="s">
        <v>110</v>
      </c>
      <c r="H21" s="91" t="s">
        <v>111</v>
      </c>
      <c r="I21" s="90" t="s">
        <v>691</v>
      </c>
      <c r="J21" s="93" t="s">
        <v>162</v>
      </c>
      <c r="K21" s="90" t="s">
        <v>692</v>
      </c>
      <c r="L21" s="93" t="s">
        <v>279</v>
      </c>
      <c r="M21" s="94" t="s">
        <v>693</v>
      </c>
      <c r="N21" s="91" t="s">
        <v>670</v>
      </c>
      <c r="O21" s="94" t="s">
        <v>613</v>
      </c>
      <c r="P21" s="91" t="s">
        <v>694</v>
      </c>
      <c r="Q21" s="91" t="s">
        <v>560</v>
      </c>
      <c r="R21" s="91" t="s">
        <v>695</v>
      </c>
      <c r="S21" s="91" t="s">
        <v>560</v>
      </c>
      <c r="T21" s="91" t="s">
        <v>696</v>
      </c>
      <c r="U21" s="91" t="s">
        <v>560</v>
      </c>
      <c r="V21" s="91" t="s">
        <v>560</v>
      </c>
      <c r="W21" s="91" t="s">
        <v>560</v>
      </c>
      <c r="X21" s="91" t="s">
        <v>109</v>
      </c>
      <c r="Y21" s="91" t="s">
        <v>560</v>
      </c>
      <c r="Z21" s="94" t="s">
        <v>697</v>
      </c>
      <c r="AA21" s="91" t="s">
        <v>698</v>
      </c>
      <c r="AB21" s="95">
        <v>73763.350000000006</v>
      </c>
      <c r="AC21" s="91" t="s">
        <v>560</v>
      </c>
      <c r="AD21" s="91" t="s">
        <v>560</v>
      </c>
      <c r="AE21" s="95">
        <v>73763.350000000006</v>
      </c>
      <c r="AF21" s="96" t="s">
        <v>311</v>
      </c>
      <c r="AG21" s="91" t="s">
        <v>563</v>
      </c>
    </row>
    <row r="22" spans="1:33" ht="60">
      <c r="A22" s="113">
        <v>44467</v>
      </c>
      <c r="B22" s="91" t="s">
        <v>139</v>
      </c>
      <c r="C22" s="91" t="s">
        <v>106</v>
      </c>
      <c r="D22" s="91" t="s">
        <v>107</v>
      </c>
      <c r="E22" s="93" t="s">
        <v>108</v>
      </c>
      <c r="F22" s="91" t="s">
        <v>109</v>
      </c>
      <c r="G22" s="91" t="s">
        <v>110</v>
      </c>
      <c r="H22" s="91" t="s">
        <v>111</v>
      </c>
      <c r="I22" s="90" t="s">
        <v>699</v>
      </c>
      <c r="J22" s="93" t="s">
        <v>162</v>
      </c>
      <c r="K22" s="90" t="s">
        <v>700</v>
      </c>
      <c r="L22" s="93" t="s">
        <v>279</v>
      </c>
      <c r="M22" s="94" t="s">
        <v>701</v>
      </c>
      <c r="N22" s="91" t="s">
        <v>670</v>
      </c>
      <c r="O22" s="94" t="s">
        <v>613</v>
      </c>
      <c r="P22" s="91" t="s">
        <v>702</v>
      </c>
      <c r="Q22" s="91" t="s">
        <v>560</v>
      </c>
      <c r="R22" s="91" t="s">
        <v>640</v>
      </c>
      <c r="S22" s="91" t="s">
        <v>560</v>
      </c>
      <c r="T22" s="91" t="s">
        <v>703</v>
      </c>
      <c r="U22" s="91" t="s">
        <v>560</v>
      </c>
      <c r="V22" s="91" t="s">
        <v>560</v>
      </c>
      <c r="W22" s="91" t="s">
        <v>560</v>
      </c>
      <c r="X22" s="91" t="s">
        <v>109</v>
      </c>
      <c r="Y22" s="91" t="s">
        <v>560</v>
      </c>
      <c r="Z22" s="94" t="s">
        <v>646</v>
      </c>
      <c r="AA22" s="91" t="s">
        <v>646</v>
      </c>
      <c r="AB22" s="95">
        <v>118431.93</v>
      </c>
      <c r="AC22" s="91" t="s">
        <v>560</v>
      </c>
      <c r="AD22" s="91" t="s">
        <v>560</v>
      </c>
      <c r="AE22" s="95">
        <v>118431.93</v>
      </c>
      <c r="AF22" s="96" t="s">
        <v>311</v>
      </c>
      <c r="AG22" s="91" t="s">
        <v>563</v>
      </c>
    </row>
    <row r="23" spans="1:33" ht="60">
      <c r="A23" s="113" t="s">
        <v>704</v>
      </c>
      <c r="B23" s="91" t="s">
        <v>139</v>
      </c>
      <c r="C23" s="91" t="s">
        <v>106</v>
      </c>
      <c r="D23" s="91" t="s">
        <v>107</v>
      </c>
      <c r="E23" s="93" t="s">
        <v>108</v>
      </c>
      <c r="F23" s="91" t="s">
        <v>109</v>
      </c>
      <c r="G23" s="91" t="s">
        <v>110</v>
      </c>
      <c r="H23" s="91" t="s">
        <v>111</v>
      </c>
      <c r="I23" s="90" t="s">
        <v>705</v>
      </c>
      <c r="J23" s="93" t="s">
        <v>706</v>
      </c>
      <c r="K23" s="90" t="s">
        <v>707</v>
      </c>
      <c r="L23" s="93" t="s">
        <v>489</v>
      </c>
      <c r="M23" s="94" t="s">
        <v>708</v>
      </c>
      <c r="N23" s="91" t="s">
        <v>709</v>
      </c>
      <c r="O23" s="94" t="s">
        <v>155</v>
      </c>
      <c r="P23" s="91" t="s">
        <v>710</v>
      </c>
      <c r="Q23" s="91" t="s">
        <v>560</v>
      </c>
      <c r="R23" s="91" t="s">
        <v>711</v>
      </c>
      <c r="S23" s="91" t="s">
        <v>560</v>
      </c>
      <c r="T23" s="91" t="s">
        <v>560</v>
      </c>
      <c r="U23" s="91" t="s">
        <v>560</v>
      </c>
      <c r="V23" s="91" t="s">
        <v>560</v>
      </c>
      <c r="W23" s="91" t="s">
        <v>560</v>
      </c>
      <c r="X23" s="91" t="s">
        <v>109</v>
      </c>
      <c r="Y23" s="91" t="s">
        <v>560</v>
      </c>
      <c r="Z23" s="94" t="s">
        <v>712</v>
      </c>
      <c r="AA23" s="91" t="s">
        <v>713</v>
      </c>
      <c r="AB23" s="95" t="s">
        <v>714</v>
      </c>
      <c r="AC23" s="91" t="s">
        <v>560</v>
      </c>
      <c r="AD23" s="91" t="s">
        <v>560</v>
      </c>
      <c r="AE23" s="95">
        <v>0</v>
      </c>
      <c r="AF23" s="96" t="s">
        <v>311</v>
      </c>
      <c r="AG23" s="91" t="s">
        <v>563</v>
      </c>
    </row>
    <row r="24" spans="1:33" ht="24">
      <c r="A24" s="113">
        <v>45428</v>
      </c>
      <c r="B24" s="91" t="s">
        <v>139</v>
      </c>
      <c r="C24" s="91" t="s">
        <v>106</v>
      </c>
      <c r="D24" s="91" t="s">
        <v>107</v>
      </c>
      <c r="E24" s="93" t="s">
        <v>108</v>
      </c>
      <c r="F24" s="91" t="s">
        <v>109</v>
      </c>
      <c r="G24" s="91" t="s">
        <v>110</v>
      </c>
      <c r="H24" s="91" t="s">
        <v>111</v>
      </c>
      <c r="I24" s="94" t="s">
        <v>715</v>
      </c>
      <c r="J24" s="93" t="s">
        <v>716</v>
      </c>
      <c r="K24" s="94" t="s">
        <v>717</v>
      </c>
      <c r="L24" s="93" t="s">
        <v>114</v>
      </c>
      <c r="M24" s="94" t="s">
        <v>718</v>
      </c>
      <c r="N24" s="91" t="s">
        <v>719</v>
      </c>
      <c r="O24" s="94" t="s">
        <v>116</v>
      </c>
      <c r="P24" s="91" t="s">
        <v>720</v>
      </c>
      <c r="Q24" s="91" t="s">
        <v>560</v>
      </c>
      <c r="R24" s="94" t="s">
        <v>721</v>
      </c>
      <c r="S24" s="91" t="s">
        <v>560</v>
      </c>
      <c r="T24" s="91" t="s">
        <v>560</v>
      </c>
      <c r="U24" s="91" t="s">
        <v>560</v>
      </c>
      <c r="V24" s="91" t="s">
        <v>560</v>
      </c>
      <c r="W24" s="91" t="s">
        <v>560</v>
      </c>
      <c r="X24" s="91" t="s">
        <v>109</v>
      </c>
      <c r="Y24" s="91" t="s">
        <v>560</v>
      </c>
      <c r="Z24" s="94" t="s">
        <v>722</v>
      </c>
      <c r="AA24" s="91" t="s">
        <v>51</v>
      </c>
      <c r="AB24" s="95" t="s">
        <v>723</v>
      </c>
      <c r="AC24" s="91" t="s">
        <v>560</v>
      </c>
      <c r="AD24" s="91" t="s">
        <v>560</v>
      </c>
      <c r="AE24" s="95">
        <v>0</v>
      </c>
      <c r="AF24" s="96" t="s">
        <v>656</v>
      </c>
      <c r="AG24" s="91" t="s">
        <v>563</v>
      </c>
    </row>
    <row r="25" spans="1:33" ht="48">
      <c r="A25" s="110">
        <v>45211</v>
      </c>
      <c r="B25" s="88" t="s">
        <v>139</v>
      </c>
      <c r="C25" s="88" t="s">
        <v>106</v>
      </c>
      <c r="D25" s="89" t="s">
        <v>107</v>
      </c>
      <c r="E25" s="88" t="s">
        <v>108</v>
      </c>
      <c r="F25" s="88" t="s">
        <v>109</v>
      </c>
      <c r="G25" s="88" t="s">
        <v>110</v>
      </c>
      <c r="H25" s="90" t="s">
        <v>111</v>
      </c>
      <c r="I25" s="89" t="s">
        <v>724</v>
      </c>
      <c r="J25" s="90" t="s">
        <v>725</v>
      </c>
      <c r="K25" s="89" t="s">
        <v>726</v>
      </c>
      <c r="L25" s="90" t="s">
        <v>660</v>
      </c>
      <c r="M25" s="90" t="s">
        <v>727</v>
      </c>
      <c r="N25" s="88" t="s">
        <v>728</v>
      </c>
      <c r="O25" s="88" t="s">
        <v>155</v>
      </c>
      <c r="P25" s="88" t="s">
        <v>729</v>
      </c>
      <c r="Q25" s="88" t="s">
        <v>560</v>
      </c>
      <c r="R25" s="90" t="s">
        <v>730</v>
      </c>
      <c r="S25" s="88" t="s">
        <v>560</v>
      </c>
      <c r="T25" s="88" t="s">
        <v>560</v>
      </c>
      <c r="U25" s="88" t="s">
        <v>560</v>
      </c>
      <c r="V25" s="88" t="s">
        <v>560</v>
      </c>
      <c r="W25" s="88" t="s">
        <v>560</v>
      </c>
      <c r="X25" s="88" t="s">
        <v>109</v>
      </c>
      <c r="Y25" s="90" t="s">
        <v>560</v>
      </c>
      <c r="Z25" s="88" t="s">
        <v>731</v>
      </c>
      <c r="AA25" s="91" t="s">
        <v>51</v>
      </c>
      <c r="AB25" s="88" t="s">
        <v>732</v>
      </c>
      <c r="AC25" s="88" t="s">
        <v>560</v>
      </c>
      <c r="AD25" s="102" t="s">
        <v>560</v>
      </c>
      <c r="AE25" s="102">
        <v>0</v>
      </c>
      <c r="AF25" s="92" t="s">
        <v>311</v>
      </c>
      <c r="AG25" s="88" t="s">
        <v>563</v>
      </c>
    </row>
    <row r="26" spans="1:33" ht="60">
      <c r="A26" s="110">
        <v>45167</v>
      </c>
      <c r="B26" s="88" t="s">
        <v>139</v>
      </c>
      <c r="C26" s="88" t="s">
        <v>106</v>
      </c>
      <c r="D26" s="89" t="s">
        <v>107</v>
      </c>
      <c r="E26" s="88" t="s">
        <v>108</v>
      </c>
      <c r="F26" s="88" t="s">
        <v>109</v>
      </c>
      <c r="G26" s="88" t="s">
        <v>110</v>
      </c>
      <c r="H26" s="90" t="s">
        <v>111</v>
      </c>
      <c r="I26" s="89" t="s">
        <v>733</v>
      </c>
      <c r="J26" s="90" t="s">
        <v>734</v>
      </c>
      <c r="K26" s="89" t="s">
        <v>735</v>
      </c>
      <c r="L26" s="90" t="s">
        <v>660</v>
      </c>
      <c r="M26" s="90" t="s">
        <v>736</v>
      </c>
      <c r="N26" s="88" t="s">
        <v>737</v>
      </c>
      <c r="O26" s="88" t="s">
        <v>155</v>
      </c>
      <c r="P26" s="88" t="s">
        <v>738</v>
      </c>
      <c r="Q26" s="88" t="s">
        <v>560</v>
      </c>
      <c r="R26" s="90" t="s">
        <v>739</v>
      </c>
      <c r="S26" s="88" t="s">
        <v>560</v>
      </c>
      <c r="T26" s="88" t="s">
        <v>560</v>
      </c>
      <c r="U26" s="88" t="s">
        <v>560</v>
      </c>
      <c r="V26" s="88" t="s">
        <v>560</v>
      </c>
      <c r="W26" s="88" t="s">
        <v>560</v>
      </c>
      <c r="X26" s="88" t="s">
        <v>109</v>
      </c>
      <c r="Y26" s="90" t="s">
        <v>560</v>
      </c>
      <c r="Z26" s="88" t="s">
        <v>654</v>
      </c>
      <c r="AA26" s="102" t="s">
        <v>51</v>
      </c>
      <c r="AB26" s="88" t="s">
        <v>740</v>
      </c>
      <c r="AC26" s="88" t="s">
        <v>560</v>
      </c>
      <c r="AD26" s="102" t="s">
        <v>560</v>
      </c>
      <c r="AE26" s="102">
        <v>0</v>
      </c>
      <c r="AF26" s="92" t="s">
        <v>311</v>
      </c>
      <c r="AG26" s="88" t="s">
        <v>563</v>
      </c>
    </row>
    <row r="27" spans="1:33" ht="36">
      <c r="A27" s="110">
        <v>45126</v>
      </c>
      <c r="B27" s="88" t="s">
        <v>139</v>
      </c>
      <c r="C27" s="88" t="s">
        <v>106</v>
      </c>
      <c r="D27" s="89" t="s">
        <v>107</v>
      </c>
      <c r="E27" s="88" t="s">
        <v>108</v>
      </c>
      <c r="F27" s="88" t="s">
        <v>109</v>
      </c>
      <c r="G27" s="88" t="s">
        <v>110</v>
      </c>
      <c r="H27" s="90" t="s">
        <v>111</v>
      </c>
      <c r="I27" s="89" t="s">
        <v>741</v>
      </c>
      <c r="J27" s="90" t="s">
        <v>742</v>
      </c>
      <c r="K27" s="89" t="s">
        <v>743</v>
      </c>
      <c r="L27" s="90" t="s">
        <v>660</v>
      </c>
      <c r="M27" s="90" t="s">
        <v>744</v>
      </c>
      <c r="N27" s="88" t="s">
        <v>745</v>
      </c>
      <c r="O27" s="88" t="s">
        <v>155</v>
      </c>
      <c r="P27" s="88" t="s">
        <v>746</v>
      </c>
      <c r="Q27" s="88" t="s">
        <v>560</v>
      </c>
      <c r="R27" s="90" t="s">
        <v>739</v>
      </c>
      <c r="S27" s="88" t="s">
        <v>560</v>
      </c>
      <c r="T27" s="88" t="s">
        <v>560</v>
      </c>
      <c r="U27" s="88" t="s">
        <v>560</v>
      </c>
      <c r="V27" s="88" t="s">
        <v>560</v>
      </c>
      <c r="W27" s="88" t="s">
        <v>560</v>
      </c>
      <c r="X27" s="88" t="s">
        <v>109</v>
      </c>
      <c r="Y27" s="90" t="s">
        <v>560</v>
      </c>
      <c r="Z27" s="88" t="s">
        <v>654</v>
      </c>
      <c r="AA27" s="102" t="s">
        <v>51</v>
      </c>
      <c r="AB27" s="88">
        <v>1239531.25</v>
      </c>
      <c r="AC27" s="88" t="s">
        <v>560</v>
      </c>
      <c r="AD27" s="102" t="s">
        <v>560</v>
      </c>
      <c r="AE27" s="102">
        <v>0</v>
      </c>
      <c r="AF27" s="88" t="s">
        <v>311</v>
      </c>
      <c r="AG27" s="88" t="s">
        <v>563</v>
      </c>
    </row>
    <row r="28" spans="1:33" ht="36">
      <c r="A28" s="110">
        <v>45141</v>
      </c>
      <c r="B28" s="88" t="s">
        <v>139</v>
      </c>
      <c r="C28" s="88" t="s">
        <v>106</v>
      </c>
      <c r="D28" s="89" t="s">
        <v>107</v>
      </c>
      <c r="E28" s="88" t="s">
        <v>108</v>
      </c>
      <c r="F28" s="88" t="s">
        <v>109</v>
      </c>
      <c r="G28" s="88" t="s">
        <v>110</v>
      </c>
      <c r="H28" s="90" t="s">
        <v>111</v>
      </c>
      <c r="I28" s="89" t="s">
        <v>747</v>
      </c>
      <c r="J28" s="90" t="s">
        <v>748</v>
      </c>
      <c r="K28" s="89" t="s">
        <v>749</v>
      </c>
      <c r="L28" s="90" t="s">
        <v>660</v>
      </c>
      <c r="M28" s="90" t="s">
        <v>750</v>
      </c>
      <c r="N28" s="88" t="s">
        <v>751</v>
      </c>
      <c r="O28" s="88" t="s">
        <v>155</v>
      </c>
      <c r="P28" s="88" t="s">
        <v>752</v>
      </c>
      <c r="Q28" s="88" t="s">
        <v>560</v>
      </c>
      <c r="R28" s="90" t="s">
        <v>739</v>
      </c>
      <c r="S28" s="88" t="s">
        <v>560</v>
      </c>
      <c r="T28" s="88" t="s">
        <v>560</v>
      </c>
      <c r="U28" s="88" t="s">
        <v>560</v>
      </c>
      <c r="V28" s="88" t="s">
        <v>560</v>
      </c>
      <c r="W28" s="88" t="s">
        <v>560</v>
      </c>
      <c r="X28" s="88" t="s">
        <v>109</v>
      </c>
      <c r="Y28" s="90" t="s">
        <v>560</v>
      </c>
      <c r="Z28" s="88" t="s">
        <v>654</v>
      </c>
      <c r="AA28" s="102" t="s">
        <v>51</v>
      </c>
      <c r="AB28" s="88">
        <v>199007.9</v>
      </c>
      <c r="AC28" s="88" t="s">
        <v>560</v>
      </c>
      <c r="AD28" s="102" t="s">
        <v>560</v>
      </c>
      <c r="AE28" s="102">
        <v>0</v>
      </c>
      <c r="AF28" s="88" t="s">
        <v>311</v>
      </c>
      <c r="AG28" s="88" t="s">
        <v>563</v>
      </c>
    </row>
    <row r="29" spans="1:33" ht="48">
      <c r="A29" s="110">
        <v>44736</v>
      </c>
      <c r="B29" s="88" t="s">
        <v>139</v>
      </c>
      <c r="C29" s="88" t="s">
        <v>106</v>
      </c>
      <c r="D29" s="89" t="s">
        <v>107</v>
      </c>
      <c r="E29" s="88" t="s">
        <v>108</v>
      </c>
      <c r="F29" s="88" t="s">
        <v>109</v>
      </c>
      <c r="G29" s="88" t="s">
        <v>110</v>
      </c>
      <c r="H29" s="90" t="s">
        <v>111</v>
      </c>
      <c r="I29" s="89" t="s">
        <v>753</v>
      </c>
      <c r="J29" s="90" t="s">
        <v>162</v>
      </c>
      <c r="K29" s="89" t="s">
        <v>754</v>
      </c>
      <c r="L29" s="90" t="s">
        <v>279</v>
      </c>
      <c r="M29" s="90" t="s">
        <v>755</v>
      </c>
      <c r="N29" s="88" t="s">
        <v>670</v>
      </c>
      <c r="O29" s="88" t="s">
        <v>613</v>
      </c>
      <c r="P29" s="88" t="s">
        <v>756</v>
      </c>
      <c r="Q29" s="88" t="s">
        <v>560</v>
      </c>
      <c r="R29" s="90" t="s">
        <v>739</v>
      </c>
      <c r="S29" s="88" t="s">
        <v>560</v>
      </c>
      <c r="T29" s="88" t="s">
        <v>560</v>
      </c>
      <c r="U29" s="88" t="s">
        <v>560</v>
      </c>
      <c r="V29" s="88" t="s">
        <v>560</v>
      </c>
      <c r="W29" s="88" t="s">
        <v>560</v>
      </c>
      <c r="X29" s="88" t="s">
        <v>109</v>
      </c>
      <c r="Y29" s="90" t="s">
        <v>560</v>
      </c>
      <c r="Z29" s="88" t="s">
        <v>654</v>
      </c>
      <c r="AA29" s="102" t="s">
        <v>51</v>
      </c>
      <c r="AB29" s="88">
        <v>64405.32</v>
      </c>
      <c r="AC29" s="88" t="s">
        <v>560</v>
      </c>
      <c r="AD29" s="102" t="s">
        <v>560</v>
      </c>
      <c r="AE29" s="102">
        <v>0</v>
      </c>
      <c r="AF29" s="88" t="s">
        <v>656</v>
      </c>
      <c r="AG29" s="88" t="s">
        <v>563</v>
      </c>
    </row>
    <row r="30" spans="1:33" ht="60">
      <c r="A30" s="110">
        <v>45187</v>
      </c>
      <c r="B30" s="88" t="s">
        <v>139</v>
      </c>
      <c r="C30" s="88" t="s">
        <v>106</v>
      </c>
      <c r="D30" s="89" t="s">
        <v>107</v>
      </c>
      <c r="E30" s="88" t="s">
        <v>108</v>
      </c>
      <c r="F30" s="88" t="s">
        <v>109</v>
      </c>
      <c r="G30" s="88" t="s">
        <v>110</v>
      </c>
      <c r="H30" s="90" t="s">
        <v>111</v>
      </c>
      <c r="I30" s="89" t="s">
        <v>757</v>
      </c>
      <c r="J30" s="90" t="s">
        <v>758</v>
      </c>
      <c r="K30" s="89" t="s">
        <v>759</v>
      </c>
      <c r="L30" s="90" t="s">
        <v>660</v>
      </c>
      <c r="M30" s="90" t="s">
        <v>760</v>
      </c>
      <c r="N30" s="88" t="s">
        <v>761</v>
      </c>
      <c r="O30" s="88" t="s">
        <v>155</v>
      </c>
      <c r="P30" s="88" t="s">
        <v>762</v>
      </c>
      <c r="Q30" s="88" t="s">
        <v>560</v>
      </c>
      <c r="R30" s="90" t="s">
        <v>739</v>
      </c>
      <c r="S30" s="88" t="s">
        <v>560</v>
      </c>
      <c r="T30" s="88" t="s">
        <v>560</v>
      </c>
      <c r="U30" s="88" t="s">
        <v>560</v>
      </c>
      <c r="V30" s="88" t="s">
        <v>560</v>
      </c>
      <c r="W30" s="88" t="s">
        <v>560</v>
      </c>
      <c r="X30" s="88" t="s">
        <v>109</v>
      </c>
      <c r="Y30" s="90" t="s">
        <v>560</v>
      </c>
      <c r="Z30" s="88" t="s">
        <v>654</v>
      </c>
      <c r="AA30" s="102" t="s">
        <v>51</v>
      </c>
      <c r="AB30" s="88" t="s">
        <v>763</v>
      </c>
      <c r="AC30" s="88" t="s">
        <v>560</v>
      </c>
      <c r="AD30" s="102" t="s">
        <v>560</v>
      </c>
      <c r="AE30" s="102">
        <v>0</v>
      </c>
      <c r="AF30" s="88" t="s">
        <v>656</v>
      </c>
      <c r="AG30" s="88" t="s">
        <v>563</v>
      </c>
    </row>
    <row r="31" spans="1:33" ht="60">
      <c r="A31" s="110">
        <v>45211</v>
      </c>
      <c r="B31" s="88" t="s">
        <v>139</v>
      </c>
      <c r="C31" s="88" t="s">
        <v>106</v>
      </c>
      <c r="D31" s="89" t="s">
        <v>107</v>
      </c>
      <c r="E31" s="88" t="s">
        <v>108</v>
      </c>
      <c r="F31" s="88" t="s">
        <v>109</v>
      </c>
      <c r="G31" s="88" t="s">
        <v>110</v>
      </c>
      <c r="H31" s="90" t="s">
        <v>111</v>
      </c>
      <c r="I31" s="89" t="s">
        <v>764</v>
      </c>
      <c r="J31" s="90" t="s">
        <v>765</v>
      </c>
      <c r="K31" s="89" t="s">
        <v>766</v>
      </c>
      <c r="L31" s="90" t="s">
        <v>279</v>
      </c>
      <c r="M31" s="90" t="s">
        <v>767</v>
      </c>
      <c r="N31" s="88" t="s">
        <v>768</v>
      </c>
      <c r="O31" s="88" t="s">
        <v>155</v>
      </c>
      <c r="P31" s="88" t="s">
        <v>769</v>
      </c>
      <c r="Q31" s="88" t="s">
        <v>560</v>
      </c>
      <c r="R31" s="90" t="s">
        <v>739</v>
      </c>
      <c r="S31" s="88" t="s">
        <v>560</v>
      </c>
      <c r="T31" s="88" t="s">
        <v>560</v>
      </c>
      <c r="U31" s="88" t="s">
        <v>560</v>
      </c>
      <c r="V31" s="88" t="s">
        <v>560</v>
      </c>
      <c r="W31" s="88" t="s">
        <v>560</v>
      </c>
      <c r="X31" s="88" t="s">
        <v>109</v>
      </c>
      <c r="Y31" s="90" t="s">
        <v>560</v>
      </c>
      <c r="Z31" s="88" t="s">
        <v>654</v>
      </c>
      <c r="AA31" s="102" t="s">
        <v>51</v>
      </c>
      <c r="AB31" s="88" t="s">
        <v>770</v>
      </c>
      <c r="AC31" s="88" t="s">
        <v>560</v>
      </c>
      <c r="AD31" s="102" t="s">
        <v>560</v>
      </c>
      <c r="AE31" s="102">
        <v>0</v>
      </c>
      <c r="AF31" s="88" t="s">
        <v>656</v>
      </c>
      <c r="AG31" s="88" t="s">
        <v>563</v>
      </c>
    </row>
    <row r="32" spans="1:33" ht="36">
      <c r="A32" s="110">
        <v>45141</v>
      </c>
      <c r="B32" s="88" t="s">
        <v>139</v>
      </c>
      <c r="C32" s="88" t="s">
        <v>106</v>
      </c>
      <c r="D32" s="89" t="s">
        <v>107</v>
      </c>
      <c r="E32" s="88" t="s">
        <v>108</v>
      </c>
      <c r="F32" s="88" t="s">
        <v>109</v>
      </c>
      <c r="G32" s="88" t="s">
        <v>110</v>
      </c>
      <c r="H32" s="90" t="s">
        <v>111</v>
      </c>
      <c r="I32" s="89" t="s">
        <v>771</v>
      </c>
      <c r="J32" s="90" t="s">
        <v>772</v>
      </c>
      <c r="K32" s="89" t="s">
        <v>773</v>
      </c>
      <c r="L32" s="90" t="s">
        <v>660</v>
      </c>
      <c r="M32" s="90" t="s">
        <v>774</v>
      </c>
      <c r="N32" s="88" t="s">
        <v>775</v>
      </c>
      <c r="O32" s="88" t="s">
        <v>155</v>
      </c>
      <c r="P32" s="88" t="s">
        <v>776</v>
      </c>
      <c r="Q32" s="88" t="s">
        <v>560</v>
      </c>
      <c r="R32" s="90" t="s">
        <v>739</v>
      </c>
      <c r="S32" s="88" t="s">
        <v>560</v>
      </c>
      <c r="T32" s="88" t="s">
        <v>560</v>
      </c>
      <c r="U32" s="88" t="s">
        <v>560</v>
      </c>
      <c r="V32" s="88" t="s">
        <v>560</v>
      </c>
      <c r="W32" s="88" t="s">
        <v>560</v>
      </c>
      <c r="X32" s="88" t="s">
        <v>109</v>
      </c>
      <c r="Y32" s="90" t="s">
        <v>560</v>
      </c>
      <c r="Z32" s="102" t="s">
        <v>654</v>
      </c>
      <c r="AA32" s="102" t="s">
        <v>51</v>
      </c>
      <c r="AB32" s="88">
        <v>246803.59</v>
      </c>
      <c r="AC32" s="88" t="s">
        <v>560</v>
      </c>
      <c r="AD32" s="102" t="s">
        <v>560</v>
      </c>
      <c r="AE32" s="102">
        <v>0</v>
      </c>
      <c r="AF32" s="88" t="s">
        <v>656</v>
      </c>
      <c r="AG32" s="88" t="s">
        <v>563</v>
      </c>
    </row>
    <row r="33" spans="1:33" ht="72">
      <c r="A33" s="110">
        <v>45218</v>
      </c>
      <c r="B33" s="90" t="s">
        <v>139</v>
      </c>
      <c r="C33" s="89" t="s">
        <v>106</v>
      </c>
      <c r="D33" s="90" t="s">
        <v>107</v>
      </c>
      <c r="E33" s="90" t="s">
        <v>108</v>
      </c>
      <c r="F33" s="90" t="s">
        <v>109</v>
      </c>
      <c r="G33" s="90" t="s">
        <v>110</v>
      </c>
      <c r="H33" s="89" t="s">
        <v>111</v>
      </c>
      <c r="I33" s="90" t="s">
        <v>777</v>
      </c>
      <c r="J33" s="89" t="s">
        <v>778</v>
      </c>
      <c r="K33" s="90" t="s">
        <v>779</v>
      </c>
      <c r="L33" s="90" t="s">
        <v>660</v>
      </c>
      <c r="M33" s="90" t="s">
        <v>780</v>
      </c>
      <c r="N33" s="90" t="s">
        <v>781</v>
      </c>
      <c r="O33" s="90" t="s">
        <v>155</v>
      </c>
      <c r="P33" s="90" t="s">
        <v>782</v>
      </c>
      <c r="Q33" s="90" t="s">
        <v>560</v>
      </c>
      <c r="R33" s="90" t="s">
        <v>739</v>
      </c>
      <c r="S33" s="90" t="s">
        <v>560</v>
      </c>
      <c r="T33" s="90" t="s">
        <v>560</v>
      </c>
      <c r="U33" s="90" t="s">
        <v>560</v>
      </c>
      <c r="V33" s="90" t="s">
        <v>560</v>
      </c>
      <c r="W33" s="90" t="s">
        <v>560</v>
      </c>
      <c r="X33" s="90" t="s">
        <v>109</v>
      </c>
      <c r="Y33" s="90" t="s">
        <v>560</v>
      </c>
      <c r="Z33" s="102" t="s">
        <v>654</v>
      </c>
      <c r="AA33" s="102" t="s">
        <v>51</v>
      </c>
      <c r="AB33" s="90" t="s">
        <v>783</v>
      </c>
      <c r="AC33" s="102" t="s">
        <v>560</v>
      </c>
      <c r="AD33" s="102" t="s">
        <v>560</v>
      </c>
      <c r="AE33" s="102">
        <v>0</v>
      </c>
      <c r="AF33" s="90" t="s">
        <v>656</v>
      </c>
      <c r="AG33" s="90" t="s">
        <v>563</v>
      </c>
    </row>
    <row r="34" spans="1:33" ht="36">
      <c r="A34" s="110">
        <v>44937</v>
      </c>
      <c r="B34" s="88" t="s">
        <v>139</v>
      </c>
      <c r="C34" s="89" t="s">
        <v>106</v>
      </c>
      <c r="D34" s="88" t="s">
        <v>107</v>
      </c>
      <c r="E34" s="88" t="s">
        <v>108</v>
      </c>
      <c r="F34" s="88" t="s">
        <v>109</v>
      </c>
      <c r="G34" s="90" t="s">
        <v>110</v>
      </c>
      <c r="H34" s="89" t="s">
        <v>111</v>
      </c>
      <c r="I34" s="90" t="s">
        <v>784</v>
      </c>
      <c r="J34" s="89" t="s">
        <v>162</v>
      </c>
      <c r="K34" s="90" t="s">
        <v>785</v>
      </c>
      <c r="L34" s="90" t="s">
        <v>279</v>
      </c>
      <c r="M34" s="90" t="s">
        <v>786</v>
      </c>
      <c r="N34" s="88" t="s">
        <v>670</v>
      </c>
      <c r="O34" s="88" t="s">
        <v>613</v>
      </c>
      <c r="P34" s="88" t="s">
        <v>702</v>
      </c>
      <c r="Q34" s="88" t="s">
        <v>560</v>
      </c>
      <c r="R34" s="90" t="s">
        <v>739</v>
      </c>
      <c r="S34" s="88" t="s">
        <v>560</v>
      </c>
      <c r="T34" s="88" t="s">
        <v>560</v>
      </c>
      <c r="U34" s="88" t="s">
        <v>560</v>
      </c>
      <c r="V34" s="88" t="s">
        <v>560</v>
      </c>
      <c r="W34" s="88" t="s">
        <v>560</v>
      </c>
      <c r="X34" s="90" t="s">
        <v>109</v>
      </c>
      <c r="Y34" s="88" t="s">
        <v>560</v>
      </c>
      <c r="Z34" s="102" t="s">
        <v>654</v>
      </c>
      <c r="AA34" s="102" t="s">
        <v>51</v>
      </c>
      <c r="AB34" s="88" t="s">
        <v>787</v>
      </c>
      <c r="AC34" s="102" t="s">
        <v>560</v>
      </c>
      <c r="AD34" s="102" t="s">
        <v>560</v>
      </c>
      <c r="AE34" s="102">
        <v>0</v>
      </c>
      <c r="AF34" s="88" t="s">
        <v>311</v>
      </c>
      <c r="AG34" s="88" t="s">
        <v>563</v>
      </c>
    </row>
    <row r="35" spans="1:33" ht="36">
      <c r="A35" s="110">
        <v>45162</v>
      </c>
      <c r="B35" s="90" t="s">
        <v>160</v>
      </c>
      <c r="C35" s="89" t="s">
        <v>106</v>
      </c>
      <c r="D35" s="90" t="s">
        <v>107</v>
      </c>
      <c r="E35" s="90" t="s">
        <v>108</v>
      </c>
      <c r="F35" s="90" t="s">
        <v>109</v>
      </c>
      <c r="G35" s="90" t="s">
        <v>110</v>
      </c>
      <c r="H35" s="89" t="s">
        <v>111</v>
      </c>
      <c r="I35" s="90" t="s">
        <v>788</v>
      </c>
      <c r="J35" s="89" t="s">
        <v>789</v>
      </c>
      <c r="K35" s="90" t="s">
        <v>790</v>
      </c>
      <c r="L35" s="90" t="s">
        <v>279</v>
      </c>
      <c r="M35" s="90" t="s">
        <v>791</v>
      </c>
      <c r="N35" s="90" t="s">
        <v>792</v>
      </c>
      <c r="O35" s="90" t="s">
        <v>295</v>
      </c>
      <c r="P35" s="90" t="s">
        <v>793</v>
      </c>
      <c r="Q35" s="90" t="s">
        <v>560</v>
      </c>
      <c r="R35" s="90" t="s">
        <v>739</v>
      </c>
      <c r="S35" s="90" t="s">
        <v>560</v>
      </c>
      <c r="T35" s="90" t="s">
        <v>560</v>
      </c>
      <c r="U35" s="90" t="s">
        <v>560</v>
      </c>
      <c r="V35" s="90" t="s">
        <v>560</v>
      </c>
      <c r="W35" s="90" t="s">
        <v>560</v>
      </c>
      <c r="X35" s="90" t="s">
        <v>109</v>
      </c>
      <c r="Y35" s="90" t="s">
        <v>560</v>
      </c>
      <c r="Z35" s="102" t="s">
        <v>654</v>
      </c>
      <c r="AA35" s="102" t="s">
        <v>51</v>
      </c>
      <c r="AB35" s="90" t="s">
        <v>794</v>
      </c>
      <c r="AC35" s="102" t="s">
        <v>560</v>
      </c>
      <c r="AD35" s="102" t="s">
        <v>560</v>
      </c>
      <c r="AE35" s="102">
        <v>0</v>
      </c>
      <c r="AF35" s="90" t="s">
        <v>311</v>
      </c>
      <c r="AG35" s="90" t="s">
        <v>563</v>
      </c>
    </row>
    <row r="36" spans="1:33" ht="36">
      <c r="A36" s="110">
        <v>45418</v>
      </c>
      <c r="B36" s="90" t="s">
        <v>105</v>
      </c>
      <c r="C36" s="88" t="s">
        <v>106</v>
      </c>
      <c r="D36" s="88" t="s">
        <v>107</v>
      </c>
      <c r="E36" s="89" t="s">
        <v>108</v>
      </c>
      <c r="F36" s="88" t="s">
        <v>109</v>
      </c>
      <c r="G36" s="88" t="s">
        <v>110</v>
      </c>
      <c r="H36" s="88" t="s">
        <v>111</v>
      </c>
      <c r="I36" s="90" t="s">
        <v>795</v>
      </c>
      <c r="J36" s="89" t="s">
        <v>796</v>
      </c>
      <c r="K36" s="90" t="s">
        <v>797</v>
      </c>
      <c r="L36" s="88" t="s">
        <v>114</v>
      </c>
      <c r="M36" s="90" t="s">
        <v>798</v>
      </c>
      <c r="N36" s="88" t="s">
        <v>799</v>
      </c>
      <c r="O36" s="90" t="s">
        <v>116</v>
      </c>
      <c r="P36" s="88" t="s">
        <v>800</v>
      </c>
      <c r="Q36" s="88" t="s">
        <v>560</v>
      </c>
      <c r="R36" s="90" t="s">
        <v>801</v>
      </c>
      <c r="S36" s="88" t="s">
        <v>560</v>
      </c>
      <c r="T36" s="88" t="s">
        <v>560</v>
      </c>
      <c r="U36" s="88" t="s">
        <v>560</v>
      </c>
      <c r="V36" s="88" t="s">
        <v>560</v>
      </c>
      <c r="W36" s="88" t="s">
        <v>560</v>
      </c>
      <c r="X36" s="88" t="s">
        <v>109</v>
      </c>
      <c r="Y36" s="88" t="s">
        <v>560</v>
      </c>
      <c r="Z36" s="88" t="s">
        <v>731</v>
      </c>
      <c r="AA36" s="102" t="s">
        <v>51</v>
      </c>
      <c r="AB36" s="116" t="s">
        <v>802</v>
      </c>
      <c r="AC36" s="88" t="s">
        <v>560</v>
      </c>
      <c r="AD36" s="88" t="s">
        <v>560</v>
      </c>
      <c r="AE36" s="102">
        <v>0</v>
      </c>
      <c r="AF36" s="90" t="s">
        <v>311</v>
      </c>
      <c r="AG36" s="117" t="s">
        <v>563</v>
      </c>
    </row>
    <row r="37" spans="1:33" ht="24">
      <c r="A37" s="110">
        <v>45478</v>
      </c>
      <c r="B37" s="90" t="s">
        <v>105</v>
      </c>
      <c r="C37" s="88" t="s">
        <v>106</v>
      </c>
      <c r="D37" s="88" t="s">
        <v>107</v>
      </c>
      <c r="E37" s="89" t="s">
        <v>108</v>
      </c>
      <c r="F37" s="88" t="s">
        <v>109</v>
      </c>
      <c r="G37" s="88" t="s">
        <v>110</v>
      </c>
      <c r="H37" s="88" t="s">
        <v>111</v>
      </c>
      <c r="I37" s="90" t="s">
        <v>803</v>
      </c>
      <c r="J37" s="89" t="s">
        <v>804</v>
      </c>
      <c r="K37" s="90" t="s">
        <v>217</v>
      </c>
      <c r="L37" s="88" t="s">
        <v>218</v>
      </c>
      <c r="M37" s="90" t="s">
        <v>805</v>
      </c>
      <c r="N37" s="88" t="s">
        <v>806</v>
      </c>
      <c r="O37" s="90" t="s">
        <v>116</v>
      </c>
      <c r="P37" s="88" t="s">
        <v>220</v>
      </c>
      <c r="Q37" s="88" t="s">
        <v>560</v>
      </c>
      <c r="R37" s="88" t="s">
        <v>560</v>
      </c>
      <c r="S37" s="88" t="s">
        <v>560</v>
      </c>
      <c r="T37" s="88" t="s">
        <v>560</v>
      </c>
      <c r="U37" s="88" t="s">
        <v>560</v>
      </c>
      <c r="V37" s="88" t="s">
        <v>560</v>
      </c>
      <c r="W37" s="88" t="s">
        <v>560</v>
      </c>
      <c r="X37" s="88" t="s">
        <v>109</v>
      </c>
      <c r="Y37" s="88" t="s">
        <v>560</v>
      </c>
      <c r="Z37" s="88" t="s">
        <v>807</v>
      </c>
      <c r="AA37" s="102" t="s">
        <v>51</v>
      </c>
      <c r="AB37" s="116" t="s">
        <v>808</v>
      </c>
      <c r="AC37" s="88" t="s">
        <v>560</v>
      </c>
      <c r="AD37" s="88" t="s">
        <v>560</v>
      </c>
      <c r="AE37" s="102">
        <v>0</v>
      </c>
      <c r="AF37" s="90" t="s">
        <v>311</v>
      </c>
      <c r="AG37" s="88" t="s">
        <v>563</v>
      </c>
    </row>
    <row r="38" spans="1:33" ht="36">
      <c r="A38" s="110">
        <v>45271</v>
      </c>
      <c r="B38" s="88" t="s">
        <v>139</v>
      </c>
      <c r="C38" s="88" t="s">
        <v>106</v>
      </c>
      <c r="D38" s="88" t="s">
        <v>107</v>
      </c>
      <c r="E38" s="89" t="s">
        <v>108</v>
      </c>
      <c r="F38" s="88" t="s">
        <v>109</v>
      </c>
      <c r="G38" s="88" t="s">
        <v>110</v>
      </c>
      <c r="H38" s="88" t="s">
        <v>111</v>
      </c>
      <c r="I38" s="90" t="s">
        <v>809</v>
      </c>
      <c r="J38" s="89" t="s">
        <v>810</v>
      </c>
      <c r="K38" s="90" t="s">
        <v>811</v>
      </c>
      <c r="L38" s="89" t="s">
        <v>812</v>
      </c>
      <c r="M38" s="90" t="s">
        <v>813</v>
      </c>
      <c r="N38" s="88" t="s">
        <v>280</v>
      </c>
      <c r="O38" s="90" t="s">
        <v>155</v>
      </c>
      <c r="P38" s="88" t="s">
        <v>814</v>
      </c>
      <c r="Q38" s="88" t="s">
        <v>560</v>
      </c>
      <c r="R38" s="90" t="s">
        <v>739</v>
      </c>
      <c r="S38" s="88" t="s">
        <v>560</v>
      </c>
      <c r="T38" s="88" t="s">
        <v>560</v>
      </c>
      <c r="U38" s="88" t="s">
        <v>560</v>
      </c>
      <c r="V38" s="88" t="s">
        <v>560</v>
      </c>
      <c r="W38" s="88" t="s">
        <v>560</v>
      </c>
      <c r="X38" s="88" t="s">
        <v>109</v>
      </c>
      <c r="Y38" s="88" t="s">
        <v>560</v>
      </c>
      <c r="Z38" s="88" t="s">
        <v>654</v>
      </c>
      <c r="AA38" s="102" t="s">
        <v>51</v>
      </c>
      <c r="AB38" s="102" t="s">
        <v>815</v>
      </c>
      <c r="AC38" s="88" t="s">
        <v>560</v>
      </c>
      <c r="AD38" s="88" t="s">
        <v>560</v>
      </c>
      <c r="AE38" s="102" t="s">
        <v>815</v>
      </c>
      <c r="AF38" s="92" t="s">
        <v>656</v>
      </c>
      <c r="AG38" s="88" t="s">
        <v>563</v>
      </c>
    </row>
    <row r="39" spans="1:33" ht="60">
      <c r="A39" s="110">
        <v>45021</v>
      </c>
      <c r="B39" s="88" t="s">
        <v>105</v>
      </c>
      <c r="C39" s="88" t="s">
        <v>106</v>
      </c>
      <c r="D39" s="88" t="s">
        <v>107</v>
      </c>
      <c r="E39" s="89" t="s">
        <v>108</v>
      </c>
      <c r="F39" s="88" t="s">
        <v>109</v>
      </c>
      <c r="G39" s="88" t="s">
        <v>110</v>
      </c>
      <c r="H39" s="88" t="s">
        <v>111</v>
      </c>
      <c r="I39" s="90" t="s">
        <v>816</v>
      </c>
      <c r="J39" s="89" t="s">
        <v>162</v>
      </c>
      <c r="K39" s="90" t="s">
        <v>817</v>
      </c>
      <c r="L39" s="90" t="s">
        <v>818</v>
      </c>
      <c r="M39" s="89" t="s">
        <v>819</v>
      </c>
      <c r="N39" s="88" t="s">
        <v>820</v>
      </c>
      <c r="O39" s="90" t="s">
        <v>116</v>
      </c>
      <c r="P39" s="88" t="s">
        <v>821</v>
      </c>
      <c r="Q39" s="88" t="s">
        <v>560</v>
      </c>
      <c r="R39" s="88" t="s">
        <v>822</v>
      </c>
      <c r="S39" s="88" t="s">
        <v>823</v>
      </c>
      <c r="T39" s="88" t="s">
        <v>824</v>
      </c>
      <c r="U39" s="88" t="s">
        <v>560</v>
      </c>
      <c r="V39" s="88" t="s">
        <v>560</v>
      </c>
      <c r="W39" s="88" t="s">
        <v>560</v>
      </c>
      <c r="X39" s="88" t="s">
        <v>109</v>
      </c>
      <c r="Y39" s="88" t="s">
        <v>560</v>
      </c>
      <c r="Z39" s="90" t="s">
        <v>825</v>
      </c>
      <c r="AA39" s="102" t="s">
        <v>51</v>
      </c>
      <c r="AB39" s="102">
        <v>379845.19</v>
      </c>
      <c r="AC39" s="88" t="s">
        <v>560</v>
      </c>
      <c r="AD39" s="88" t="s">
        <v>560</v>
      </c>
      <c r="AE39" s="102">
        <v>379845.19</v>
      </c>
      <c r="AF39" s="92" t="s">
        <v>311</v>
      </c>
      <c r="AG39" s="88" t="s">
        <v>563</v>
      </c>
    </row>
    <row r="40" spans="1:33" ht="60">
      <c r="A40" s="110">
        <v>44594</v>
      </c>
      <c r="B40" s="88" t="s">
        <v>139</v>
      </c>
      <c r="C40" s="88" t="s">
        <v>106</v>
      </c>
      <c r="D40" s="88" t="s">
        <v>107</v>
      </c>
      <c r="E40" s="89" t="s">
        <v>108</v>
      </c>
      <c r="F40" s="88" t="s">
        <v>109</v>
      </c>
      <c r="G40" s="88" t="s">
        <v>110</v>
      </c>
      <c r="H40" s="88" t="s">
        <v>111</v>
      </c>
      <c r="I40" s="90" t="s">
        <v>826</v>
      </c>
      <c r="J40" s="89" t="s">
        <v>162</v>
      </c>
      <c r="K40" s="90" t="s">
        <v>827</v>
      </c>
      <c r="L40" s="90" t="s">
        <v>279</v>
      </c>
      <c r="M40" s="89" t="s">
        <v>828</v>
      </c>
      <c r="N40" s="88" t="s">
        <v>670</v>
      </c>
      <c r="O40" s="90" t="s">
        <v>613</v>
      </c>
      <c r="P40" s="88" t="s">
        <v>702</v>
      </c>
      <c r="Q40" s="88" t="s">
        <v>560</v>
      </c>
      <c r="R40" s="88" t="s">
        <v>640</v>
      </c>
      <c r="S40" s="88" t="s">
        <v>560</v>
      </c>
      <c r="T40" s="88" t="s">
        <v>560</v>
      </c>
      <c r="U40" s="88" t="s">
        <v>560</v>
      </c>
      <c r="V40" s="88" t="s">
        <v>560</v>
      </c>
      <c r="W40" s="88" t="s">
        <v>560</v>
      </c>
      <c r="X40" s="88" t="s">
        <v>109</v>
      </c>
      <c r="Y40" s="88" t="s">
        <v>560</v>
      </c>
      <c r="Z40" s="90" t="s">
        <v>829</v>
      </c>
      <c r="AA40" s="102" t="s">
        <v>51</v>
      </c>
      <c r="AB40" s="102">
        <v>323273.77</v>
      </c>
      <c r="AC40" s="88" t="s">
        <v>560</v>
      </c>
      <c r="AD40" s="88" t="s">
        <v>560</v>
      </c>
      <c r="AE40" s="102">
        <v>323273.77</v>
      </c>
      <c r="AF40" s="92" t="s">
        <v>311</v>
      </c>
      <c r="AG40" s="88" t="s">
        <v>563</v>
      </c>
    </row>
    <row r="41" spans="1:33" ht="48">
      <c r="A41" s="110">
        <v>45310</v>
      </c>
      <c r="B41" s="88" t="s">
        <v>139</v>
      </c>
      <c r="C41" s="88" t="s">
        <v>106</v>
      </c>
      <c r="D41" s="88" t="s">
        <v>107</v>
      </c>
      <c r="E41" s="89" t="s">
        <v>108</v>
      </c>
      <c r="F41" s="88" t="s">
        <v>109</v>
      </c>
      <c r="G41" s="88" t="s">
        <v>110</v>
      </c>
      <c r="H41" s="88" t="s">
        <v>111</v>
      </c>
      <c r="I41" s="90" t="s">
        <v>830</v>
      </c>
      <c r="J41" s="89" t="s">
        <v>831</v>
      </c>
      <c r="K41" s="90" t="s">
        <v>832</v>
      </c>
      <c r="L41" s="90" t="s">
        <v>833</v>
      </c>
      <c r="M41" s="89" t="s">
        <v>834</v>
      </c>
      <c r="N41" s="88" t="s">
        <v>835</v>
      </c>
      <c r="O41" s="90" t="s">
        <v>836</v>
      </c>
      <c r="P41" s="88" t="s">
        <v>837</v>
      </c>
      <c r="Q41" s="88" t="s">
        <v>560</v>
      </c>
      <c r="R41" s="88" t="s">
        <v>560</v>
      </c>
      <c r="S41" s="88" t="s">
        <v>560</v>
      </c>
      <c r="T41" s="88" t="s">
        <v>560</v>
      </c>
      <c r="U41" s="88" t="s">
        <v>560</v>
      </c>
      <c r="V41" s="88" t="s">
        <v>560</v>
      </c>
      <c r="W41" s="88" t="s">
        <v>560</v>
      </c>
      <c r="X41" s="88" t="s">
        <v>109</v>
      </c>
      <c r="Y41" s="88" t="s">
        <v>560</v>
      </c>
      <c r="Z41" s="90" t="s">
        <v>654</v>
      </c>
      <c r="AA41" s="102" t="s">
        <v>51</v>
      </c>
      <c r="AB41" s="102" t="s">
        <v>838</v>
      </c>
      <c r="AC41" s="88" t="s">
        <v>560</v>
      </c>
      <c r="AD41" s="88" t="s">
        <v>560</v>
      </c>
      <c r="AE41" s="102" t="s">
        <v>838</v>
      </c>
      <c r="AF41" s="92" t="s">
        <v>656</v>
      </c>
      <c r="AG41" s="88" t="s">
        <v>563</v>
      </c>
    </row>
    <row r="42" spans="1:33" ht="48">
      <c r="A42" s="110">
        <v>45120</v>
      </c>
      <c r="B42" s="88" t="s">
        <v>160</v>
      </c>
      <c r="C42" s="88" t="s">
        <v>106</v>
      </c>
      <c r="D42" s="88" t="s">
        <v>107</v>
      </c>
      <c r="E42" s="89" t="s">
        <v>108</v>
      </c>
      <c r="F42" s="88" t="s">
        <v>109</v>
      </c>
      <c r="G42" s="88" t="s">
        <v>110</v>
      </c>
      <c r="H42" s="88" t="s">
        <v>111</v>
      </c>
      <c r="I42" s="90" t="s">
        <v>839</v>
      </c>
      <c r="J42" s="89" t="s">
        <v>840</v>
      </c>
      <c r="K42" s="90" t="s">
        <v>841</v>
      </c>
      <c r="L42" s="90" t="s">
        <v>842</v>
      </c>
      <c r="M42" s="89" t="s">
        <v>843</v>
      </c>
      <c r="N42" s="88" t="s">
        <v>844</v>
      </c>
      <c r="O42" s="90" t="s">
        <v>295</v>
      </c>
      <c r="P42" s="88" t="s">
        <v>845</v>
      </c>
      <c r="Q42" s="88" t="s">
        <v>560</v>
      </c>
      <c r="R42" s="88" t="s">
        <v>560</v>
      </c>
      <c r="S42" s="88" t="s">
        <v>560</v>
      </c>
      <c r="T42" s="88" t="s">
        <v>560</v>
      </c>
      <c r="U42" s="88" t="s">
        <v>560</v>
      </c>
      <c r="V42" s="88" t="s">
        <v>560</v>
      </c>
      <c r="W42" s="88" t="s">
        <v>560</v>
      </c>
      <c r="X42" s="88" t="s">
        <v>109</v>
      </c>
      <c r="Y42" s="88" t="s">
        <v>560</v>
      </c>
      <c r="Z42" s="90" t="s">
        <v>654</v>
      </c>
      <c r="AA42" s="102" t="s">
        <v>51</v>
      </c>
      <c r="AB42" s="102">
        <v>79242.509999999995</v>
      </c>
      <c r="AC42" s="88" t="s">
        <v>560</v>
      </c>
      <c r="AD42" s="88" t="s">
        <v>560</v>
      </c>
      <c r="AE42" s="102">
        <v>79242.509999999995</v>
      </c>
      <c r="AF42" s="92" t="s">
        <v>311</v>
      </c>
      <c r="AG42" s="88" t="s">
        <v>563</v>
      </c>
    </row>
    <row r="43" spans="1:33" ht="60">
      <c r="A43" s="110">
        <v>45419</v>
      </c>
      <c r="B43" s="88" t="s">
        <v>139</v>
      </c>
      <c r="C43" s="88" t="s">
        <v>106</v>
      </c>
      <c r="D43" s="88" t="s">
        <v>107</v>
      </c>
      <c r="E43" s="89" t="s">
        <v>108</v>
      </c>
      <c r="F43" s="88" t="s">
        <v>109</v>
      </c>
      <c r="G43" s="88" t="s">
        <v>110</v>
      </c>
      <c r="H43" s="88" t="s">
        <v>111</v>
      </c>
      <c r="I43" s="90" t="s">
        <v>846</v>
      </c>
      <c r="J43" s="89" t="s">
        <v>847</v>
      </c>
      <c r="K43" s="90" t="s">
        <v>848</v>
      </c>
      <c r="L43" s="90" t="s">
        <v>849</v>
      </c>
      <c r="M43" s="89" t="s">
        <v>850</v>
      </c>
      <c r="N43" s="88" t="s">
        <v>851</v>
      </c>
      <c r="O43" s="90" t="s">
        <v>155</v>
      </c>
      <c r="P43" s="88" t="s">
        <v>662</v>
      </c>
      <c r="Q43" s="88" t="s">
        <v>560</v>
      </c>
      <c r="R43" s="88" t="s">
        <v>560</v>
      </c>
      <c r="S43" s="88" t="s">
        <v>560</v>
      </c>
      <c r="T43" s="88" t="s">
        <v>560</v>
      </c>
      <c r="U43" s="88" t="s">
        <v>560</v>
      </c>
      <c r="V43" s="88" t="s">
        <v>560</v>
      </c>
      <c r="W43" s="88" t="s">
        <v>560</v>
      </c>
      <c r="X43" s="88" t="s">
        <v>109</v>
      </c>
      <c r="Y43" s="88" t="s">
        <v>560</v>
      </c>
      <c r="Z43" s="90" t="s">
        <v>654</v>
      </c>
      <c r="AA43" s="88" t="s">
        <v>207</v>
      </c>
      <c r="AB43" s="102" t="s">
        <v>664</v>
      </c>
      <c r="AC43" s="88" t="s">
        <v>560</v>
      </c>
      <c r="AD43" s="88" t="s">
        <v>560</v>
      </c>
      <c r="AE43" s="102" t="s">
        <v>664</v>
      </c>
      <c r="AF43" s="92" t="s">
        <v>311</v>
      </c>
      <c r="AG43" s="88" t="s">
        <v>563</v>
      </c>
    </row>
    <row r="44" spans="1:33" ht="48">
      <c r="A44" s="110">
        <v>45445</v>
      </c>
      <c r="B44" s="88" t="s">
        <v>139</v>
      </c>
      <c r="C44" s="88" t="s">
        <v>106</v>
      </c>
      <c r="D44" s="88" t="s">
        <v>107</v>
      </c>
      <c r="E44" s="89" t="s">
        <v>108</v>
      </c>
      <c r="F44" s="88" t="s">
        <v>109</v>
      </c>
      <c r="G44" s="88" t="s">
        <v>110</v>
      </c>
      <c r="H44" s="88" t="s">
        <v>111</v>
      </c>
      <c r="I44" s="90" t="s">
        <v>852</v>
      </c>
      <c r="J44" s="89" t="s">
        <v>853</v>
      </c>
      <c r="K44" s="90" t="s">
        <v>854</v>
      </c>
      <c r="L44" s="90" t="s">
        <v>855</v>
      </c>
      <c r="M44" s="89" t="s">
        <v>856</v>
      </c>
      <c r="N44" s="88" t="s">
        <v>857</v>
      </c>
      <c r="O44" s="90" t="s">
        <v>155</v>
      </c>
      <c r="P44" s="88" t="s">
        <v>858</v>
      </c>
      <c r="Q44" s="88" t="s">
        <v>560</v>
      </c>
      <c r="R44" s="88" t="s">
        <v>560</v>
      </c>
      <c r="S44" s="88" t="s">
        <v>560</v>
      </c>
      <c r="T44" s="88" t="s">
        <v>560</v>
      </c>
      <c r="U44" s="88" t="s">
        <v>560</v>
      </c>
      <c r="V44" s="88" t="s">
        <v>560</v>
      </c>
      <c r="W44" s="88" t="s">
        <v>560</v>
      </c>
      <c r="X44" s="88" t="s">
        <v>109</v>
      </c>
      <c r="Y44" s="88" t="s">
        <v>560</v>
      </c>
      <c r="Z44" s="90" t="s">
        <v>654</v>
      </c>
      <c r="AA44" s="102" t="s">
        <v>51</v>
      </c>
      <c r="AB44" s="102" t="s">
        <v>859</v>
      </c>
      <c r="AC44" s="88" t="s">
        <v>560</v>
      </c>
      <c r="AD44" s="88" t="s">
        <v>560</v>
      </c>
      <c r="AE44" s="102">
        <v>0</v>
      </c>
      <c r="AF44" s="92" t="s">
        <v>311</v>
      </c>
      <c r="AG44" s="88" t="s">
        <v>563</v>
      </c>
    </row>
    <row r="45" spans="1:33" ht="48">
      <c r="A45" s="110">
        <v>45453</v>
      </c>
      <c r="B45" s="88" t="s">
        <v>139</v>
      </c>
      <c r="C45" s="88" t="s">
        <v>106</v>
      </c>
      <c r="D45" s="88" t="s">
        <v>107</v>
      </c>
      <c r="E45" s="89" t="s">
        <v>108</v>
      </c>
      <c r="F45" s="88" t="s">
        <v>109</v>
      </c>
      <c r="G45" s="88" t="s">
        <v>110</v>
      </c>
      <c r="H45" s="88" t="s">
        <v>111</v>
      </c>
      <c r="I45" s="90" t="s">
        <v>860</v>
      </c>
      <c r="J45" s="89" t="s">
        <v>853</v>
      </c>
      <c r="K45" s="90" t="s">
        <v>861</v>
      </c>
      <c r="L45" s="90" t="s">
        <v>855</v>
      </c>
      <c r="M45" s="89" t="s">
        <v>862</v>
      </c>
      <c r="N45" s="88" t="s">
        <v>863</v>
      </c>
      <c r="O45" s="90" t="s">
        <v>155</v>
      </c>
      <c r="P45" s="88" t="s">
        <v>864</v>
      </c>
      <c r="Q45" s="88" t="s">
        <v>560</v>
      </c>
      <c r="R45" s="88" t="s">
        <v>560</v>
      </c>
      <c r="S45" s="88" t="s">
        <v>560</v>
      </c>
      <c r="T45" s="88" t="s">
        <v>560</v>
      </c>
      <c r="U45" s="88" t="s">
        <v>560</v>
      </c>
      <c r="V45" s="88" t="s">
        <v>560</v>
      </c>
      <c r="W45" s="88" t="s">
        <v>560</v>
      </c>
      <c r="X45" s="88" t="s">
        <v>109</v>
      </c>
      <c r="Y45" s="88" t="s">
        <v>560</v>
      </c>
      <c r="Z45" s="90" t="s">
        <v>654</v>
      </c>
      <c r="AA45" s="102" t="s">
        <v>51</v>
      </c>
      <c r="AB45" s="102" t="s">
        <v>865</v>
      </c>
      <c r="AC45" s="88" t="s">
        <v>560</v>
      </c>
      <c r="AD45" s="88" t="s">
        <v>560</v>
      </c>
      <c r="AE45" s="92">
        <v>0</v>
      </c>
      <c r="AF45" s="92" t="s">
        <v>311</v>
      </c>
      <c r="AG45" s="88" t="s">
        <v>563</v>
      </c>
    </row>
    <row r="46" spans="1:33" ht="48">
      <c r="A46" s="110">
        <v>45453</v>
      </c>
      <c r="B46" s="88" t="s">
        <v>139</v>
      </c>
      <c r="C46" s="88" t="s">
        <v>106</v>
      </c>
      <c r="D46" s="88" t="s">
        <v>107</v>
      </c>
      <c r="E46" s="89" t="s">
        <v>108</v>
      </c>
      <c r="F46" s="88" t="s">
        <v>109</v>
      </c>
      <c r="G46" s="88" t="s">
        <v>110</v>
      </c>
      <c r="H46" s="88" t="s">
        <v>111</v>
      </c>
      <c r="I46" s="90" t="s">
        <v>866</v>
      </c>
      <c r="J46" s="89" t="s">
        <v>867</v>
      </c>
      <c r="K46" s="90" t="s">
        <v>861</v>
      </c>
      <c r="L46" s="90" t="s">
        <v>855</v>
      </c>
      <c r="M46" s="89" t="s">
        <v>868</v>
      </c>
      <c r="N46" s="88" t="s">
        <v>869</v>
      </c>
      <c r="O46" s="90" t="s">
        <v>155</v>
      </c>
      <c r="P46" s="88" t="s">
        <v>606</v>
      </c>
      <c r="Q46" s="88" t="s">
        <v>560</v>
      </c>
      <c r="R46" s="88" t="s">
        <v>560</v>
      </c>
      <c r="S46" s="88" t="s">
        <v>560</v>
      </c>
      <c r="T46" s="88" t="s">
        <v>560</v>
      </c>
      <c r="U46" s="88" t="s">
        <v>560</v>
      </c>
      <c r="V46" s="88" t="s">
        <v>560</v>
      </c>
      <c r="W46" s="88" t="s">
        <v>560</v>
      </c>
      <c r="X46" s="88" t="s">
        <v>109</v>
      </c>
      <c r="Y46" s="88" t="s">
        <v>560</v>
      </c>
      <c r="Z46" s="90" t="s">
        <v>654</v>
      </c>
      <c r="AA46" s="102" t="s">
        <v>51</v>
      </c>
      <c r="AB46" s="102" t="s">
        <v>870</v>
      </c>
      <c r="AC46" s="88" t="s">
        <v>560</v>
      </c>
      <c r="AD46" s="88" t="s">
        <v>560</v>
      </c>
      <c r="AE46" s="102">
        <v>0</v>
      </c>
      <c r="AF46" s="92" t="s">
        <v>311</v>
      </c>
      <c r="AG46" s="88" t="s">
        <v>563</v>
      </c>
    </row>
    <row r="47" spans="1:33" ht="48">
      <c r="A47" s="110">
        <v>45441</v>
      </c>
      <c r="B47" s="88" t="s">
        <v>139</v>
      </c>
      <c r="C47" s="88" t="s">
        <v>106</v>
      </c>
      <c r="D47" s="88" t="s">
        <v>107</v>
      </c>
      <c r="E47" s="89" t="s">
        <v>108</v>
      </c>
      <c r="F47" s="88" t="s">
        <v>109</v>
      </c>
      <c r="G47" s="88" t="s">
        <v>110</v>
      </c>
      <c r="H47" s="88" t="s">
        <v>111</v>
      </c>
      <c r="I47" s="90" t="s">
        <v>871</v>
      </c>
      <c r="J47" s="89" t="s">
        <v>872</v>
      </c>
      <c r="K47" s="90" t="s">
        <v>399</v>
      </c>
      <c r="L47" s="90" t="s">
        <v>263</v>
      </c>
      <c r="M47" s="89" t="s">
        <v>873</v>
      </c>
      <c r="N47" s="88" t="s">
        <v>874</v>
      </c>
      <c r="O47" s="90" t="s">
        <v>155</v>
      </c>
      <c r="P47" s="88" t="s">
        <v>399</v>
      </c>
      <c r="Q47" s="88" t="s">
        <v>560</v>
      </c>
      <c r="R47" s="88" t="s">
        <v>560</v>
      </c>
      <c r="S47" s="88" t="s">
        <v>560</v>
      </c>
      <c r="T47" s="88" t="s">
        <v>560</v>
      </c>
      <c r="U47" s="88" t="s">
        <v>560</v>
      </c>
      <c r="V47" s="88" t="s">
        <v>560</v>
      </c>
      <c r="W47" s="88" t="s">
        <v>560</v>
      </c>
      <c r="X47" s="88" t="s">
        <v>109</v>
      </c>
      <c r="Y47" s="88" t="s">
        <v>560</v>
      </c>
      <c r="Z47" s="90" t="s">
        <v>654</v>
      </c>
      <c r="AA47" s="102" t="s">
        <v>51</v>
      </c>
      <c r="AB47" s="102" t="s">
        <v>875</v>
      </c>
      <c r="AC47" s="88" t="s">
        <v>560</v>
      </c>
      <c r="AD47" s="88" t="s">
        <v>560</v>
      </c>
      <c r="AE47" s="102">
        <v>0</v>
      </c>
      <c r="AF47" s="92" t="s">
        <v>656</v>
      </c>
      <c r="AG47" s="88" t="s">
        <v>563</v>
      </c>
    </row>
    <row r="48" spans="1:33" ht="72">
      <c r="A48" s="110">
        <v>45203</v>
      </c>
      <c r="B48" s="88" t="s">
        <v>105</v>
      </c>
      <c r="C48" s="88" t="s">
        <v>106</v>
      </c>
      <c r="D48" s="88" t="s">
        <v>107</v>
      </c>
      <c r="E48" s="89" t="s">
        <v>108</v>
      </c>
      <c r="F48" s="88" t="s">
        <v>109</v>
      </c>
      <c r="G48" s="88" t="s">
        <v>110</v>
      </c>
      <c r="H48" s="88" t="s">
        <v>111</v>
      </c>
      <c r="I48" s="90" t="s">
        <v>876</v>
      </c>
      <c r="J48" s="89" t="s">
        <v>877</v>
      </c>
      <c r="K48" s="90" t="s">
        <v>878</v>
      </c>
      <c r="L48" s="89" t="s">
        <v>114</v>
      </c>
      <c r="M48" s="90" t="s">
        <v>879</v>
      </c>
      <c r="N48" s="88" t="s">
        <v>880</v>
      </c>
      <c r="O48" s="90" t="s">
        <v>116</v>
      </c>
      <c r="P48" s="88" t="s">
        <v>881</v>
      </c>
      <c r="Q48" s="88" t="s">
        <v>560</v>
      </c>
      <c r="R48" s="88" t="s">
        <v>654</v>
      </c>
      <c r="S48" s="88" t="s">
        <v>560</v>
      </c>
      <c r="T48" s="88" t="s">
        <v>560</v>
      </c>
      <c r="U48" s="88" t="s">
        <v>560</v>
      </c>
      <c r="V48" s="88" t="s">
        <v>560</v>
      </c>
      <c r="W48" s="88" t="s">
        <v>560</v>
      </c>
      <c r="X48" s="88" t="s">
        <v>109</v>
      </c>
      <c r="Y48" s="88" t="s">
        <v>560</v>
      </c>
      <c r="Z48" s="90" t="s">
        <v>654</v>
      </c>
      <c r="AA48" s="102" t="s">
        <v>51</v>
      </c>
      <c r="AB48" s="102" t="s">
        <v>882</v>
      </c>
      <c r="AC48" s="88" t="s">
        <v>560</v>
      </c>
      <c r="AD48" s="88" t="s">
        <v>560</v>
      </c>
      <c r="AE48" s="102">
        <v>0</v>
      </c>
      <c r="AF48" s="92" t="s">
        <v>656</v>
      </c>
      <c r="AG48" s="88" t="s">
        <v>563</v>
      </c>
    </row>
    <row r="49" spans="1:33" ht="48">
      <c r="A49" s="110">
        <v>44974</v>
      </c>
      <c r="B49" s="88" t="s">
        <v>139</v>
      </c>
      <c r="C49" s="88" t="s">
        <v>106</v>
      </c>
      <c r="D49" s="89" t="s">
        <v>107</v>
      </c>
      <c r="E49" s="88" t="s">
        <v>108</v>
      </c>
      <c r="F49" s="88" t="s">
        <v>109</v>
      </c>
      <c r="G49" s="88" t="s">
        <v>110</v>
      </c>
      <c r="H49" s="90" t="s">
        <v>111</v>
      </c>
      <c r="I49" s="89" t="s">
        <v>883</v>
      </c>
      <c r="J49" s="90" t="s">
        <v>884</v>
      </c>
      <c r="K49" s="89" t="s">
        <v>885</v>
      </c>
      <c r="L49" s="89" t="s">
        <v>143</v>
      </c>
      <c r="M49" s="90" t="s">
        <v>886</v>
      </c>
      <c r="N49" s="90" t="s">
        <v>306</v>
      </c>
      <c r="O49" s="88" t="s">
        <v>145</v>
      </c>
      <c r="P49" s="88" t="s">
        <v>887</v>
      </c>
      <c r="Q49" s="88" t="s">
        <v>560</v>
      </c>
      <c r="R49" s="88" t="s">
        <v>888</v>
      </c>
      <c r="S49" s="88" t="s">
        <v>889</v>
      </c>
      <c r="T49" s="88" t="s">
        <v>890</v>
      </c>
      <c r="U49" s="88" t="s">
        <v>560</v>
      </c>
      <c r="V49" s="88" t="s">
        <v>560</v>
      </c>
      <c r="W49" s="88" t="s">
        <v>560</v>
      </c>
      <c r="X49" s="88" t="s">
        <v>109</v>
      </c>
      <c r="Y49" s="90" t="s">
        <v>560</v>
      </c>
      <c r="Z49" s="88" t="s">
        <v>825</v>
      </c>
      <c r="AA49" s="102" t="s">
        <v>51</v>
      </c>
      <c r="AB49" s="88" t="s">
        <v>891</v>
      </c>
      <c r="AC49" s="88" t="s">
        <v>560</v>
      </c>
      <c r="AD49" s="102" t="s">
        <v>560</v>
      </c>
      <c r="AE49" s="92" t="s">
        <v>891</v>
      </c>
      <c r="AF49" s="92" t="s">
        <v>656</v>
      </c>
      <c r="AG49" s="88" t="s">
        <v>563</v>
      </c>
    </row>
    <row r="50" spans="1:33" ht="36">
      <c r="A50" s="110">
        <v>45156</v>
      </c>
      <c r="B50" s="88" t="s">
        <v>139</v>
      </c>
      <c r="C50" s="88" t="s">
        <v>106</v>
      </c>
      <c r="D50" s="89" t="s">
        <v>107</v>
      </c>
      <c r="E50" s="88" t="s">
        <v>108</v>
      </c>
      <c r="F50" s="88" t="s">
        <v>109</v>
      </c>
      <c r="G50" s="88" t="s">
        <v>110</v>
      </c>
      <c r="H50" s="90" t="s">
        <v>111</v>
      </c>
      <c r="I50" s="89" t="s">
        <v>892</v>
      </c>
      <c r="J50" s="90" t="s">
        <v>893</v>
      </c>
      <c r="K50" s="89" t="s">
        <v>894</v>
      </c>
      <c r="L50" s="89" t="s">
        <v>143</v>
      </c>
      <c r="M50" s="90" t="s">
        <v>895</v>
      </c>
      <c r="N50" s="90" t="s">
        <v>306</v>
      </c>
      <c r="O50" s="88" t="s">
        <v>145</v>
      </c>
      <c r="P50" s="88" t="s">
        <v>887</v>
      </c>
      <c r="Q50" s="88" t="s">
        <v>560</v>
      </c>
      <c r="R50" s="88" t="s">
        <v>654</v>
      </c>
      <c r="S50" s="88" t="s">
        <v>560</v>
      </c>
      <c r="T50" s="88" t="s">
        <v>560</v>
      </c>
      <c r="U50" s="88" t="s">
        <v>560</v>
      </c>
      <c r="V50" s="88" t="s">
        <v>560</v>
      </c>
      <c r="W50" s="88" t="s">
        <v>560</v>
      </c>
      <c r="X50" s="88" t="s">
        <v>109</v>
      </c>
      <c r="Y50" s="90" t="s">
        <v>560</v>
      </c>
      <c r="Z50" s="88" t="s">
        <v>654</v>
      </c>
      <c r="AA50" s="102" t="s">
        <v>51</v>
      </c>
      <c r="AB50" s="118">
        <v>35154.699999999997</v>
      </c>
      <c r="AC50" s="88" t="s">
        <v>560</v>
      </c>
      <c r="AD50" s="102" t="s">
        <v>560</v>
      </c>
      <c r="AE50" s="92">
        <v>0</v>
      </c>
      <c r="AF50" s="92" t="s">
        <v>656</v>
      </c>
      <c r="AG50" s="88" t="s">
        <v>563</v>
      </c>
    </row>
    <row r="51" spans="1:33" ht="36">
      <c r="A51" s="110">
        <v>45313</v>
      </c>
      <c r="B51" s="88" t="s">
        <v>139</v>
      </c>
      <c r="C51" s="88" t="s">
        <v>106</v>
      </c>
      <c r="D51" s="89" t="s">
        <v>107</v>
      </c>
      <c r="E51" s="88" t="s">
        <v>108</v>
      </c>
      <c r="F51" s="88" t="s">
        <v>109</v>
      </c>
      <c r="G51" s="88" t="s">
        <v>110</v>
      </c>
      <c r="H51" s="90" t="s">
        <v>111</v>
      </c>
      <c r="I51" s="89" t="s">
        <v>896</v>
      </c>
      <c r="J51" s="90" t="s">
        <v>897</v>
      </c>
      <c r="K51" s="89" t="s">
        <v>898</v>
      </c>
      <c r="L51" s="89" t="s">
        <v>668</v>
      </c>
      <c r="M51" s="90" t="s">
        <v>899</v>
      </c>
      <c r="N51" s="90" t="s">
        <v>900</v>
      </c>
      <c r="O51" s="88" t="s">
        <v>155</v>
      </c>
      <c r="P51" s="88" t="s">
        <v>901</v>
      </c>
      <c r="Q51" s="88" t="s">
        <v>560</v>
      </c>
      <c r="R51" s="88" t="s">
        <v>654</v>
      </c>
      <c r="S51" s="88" t="s">
        <v>560</v>
      </c>
      <c r="T51" s="88" t="s">
        <v>560</v>
      </c>
      <c r="U51" s="88" t="s">
        <v>560</v>
      </c>
      <c r="V51" s="88" t="s">
        <v>560</v>
      </c>
      <c r="W51" s="88" t="s">
        <v>560</v>
      </c>
      <c r="X51" s="88" t="s">
        <v>109</v>
      </c>
      <c r="Y51" s="90" t="s">
        <v>560</v>
      </c>
      <c r="Z51" s="88" t="s">
        <v>654</v>
      </c>
      <c r="AA51" s="102" t="s">
        <v>51</v>
      </c>
      <c r="AB51" s="118" t="s">
        <v>680</v>
      </c>
      <c r="AC51" s="88" t="s">
        <v>560</v>
      </c>
      <c r="AD51" s="102" t="s">
        <v>560</v>
      </c>
      <c r="AE51" s="92">
        <v>0</v>
      </c>
      <c r="AF51" s="92" t="s">
        <v>656</v>
      </c>
      <c r="AG51" s="88" t="s">
        <v>563</v>
      </c>
    </row>
    <row r="52" spans="1:33" ht="36">
      <c r="A52" s="110">
        <v>45419</v>
      </c>
      <c r="B52" s="88" t="s">
        <v>139</v>
      </c>
      <c r="C52" s="88" t="s">
        <v>106</v>
      </c>
      <c r="D52" s="89" t="s">
        <v>107</v>
      </c>
      <c r="E52" s="88" t="s">
        <v>108</v>
      </c>
      <c r="F52" s="88" t="s">
        <v>109</v>
      </c>
      <c r="G52" s="88" t="s">
        <v>110</v>
      </c>
      <c r="H52" s="90" t="s">
        <v>111</v>
      </c>
      <c r="I52" s="89" t="s">
        <v>902</v>
      </c>
      <c r="J52" s="90" t="s">
        <v>903</v>
      </c>
      <c r="K52" s="89" t="s">
        <v>677</v>
      </c>
      <c r="L52" s="89" t="s">
        <v>668</v>
      </c>
      <c r="M52" s="90" t="s">
        <v>904</v>
      </c>
      <c r="N52" s="90" t="s">
        <v>678</v>
      </c>
      <c r="O52" s="88" t="s">
        <v>155</v>
      </c>
      <c r="P52" s="88" t="s">
        <v>905</v>
      </c>
      <c r="Q52" s="88" t="s">
        <v>560</v>
      </c>
      <c r="R52" s="88" t="s">
        <v>654</v>
      </c>
      <c r="S52" s="88" t="s">
        <v>560</v>
      </c>
      <c r="T52" s="88" t="s">
        <v>560</v>
      </c>
      <c r="U52" s="88" t="s">
        <v>560</v>
      </c>
      <c r="V52" s="88" t="s">
        <v>560</v>
      </c>
      <c r="W52" s="88" t="s">
        <v>560</v>
      </c>
      <c r="X52" s="88" t="s">
        <v>109</v>
      </c>
      <c r="Y52" s="90" t="s">
        <v>560</v>
      </c>
      <c r="Z52" s="88" t="s">
        <v>654</v>
      </c>
      <c r="AA52" s="102" t="s">
        <v>51</v>
      </c>
      <c r="AB52" s="118" t="s">
        <v>680</v>
      </c>
      <c r="AC52" s="88" t="s">
        <v>560</v>
      </c>
      <c r="AD52" s="102" t="s">
        <v>560</v>
      </c>
      <c r="AE52" s="92">
        <v>0</v>
      </c>
      <c r="AF52" s="92" t="s">
        <v>656</v>
      </c>
      <c r="AG52" s="88" t="s">
        <v>563</v>
      </c>
    </row>
    <row r="53" spans="1:33" ht="36">
      <c r="A53" s="110">
        <v>45505</v>
      </c>
      <c r="B53" s="88" t="s">
        <v>139</v>
      </c>
      <c r="C53" s="88" t="s">
        <v>106</v>
      </c>
      <c r="D53" s="89" t="s">
        <v>107</v>
      </c>
      <c r="E53" s="88" t="s">
        <v>108</v>
      </c>
      <c r="F53" s="88" t="s">
        <v>109</v>
      </c>
      <c r="G53" s="88" t="s">
        <v>110</v>
      </c>
      <c r="H53" s="90" t="s">
        <v>111</v>
      </c>
      <c r="I53" s="89" t="s">
        <v>906</v>
      </c>
      <c r="J53" s="90" t="s">
        <v>907</v>
      </c>
      <c r="K53" s="89" t="s">
        <v>908</v>
      </c>
      <c r="L53" s="89" t="s">
        <v>909</v>
      </c>
      <c r="M53" s="90" t="s">
        <v>910</v>
      </c>
      <c r="N53" s="90" t="s">
        <v>911</v>
      </c>
      <c r="O53" s="88" t="s">
        <v>155</v>
      </c>
      <c r="P53" s="88" t="s">
        <v>912</v>
      </c>
      <c r="Q53" s="88" t="s">
        <v>560</v>
      </c>
      <c r="R53" s="88" t="s">
        <v>801</v>
      </c>
      <c r="S53" s="88" t="s">
        <v>560</v>
      </c>
      <c r="T53" s="88" t="s">
        <v>560</v>
      </c>
      <c r="U53" s="88" t="s">
        <v>560</v>
      </c>
      <c r="V53" s="88" t="s">
        <v>560</v>
      </c>
      <c r="W53" s="88" t="s">
        <v>560</v>
      </c>
      <c r="X53" s="88" t="s">
        <v>109</v>
      </c>
      <c r="Y53" s="90" t="s">
        <v>560</v>
      </c>
      <c r="Z53" s="88" t="s">
        <v>731</v>
      </c>
      <c r="AA53" s="102" t="s">
        <v>51</v>
      </c>
      <c r="AB53" s="118" t="s">
        <v>1281</v>
      </c>
      <c r="AC53" s="88" t="s">
        <v>560</v>
      </c>
      <c r="AD53" s="102" t="s">
        <v>560</v>
      </c>
      <c r="AE53" s="92">
        <v>0</v>
      </c>
      <c r="AF53" s="92" t="s">
        <v>656</v>
      </c>
      <c r="AG53" s="88" t="s">
        <v>563</v>
      </c>
    </row>
    <row r="54" spans="1:33" ht="132">
      <c r="A54" s="110">
        <v>45162</v>
      </c>
      <c r="B54" s="88" t="s">
        <v>105</v>
      </c>
      <c r="C54" s="88" t="s">
        <v>106</v>
      </c>
      <c r="D54" s="89" t="s">
        <v>107</v>
      </c>
      <c r="E54" s="88" t="s">
        <v>108</v>
      </c>
      <c r="F54" s="88" t="s">
        <v>109</v>
      </c>
      <c r="G54" s="88" t="s">
        <v>110</v>
      </c>
      <c r="H54" s="90" t="s">
        <v>111</v>
      </c>
      <c r="I54" s="89" t="s">
        <v>913</v>
      </c>
      <c r="J54" s="90" t="s">
        <v>914</v>
      </c>
      <c r="K54" s="89" t="s">
        <v>915</v>
      </c>
      <c r="L54" s="89" t="s">
        <v>114</v>
      </c>
      <c r="M54" s="90" t="s">
        <v>916</v>
      </c>
      <c r="N54" s="90" t="s">
        <v>264</v>
      </c>
      <c r="O54" s="88" t="s">
        <v>116</v>
      </c>
      <c r="P54" s="88" t="s">
        <v>917</v>
      </c>
      <c r="Q54" s="88" t="s">
        <v>560</v>
      </c>
      <c r="R54" s="88" t="s">
        <v>918</v>
      </c>
      <c r="S54" s="88" t="s">
        <v>919</v>
      </c>
      <c r="T54" s="88" t="s">
        <v>920</v>
      </c>
      <c r="U54" s="88" t="s">
        <v>560</v>
      </c>
      <c r="V54" s="88" t="s">
        <v>560</v>
      </c>
      <c r="W54" s="88" t="s">
        <v>560</v>
      </c>
      <c r="X54" s="88" t="s">
        <v>109</v>
      </c>
      <c r="Y54" s="90" t="s">
        <v>560</v>
      </c>
      <c r="Z54" s="88" t="s">
        <v>654</v>
      </c>
      <c r="AA54" s="102" t="s">
        <v>51</v>
      </c>
      <c r="AB54" s="118">
        <v>100044.94</v>
      </c>
      <c r="AC54" s="88" t="s">
        <v>560</v>
      </c>
      <c r="AD54" s="102" t="s">
        <v>560</v>
      </c>
      <c r="AE54" s="92">
        <v>0</v>
      </c>
      <c r="AF54" s="92" t="s">
        <v>656</v>
      </c>
      <c r="AG54" s="88" t="s">
        <v>563</v>
      </c>
    </row>
    <row r="55" spans="1:33" ht="72">
      <c r="A55" s="110">
        <v>45029</v>
      </c>
      <c r="B55" s="88" t="s">
        <v>139</v>
      </c>
      <c r="C55" s="88" t="s">
        <v>106</v>
      </c>
      <c r="D55" s="89" t="s">
        <v>107</v>
      </c>
      <c r="E55" s="88" t="s">
        <v>108</v>
      </c>
      <c r="F55" s="88" t="s">
        <v>109</v>
      </c>
      <c r="G55" s="88" t="s">
        <v>110</v>
      </c>
      <c r="H55" s="90" t="s">
        <v>111</v>
      </c>
      <c r="I55" s="89" t="s">
        <v>921</v>
      </c>
      <c r="J55" s="90" t="s">
        <v>922</v>
      </c>
      <c r="K55" s="89" t="s">
        <v>923</v>
      </c>
      <c r="L55" s="89" t="s">
        <v>143</v>
      </c>
      <c r="M55" s="90" t="s">
        <v>924</v>
      </c>
      <c r="N55" s="90" t="s">
        <v>144</v>
      </c>
      <c r="O55" s="88" t="s">
        <v>145</v>
      </c>
      <c r="P55" s="88" t="s">
        <v>925</v>
      </c>
      <c r="Q55" s="88" t="s">
        <v>560</v>
      </c>
      <c r="R55" s="88" t="s">
        <v>888</v>
      </c>
      <c r="S55" s="88" t="s">
        <v>926</v>
      </c>
      <c r="T55" s="88" t="s">
        <v>927</v>
      </c>
      <c r="U55" s="88" t="s">
        <v>560</v>
      </c>
      <c r="V55" s="88" t="s">
        <v>560</v>
      </c>
      <c r="W55" s="88" t="s">
        <v>560</v>
      </c>
      <c r="X55" s="88" t="s">
        <v>109</v>
      </c>
      <c r="Y55" s="90" t="s">
        <v>560</v>
      </c>
      <c r="Z55" s="88" t="s">
        <v>825</v>
      </c>
      <c r="AA55" s="102" t="s">
        <v>577</v>
      </c>
      <c r="AB55" s="118">
        <v>76807.990000000005</v>
      </c>
      <c r="AC55" s="88" t="s">
        <v>560</v>
      </c>
      <c r="AD55" s="102" t="s">
        <v>560</v>
      </c>
      <c r="AE55" s="92">
        <v>0</v>
      </c>
      <c r="AF55" s="92" t="s">
        <v>311</v>
      </c>
      <c r="AG55" s="88" t="s">
        <v>563</v>
      </c>
    </row>
    <row r="56" spans="1:33" ht="84">
      <c r="A56" s="110">
        <v>45275</v>
      </c>
      <c r="B56" s="88" t="s">
        <v>139</v>
      </c>
      <c r="C56" s="88" t="s">
        <v>106</v>
      </c>
      <c r="D56" s="89" t="s">
        <v>107</v>
      </c>
      <c r="E56" s="88" t="s">
        <v>108</v>
      </c>
      <c r="F56" s="88" t="s">
        <v>109</v>
      </c>
      <c r="G56" s="88" t="s">
        <v>110</v>
      </c>
      <c r="H56" s="90" t="s">
        <v>111</v>
      </c>
      <c r="I56" s="89" t="s">
        <v>928</v>
      </c>
      <c r="J56" s="90" t="s">
        <v>929</v>
      </c>
      <c r="K56" s="89" t="s">
        <v>930</v>
      </c>
      <c r="L56" s="89" t="s">
        <v>931</v>
      </c>
      <c r="M56" s="90" t="s">
        <v>932</v>
      </c>
      <c r="N56" s="90" t="s">
        <v>933</v>
      </c>
      <c r="O56" s="88" t="s">
        <v>155</v>
      </c>
      <c r="P56" s="88" t="s">
        <v>934</v>
      </c>
      <c r="Q56" s="88" t="s">
        <v>560</v>
      </c>
      <c r="R56" s="88" t="s">
        <v>888</v>
      </c>
      <c r="S56" s="88" t="s">
        <v>935</v>
      </c>
      <c r="T56" s="88" t="s">
        <v>936</v>
      </c>
      <c r="U56" s="88" t="s">
        <v>560</v>
      </c>
      <c r="V56" s="88" t="s">
        <v>560</v>
      </c>
      <c r="W56" s="88" t="s">
        <v>560</v>
      </c>
      <c r="X56" s="88" t="s">
        <v>109</v>
      </c>
      <c r="Y56" s="90" t="s">
        <v>560</v>
      </c>
      <c r="Z56" s="88" t="s">
        <v>825</v>
      </c>
      <c r="AA56" s="102" t="s">
        <v>577</v>
      </c>
      <c r="AB56" s="118" t="s">
        <v>937</v>
      </c>
      <c r="AC56" s="88" t="s">
        <v>560</v>
      </c>
      <c r="AD56" s="102" t="s">
        <v>560</v>
      </c>
      <c r="AE56" s="92">
        <v>0</v>
      </c>
      <c r="AF56" s="92" t="s">
        <v>311</v>
      </c>
      <c r="AG56" s="88" t="s">
        <v>563</v>
      </c>
    </row>
    <row r="57" spans="1:33" ht="60">
      <c r="A57" s="110">
        <v>45544</v>
      </c>
      <c r="B57" s="88" t="s">
        <v>139</v>
      </c>
      <c r="C57" s="88" t="s">
        <v>106</v>
      </c>
      <c r="D57" s="89" t="s">
        <v>107</v>
      </c>
      <c r="E57" s="88" t="s">
        <v>108</v>
      </c>
      <c r="F57" s="88" t="s">
        <v>109</v>
      </c>
      <c r="G57" s="88" t="s">
        <v>110</v>
      </c>
      <c r="H57" s="90" t="s">
        <v>111</v>
      </c>
      <c r="I57" s="89" t="s">
        <v>938</v>
      </c>
      <c r="J57" s="90" t="s">
        <v>939</v>
      </c>
      <c r="K57" s="89" t="s">
        <v>940</v>
      </c>
      <c r="L57" s="89" t="s">
        <v>263</v>
      </c>
      <c r="M57" s="90" t="s">
        <v>941</v>
      </c>
      <c r="N57" s="90" t="s">
        <v>942</v>
      </c>
      <c r="O57" s="88" t="s">
        <v>155</v>
      </c>
      <c r="P57" s="88" t="s">
        <v>146</v>
      </c>
      <c r="Q57" s="88" t="s">
        <v>118</v>
      </c>
      <c r="R57" s="88" t="s">
        <v>739</v>
      </c>
      <c r="S57" s="88" t="s">
        <v>118</v>
      </c>
      <c r="T57" s="88" t="s">
        <v>118</v>
      </c>
      <c r="U57" s="88" t="s">
        <v>118</v>
      </c>
      <c r="V57" s="88" t="s">
        <v>118</v>
      </c>
      <c r="W57" s="88" t="s">
        <v>118</v>
      </c>
      <c r="X57" s="88" t="s">
        <v>109</v>
      </c>
      <c r="Y57" s="90" t="s">
        <v>118</v>
      </c>
      <c r="Z57" s="88" t="s">
        <v>570</v>
      </c>
      <c r="AA57" s="119"/>
      <c r="AB57" s="118" t="s">
        <v>943</v>
      </c>
      <c r="AC57" s="88" t="s">
        <v>118</v>
      </c>
      <c r="AD57" s="102" t="s">
        <v>118</v>
      </c>
      <c r="AE57" s="92">
        <v>0</v>
      </c>
      <c r="AF57" s="92" t="s">
        <v>311</v>
      </c>
      <c r="AG57" s="88" t="s">
        <v>563</v>
      </c>
    </row>
    <row r="58" spans="1:33" ht="48">
      <c r="A58" s="110">
        <v>45489</v>
      </c>
      <c r="B58" s="90" t="s">
        <v>160</v>
      </c>
      <c r="C58" s="88" t="s">
        <v>106</v>
      </c>
      <c r="D58" s="88" t="s">
        <v>107</v>
      </c>
      <c r="E58" s="89" t="s">
        <v>108</v>
      </c>
      <c r="F58" s="88" t="s">
        <v>109</v>
      </c>
      <c r="G58" s="88" t="s">
        <v>110</v>
      </c>
      <c r="H58" s="88" t="s">
        <v>111</v>
      </c>
      <c r="I58" s="88" t="s">
        <v>944</v>
      </c>
      <c r="J58" s="88" t="s">
        <v>945</v>
      </c>
      <c r="K58" s="90" t="s">
        <v>946</v>
      </c>
      <c r="L58" s="88" t="s">
        <v>947</v>
      </c>
      <c r="M58" s="88" t="s">
        <v>948</v>
      </c>
      <c r="N58" s="88" t="s">
        <v>949</v>
      </c>
      <c r="O58" s="90" t="s">
        <v>295</v>
      </c>
      <c r="P58" s="90" t="s">
        <v>950</v>
      </c>
      <c r="Q58" s="88" t="s">
        <v>560</v>
      </c>
      <c r="R58" s="88" t="s">
        <v>673</v>
      </c>
      <c r="S58" s="88" t="s">
        <v>560</v>
      </c>
      <c r="T58" s="88" t="s">
        <v>560</v>
      </c>
      <c r="U58" s="88" t="s">
        <v>560</v>
      </c>
      <c r="V58" s="88" t="s">
        <v>560</v>
      </c>
      <c r="W58" s="88" t="s">
        <v>560</v>
      </c>
      <c r="X58" s="88" t="s">
        <v>109</v>
      </c>
      <c r="Y58" s="88" t="s">
        <v>560</v>
      </c>
      <c r="Z58" s="103" t="s">
        <v>951</v>
      </c>
      <c r="AA58" s="88" t="s">
        <v>577</v>
      </c>
      <c r="AB58" s="116" t="s">
        <v>1279</v>
      </c>
      <c r="AC58" s="88" t="s">
        <v>560</v>
      </c>
      <c r="AD58" s="88" t="s">
        <v>560</v>
      </c>
      <c r="AE58" s="116">
        <v>0</v>
      </c>
      <c r="AF58" s="92" t="s">
        <v>311</v>
      </c>
      <c r="AG58" s="88" t="s">
        <v>563</v>
      </c>
    </row>
    <row r="59" spans="1:33" ht="36">
      <c r="A59" s="110">
        <v>45516</v>
      </c>
      <c r="B59" s="90" t="s">
        <v>105</v>
      </c>
      <c r="C59" s="88" t="s">
        <v>106</v>
      </c>
      <c r="D59" s="88" t="s">
        <v>107</v>
      </c>
      <c r="E59" s="89" t="s">
        <v>108</v>
      </c>
      <c r="F59" s="88" t="s">
        <v>109</v>
      </c>
      <c r="G59" s="88" t="s">
        <v>110</v>
      </c>
      <c r="H59" s="88" t="s">
        <v>111</v>
      </c>
      <c r="I59" s="88" t="s">
        <v>952</v>
      </c>
      <c r="J59" s="88" t="s">
        <v>953</v>
      </c>
      <c r="K59" s="90" t="s">
        <v>954</v>
      </c>
      <c r="L59" s="88" t="s">
        <v>955</v>
      </c>
      <c r="M59" s="88" t="s">
        <v>956</v>
      </c>
      <c r="N59" s="88" t="s">
        <v>1282</v>
      </c>
      <c r="O59" s="90" t="s">
        <v>957</v>
      </c>
      <c r="P59" s="90" t="s">
        <v>958</v>
      </c>
      <c r="Q59" s="88" t="s">
        <v>560</v>
      </c>
      <c r="R59" s="88" t="s">
        <v>739</v>
      </c>
      <c r="S59" s="88" t="s">
        <v>560</v>
      </c>
      <c r="T59" s="88" t="s">
        <v>560</v>
      </c>
      <c r="U59" s="88" t="s">
        <v>560</v>
      </c>
      <c r="V59" s="88" t="s">
        <v>560</v>
      </c>
      <c r="W59" s="88" t="s">
        <v>560</v>
      </c>
      <c r="X59" s="88" t="s">
        <v>109</v>
      </c>
      <c r="Y59" s="88" t="s">
        <v>560</v>
      </c>
      <c r="Z59" s="103" t="s">
        <v>654</v>
      </c>
      <c r="AA59" s="88" t="s">
        <v>577</v>
      </c>
      <c r="AB59" s="116" t="s">
        <v>959</v>
      </c>
      <c r="AC59" s="88" t="s">
        <v>560</v>
      </c>
      <c r="AD59" s="88" t="s">
        <v>560</v>
      </c>
      <c r="AE59" s="116">
        <v>0</v>
      </c>
      <c r="AF59" s="92" t="s">
        <v>311</v>
      </c>
      <c r="AG59" s="88" t="s">
        <v>563</v>
      </c>
    </row>
    <row r="60" spans="1:33" ht="36">
      <c r="A60" s="110">
        <v>45520</v>
      </c>
      <c r="B60" s="90" t="s">
        <v>105</v>
      </c>
      <c r="C60" s="88" t="s">
        <v>106</v>
      </c>
      <c r="D60" s="88" t="s">
        <v>107</v>
      </c>
      <c r="E60" s="89" t="s">
        <v>108</v>
      </c>
      <c r="F60" s="88" t="s">
        <v>109</v>
      </c>
      <c r="G60" s="88" t="s">
        <v>110</v>
      </c>
      <c r="H60" s="88" t="s">
        <v>111</v>
      </c>
      <c r="I60" s="88" t="s">
        <v>960</v>
      </c>
      <c r="J60" s="88" t="s">
        <v>961</v>
      </c>
      <c r="K60" s="90" t="s">
        <v>962</v>
      </c>
      <c r="L60" s="88" t="s">
        <v>963</v>
      </c>
      <c r="M60" s="88" t="s">
        <v>964</v>
      </c>
      <c r="N60" s="88" t="s">
        <v>965</v>
      </c>
      <c r="O60" s="90" t="s">
        <v>116</v>
      </c>
      <c r="P60" s="90" t="s">
        <v>966</v>
      </c>
      <c r="Q60" s="88" t="s">
        <v>560</v>
      </c>
      <c r="R60" s="88" t="s">
        <v>888</v>
      </c>
      <c r="S60" s="88" t="s">
        <v>560</v>
      </c>
      <c r="T60" s="88" t="s">
        <v>560</v>
      </c>
      <c r="U60" s="88" t="s">
        <v>560</v>
      </c>
      <c r="V60" s="88" t="s">
        <v>560</v>
      </c>
      <c r="W60" s="88" t="s">
        <v>560</v>
      </c>
      <c r="X60" s="88" t="s">
        <v>109</v>
      </c>
      <c r="Y60" s="88" t="s">
        <v>560</v>
      </c>
      <c r="Z60" s="103" t="s">
        <v>967</v>
      </c>
      <c r="AA60" s="88" t="s">
        <v>577</v>
      </c>
      <c r="AB60" s="116" t="s">
        <v>968</v>
      </c>
      <c r="AC60" s="88" t="s">
        <v>560</v>
      </c>
      <c r="AD60" s="88" t="s">
        <v>560</v>
      </c>
      <c r="AE60" s="116">
        <v>0</v>
      </c>
      <c r="AF60" s="92" t="s">
        <v>311</v>
      </c>
      <c r="AG60" s="88" t="s">
        <v>563</v>
      </c>
    </row>
    <row r="61" spans="1:33" ht="36">
      <c r="A61" s="110">
        <v>45559</v>
      </c>
      <c r="B61" s="90" t="s">
        <v>139</v>
      </c>
      <c r="C61" s="88" t="s">
        <v>106</v>
      </c>
      <c r="D61" s="88" t="s">
        <v>107</v>
      </c>
      <c r="E61" s="89" t="s">
        <v>108</v>
      </c>
      <c r="F61" s="88" t="s">
        <v>109</v>
      </c>
      <c r="G61" s="88" t="s">
        <v>110</v>
      </c>
      <c r="H61" s="88" t="s">
        <v>111</v>
      </c>
      <c r="I61" s="88" t="s">
        <v>969</v>
      </c>
      <c r="J61" s="88" t="s">
        <v>970</v>
      </c>
      <c r="K61" s="90" t="s">
        <v>971</v>
      </c>
      <c r="L61" s="88" t="s">
        <v>972</v>
      </c>
      <c r="M61" s="88" t="s">
        <v>973</v>
      </c>
      <c r="N61" s="88" t="s">
        <v>974</v>
      </c>
      <c r="O61" s="90" t="s">
        <v>155</v>
      </c>
      <c r="P61" s="90" t="s">
        <v>146</v>
      </c>
      <c r="Q61" s="88" t="s">
        <v>118</v>
      </c>
      <c r="R61" s="88" t="s">
        <v>118</v>
      </c>
      <c r="S61" s="88" t="s">
        <v>118</v>
      </c>
      <c r="T61" s="88" t="s">
        <v>118</v>
      </c>
      <c r="U61" s="88" t="s">
        <v>118</v>
      </c>
      <c r="V61" s="88" t="s">
        <v>118</v>
      </c>
      <c r="W61" s="88" t="s">
        <v>118</v>
      </c>
      <c r="X61" s="88" t="s">
        <v>109</v>
      </c>
      <c r="Y61" s="88" t="s">
        <v>118</v>
      </c>
      <c r="Z61" s="103" t="s">
        <v>206</v>
      </c>
      <c r="AA61" s="88" t="s">
        <v>577</v>
      </c>
      <c r="AB61" s="116" t="s">
        <v>975</v>
      </c>
      <c r="AC61" s="88" t="s">
        <v>118</v>
      </c>
      <c r="AD61" s="88" t="s">
        <v>118</v>
      </c>
      <c r="AE61" s="116">
        <v>0</v>
      </c>
      <c r="AF61" s="92" t="s">
        <v>311</v>
      </c>
      <c r="AG61" s="88" t="s">
        <v>563</v>
      </c>
    </row>
    <row r="62" spans="1:33" ht="120">
      <c r="A62" s="110">
        <v>45077</v>
      </c>
      <c r="B62" s="88" t="s">
        <v>105</v>
      </c>
      <c r="C62" s="88" t="s">
        <v>106</v>
      </c>
      <c r="D62" s="88" t="s">
        <v>107</v>
      </c>
      <c r="E62" s="89" t="s">
        <v>108</v>
      </c>
      <c r="F62" s="88" t="s">
        <v>109</v>
      </c>
      <c r="G62" s="88" t="s">
        <v>110</v>
      </c>
      <c r="H62" s="88" t="s">
        <v>111</v>
      </c>
      <c r="I62" s="90" t="s">
        <v>976</v>
      </c>
      <c r="J62" s="89" t="s">
        <v>977</v>
      </c>
      <c r="K62" s="90" t="s">
        <v>978</v>
      </c>
      <c r="L62" s="89" t="s">
        <v>364</v>
      </c>
      <c r="M62" s="90" t="s">
        <v>979</v>
      </c>
      <c r="N62" s="88" t="s">
        <v>980</v>
      </c>
      <c r="O62" s="90" t="s">
        <v>116</v>
      </c>
      <c r="P62" s="88" t="s">
        <v>981</v>
      </c>
      <c r="Q62" s="88" t="s">
        <v>560</v>
      </c>
      <c r="R62" s="88" t="s">
        <v>130</v>
      </c>
      <c r="S62" s="88" t="s">
        <v>982</v>
      </c>
      <c r="T62" s="88" t="s">
        <v>983</v>
      </c>
      <c r="U62" s="88" t="s">
        <v>560</v>
      </c>
      <c r="V62" s="88" t="s">
        <v>560</v>
      </c>
      <c r="W62" s="88" t="s">
        <v>560</v>
      </c>
      <c r="X62" s="88" t="s">
        <v>109</v>
      </c>
      <c r="Y62" s="88" t="s">
        <v>560</v>
      </c>
      <c r="Z62" s="90" t="s">
        <v>654</v>
      </c>
      <c r="AA62" s="88" t="s">
        <v>207</v>
      </c>
      <c r="AB62" s="102" t="s">
        <v>984</v>
      </c>
      <c r="AC62" s="88" t="s">
        <v>560</v>
      </c>
      <c r="AD62" s="120">
        <v>20000</v>
      </c>
      <c r="AE62" s="120">
        <v>20000</v>
      </c>
      <c r="AF62" s="92" t="s">
        <v>311</v>
      </c>
      <c r="AG62" s="88" t="s">
        <v>563</v>
      </c>
    </row>
    <row r="63" spans="1:33" ht="60">
      <c r="A63" s="110">
        <v>45426</v>
      </c>
      <c r="B63" s="88" t="s">
        <v>139</v>
      </c>
      <c r="C63" s="88" t="s">
        <v>106</v>
      </c>
      <c r="D63" s="88" t="s">
        <v>107</v>
      </c>
      <c r="E63" s="89" t="s">
        <v>108</v>
      </c>
      <c r="F63" s="88" t="s">
        <v>109</v>
      </c>
      <c r="G63" s="88" t="s">
        <v>110</v>
      </c>
      <c r="H63" s="88" t="s">
        <v>111</v>
      </c>
      <c r="I63" s="90" t="s">
        <v>985</v>
      </c>
      <c r="J63" s="89" t="s">
        <v>986</v>
      </c>
      <c r="K63" s="90" t="s">
        <v>987</v>
      </c>
      <c r="L63" s="89" t="s">
        <v>153</v>
      </c>
      <c r="M63" s="90" t="s">
        <v>988</v>
      </c>
      <c r="N63" s="88" t="s">
        <v>989</v>
      </c>
      <c r="O63" s="90" t="s">
        <v>671</v>
      </c>
      <c r="P63" s="88" t="s">
        <v>990</v>
      </c>
      <c r="Q63" s="88" t="s">
        <v>560</v>
      </c>
      <c r="R63" s="88" t="s">
        <v>560</v>
      </c>
      <c r="S63" s="88" t="s">
        <v>560</v>
      </c>
      <c r="T63" s="88" t="s">
        <v>560</v>
      </c>
      <c r="U63" s="88" t="s">
        <v>560</v>
      </c>
      <c r="V63" s="88" t="s">
        <v>560</v>
      </c>
      <c r="W63" s="88" t="s">
        <v>560</v>
      </c>
      <c r="X63" s="88" t="s">
        <v>109</v>
      </c>
      <c r="Y63" s="88" t="s">
        <v>560</v>
      </c>
      <c r="Z63" s="90" t="s">
        <v>690</v>
      </c>
      <c r="AA63" s="88" t="s">
        <v>119</v>
      </c>
      <c r="AB63" s="102" t="s">
        <v>991</v>
      </c>
      <c r="AC63" s="88" t="s">
        <v>560</v>
      </c>
      <c r="AD63" s="120" t="s">
        <v>560</v>
      </c>
      <c r="AE63" s="120" t="s">
        <v>991</v>
      </c>
      <c r="AF63" s="92" t="s">
        <v>311</v>
      </c>
      <c r="AG63" s="88" t="s">
        <v>563</v>
      </c>
    </row>
    <row r="64" spans="1:33" ht="84">
      <c r="A64" s="110">
        <v>45020</v>
      </c>
      <c r="B64" s="88" t="s">
        <v>139</v>
      </c>
      <c r="C64" s="88" t="s">
        <v>106</v>
      </c>
      <c r="D64" s="88" t="s">
        <v>107</v>
      </c>
      <c r="E64" s="89" t="s">
        <v>108</v>
      </c>
      <c r="F64" s="88" t="s">
        <v>109</v>
      </c>
      <c r="G64" s="88" t="s">
        <v>110</v>
      </c>
      <c r="H64" s="88" t="s">
        <v>111</v>
      </c>
      <c r="I64" s="90" t="s">
        <v>992</v>
      </c>
      <c r="J64" s="89" t="s">
        <v>162</v>
      </c>
      <c r="K64" s="90" t="s">
        <v>993</v>
      </c>
      <c r="L64" s="89" t="s">
        <v>994</v>
      </c>
      <c r="M64" s="90" t="s">
        <v>995</v>
      </c>
      <c r="N64" s="88" t="s">
        <v>996</v>
      </c>
      <c r="O64" s="90" t="s">
        <v>145</v>
      </c>
      <c r="P64" s="88" t="s">
        <v>997</v>
      </c>
      <c r="Q64" s="88" t="s">
        <v>560</v>
      </c>
      <c r="R64" s="88" t="s">
        <v>177</v>
      </c>
      <c r="S64" s="88" t="s">
        <v>560</v>
      </c>
      <c r="T64" s="88" t="s">
        <v>560</v>
      </c>
      <c r="U64" s="88" t="s">
        <v>560</v>
      </c>
      <c r="V64" s="88" t="s">
        <v>560</v>
      </c>
      <c r="W64" s="88" t="s">
        <v>560</v>
      </c>
      <c r="X64" s="88" t="s">
        <v>109</v>
      </c>
      <c r="Y64" s="88" t="s">
        <v>560</v>
      </c>
      <c r="Z64" s="90" t="s">
        <v>998</v>
      </c>
      <c r="AA64" s="88" t="s">
        <v>646</v>
      </c>
      <c r="AB64" s="102">
        <v>123450.86</v>
      </c>
      <c r="AC64" s="88" t="s">
        <v>560</v>
      </c>
      <c r="AD64" s="120" t="s">
        <v>560</v>
      </c>
      <c r="AE64" s="120">
        <v>123450.86</v>
      </c>
      <c r="AF64" s="92" t="s">
        <v>656</v>
      </c>
      <c r="AG64" s="88" t="s">
        <v>563</v>
      </c>
    </row>
    <row r="65" spans="1:33" ht="48">
      <c r="A65" s="110">
        <v>45007</v>
      </c>
      <c r="B65" s="88" t="s">
        <v>139</v>
      </c>
      <c r="C65" s="88" t="s">
        <v>106</v>
      </c>
      <c r="D65" s="88" t="s">
        <v>107</v>
      </c>
      <c r="E65" s="89" t="s">
        <v>108</v>
      </c>
      <c r="F65" s="88" t="s">
        <v>109</v>
      </c>
      <c r="G65" s="88" t="s">
        <v>110</v>
      </c>
      <c r="H65" s="88" t="s">
        <v>111</v>
      </c>
      <c r="I65" s="90" t="s">
        <v>999</v>
      </c>
      <c r="J65" s="89" t="s">
        <v>922</v>
      </c>
      <c r="K65" s="90" t="s">
        <v>1000</v>
      </c>
      <c r="L65" s="89" t="s">
        <v>143</v>
      </c>
      <c r="M65" s="90" t="s">
        <v>1001</v>
      </c>
      <c r="N65" s="88" t="s">
        <v>1002</v>
      </c>
      <c r="O65" s="90" t="s">
        <v>145</v>
      </c>
      <c r="P65" s="88" t="s">
        <v>1003</v>
      </c>
      <c r="Q65" s="88" t="s">
        <v>560</v>
      </c>
      <c r="R65" s="88" t="s">
        <v>888</v>
      </c>
      <c r="S65" s="88" t="s">
        <v>1004</v>
      </c>
      <c r="T65" s="88" t="s">
        <v>1005</v>
      </c>
      <c r="U65" s="88" t="s">
        <v>560</v>
      </c>
      <c r="V65" s="88" t="s">
        <v>560</v>
      </c>
      <c r="W65" s="88" t="s">
        <v>560</v>
      </c>
      <c r="X65" s="88" t="s">
        <v>109</v>
      </c>
      <c r="Y65" s="88" t="s">
        <v>560</v>
      </c>
      <c r="Z65" s="90" t="s">
        <v>712</v>
      </c>
      <c r="AA65" s="88" t="s">
        <v>698</v>
      </c>
      <c r="AB65" s="102">
        <v>64260.52</v>
      </c>
      <c r="AC65" s="88" t="s">
        <v>560</v>
      </c>
      <c r="AD65" s="120" t="s">
        <v>560</v>
      </c>
      <c r="AE65" s="120">
        <v>64260.52</v>
      </c>
      <c r="AF65" s="92" t="s">
        <v>656</v>
      </c>
      <c r="AG65" s="88" t="s">
        <v>563</v>
      </c>
    </row>
    <row r="66" spans="1:33" ht="72">
      <c r="A66" s="110">
        <v>45544</v>
      </c>
      <c r="B66" s="90" t="s">
        <v>139</v>
      </c>
      <c r="C66" s="90" t="s">
        <v>106</v>
      </c>
      <c r="D66" s="90" t="s">
        <v>107</v>
      </c>
      <c r="E66" s="89" t="s">
        <v>108</v>
      </c>
      <c r="F66" s="90" t="s">
        <v>109</v>
      </c>
      <c r="G66" s="90" t="s">
        <v>110</v>
      </c>
      <c r="H66" s="90" t="s">
        <v>111</v>
      </c>
      <c r="I66" s="90" t="s">
        <v>1006</v>
      </c>
      <c r="J66" s="90" t="s">
        <v>1007</v>
      </c>
      <c r="K66" s="90" t="s">
        <v>1008</v>
      </c>
      <c r="L66" s="90" t="s">
        <v>263</v>
      </c>
      <c r="M66" s="90" t="s">
        <v>1009</v>
      </c>
      <c r="N66" s="90" t="s">
        <v>1010</v>
      </c>
      <c r="O66" s="90" t="s">
        <v>155</v>
      </c>
      <c r="P66" s="90" t="s">
        <v>1011</v>
      </c>
      <c r="Q66" s="90" t="s">
        <v>118</v>
      </c>
      <c r="R66" s="90" t="s">
        <v>888</v>
      </c>
      <c r="S66" s="90" t="s">
        <v>118</v>
      </c>
      <c r="T66" s="90" t="s">
        <v>118</v>
      </c>
      <c r="U66" s="90" t="s">
        <v>118</v>
      </c>
      <c r="V66" s="90" t="s">
        <v>118</v>
      </c>
      <c r="W66" s="90" t="s">
        <v>118</v>
      </c>
      <c r="X66" s="90" t="s">
        <v>109</v>
      </c>
      <c r="Y66" s="90" t="s">
        <v>118</v>
      </c>
      <c r="Z66" s="90" t="s">
        <v>712</v>
      </c>
      <c r="AA66" s="90" t="s">
        <v>207</v>
      </c>
      <c r="AB66" s="121" t="s">
        <v>1012</v>
      </c>
      <c r="AC66" s="90" t="s">
        <v>118</v>
      </c>
      <c r="AD66" s="121" t="s">
        <v>118</v>
      </c>
      <c r="AE66" s="121" t="s">
        <v>1012</v>
      </c>
      <c r="AF66" s="103" t="s">
        <v>656</v>
      </c>
      <c r="AG66" s="90" t="s">
        <v>563</v>
      </c>
    </row>
    <row r="67" spans="1:33" ht="48">
      <c r="A67" s="110">
        <v>45237</v>
      </c>
      <c r="B67" s="90" t="s">
        <v>139</v>
      </c>
      <c r="C67" s="90" t="s">
        <v>106</v>
      </c>
      <c r="D67" s="90" t="s">
        <v>107</v>
      </c>
      <c r="E67" s="89" t="s">
        <v>108</v>
      </c>
      <c r="F67" s="90" t="s">
        <v>109</v>
      </c>
      <c r="G67" s="90" t="s">
        <v>110</v>
      </c>
      <c r="H67" s="90" t="s">
        <v>111</v>
      </c>
      <c r="I67" s="90" t="s">
        <v>1013</v>
      </c>
      <c r="J67" s="89" t="s">
        <v>1014</v>
      </c>
      <c r="K67" s="90" t="s">
        <v>1015</v>
      </c>
      <c r="L67" s="89" t="s">
        <v>1016</v>
      </c>
      <c r="M67" s="90" t="s">
        <v>1017</v>
      </c>
      <c r="N67" s="90" t="s">
        <v>1018</v>
      </c>
      <c r="O67" s="90" t="s">
        <v>155</v>
      </c>
      <c r="P67" s="90" t="s">
        <v>1019</v>
      </c>
      <c r="Q67" s="90" t="s">
        <v>560</v>
      </c>
      <c r="R67" s="90" t="s">
        <v>918</v>
      </c>
      <c r="S67" s="90" t="s">
        <v>560</v>
      </c>
      <c r="T67" s="90" t="s">
        <v>560</v>
      </c>
      <c r="U67" s="90" t="s">
        <v>560</v>
      </c>
      <c r="V67" s="90" t="s">
        <v>560</v>
      </c>
      <c r="W67" s="90" t="s">
        <v>560</v>
      </c>
      <c r="X67" s="90" t="s">
        <v>109</v>
      </c>
      <c r="Y67" s="90" t="s">
        <v>560</v>
      </c>
      <c r="Z67" s="103" t="s">
        <v>206</v>
      </c>
      <c r="AA67" s="90" t="s">
        <v>207</v>
      </c>
      <c r="AB67" s="121" t="s">
        <v>1020</v>
      </c>
      <c r="AC67" s="90" t="s">
        <v>560</v>
      </c>
      <c r="AD67" s="121">
        <v>37000</v>
      </c>
      <c r="AE67" s="121">
        <v>37000</v>
      </c>
      <c r="AF67" s="103" t="s">
        <v>122</v>
      </c>
      <c r="AG67" s="90" t="s">
        <v>563</v>
      </c>
    </row>
    <row r="68" spans="1:33" ht="36">
      <c r="A68" s="110">
        <v>45601</v>
      </c>
      <c r="B68" s="90" t="s">
        <v>139</v>
      </c>
      <c r="C68" s="90" t="s">
        <v>106</v>
      </c>
      <c r="D68" s="90" t="s">
        <v>107</v>
      </c>
      <c r="E68" s="89" t="s">
        <v>108</v>
      </c>
      <c r="F68" s="90" t="s">
        <v>109</v>
      </c>
      <c r="G68" s="90" t="s">
        <v>110</v>
      </c>
      <c r="H68" s="90" t="s">
        <v>111</v>
      </c>
      <c r="I68" s="90" t="s">
        <v>1021</v>
      </c>
      <c r="J68" s="90" t="s">
        <v>1022</v>
      </c>
      <c r="K68" s="90" t="s">
        <v>1023</v>
      </c>
      <c r="L68" s="90" t="s">
        <v>263</v>
      </c>
      <c r="M68" s="90" t="s">
        <v>1024</v>
      </c>
      <c r="N68" s="90" t="s">
        <v>1025</v>
      </c>
      <c r="O68" s="90" t="s">
        <v>155</v>
      </c>
      <c r="P68" s="90" t="s">
        <v>1026</v>
      </c>
      <c r="Q68" s="90" t="s">
        <v>118</v>
      </c>
      <c r="R68" s="90" t="s">
        <v>1027</v>
      </c>
      <c r="S68" s="90" t="s">
        <v>118</v>
      </c>
      <c r="T68" s="90" t="s">
        <v>118</v>
      </c>
      <c r="U68" s="90" t="s">
        <v>118</v>
      </c>
      <c r="V68" s="90" t="s">
        <v>118</v>
      </c>
      <c r="W68" s="90" t="s">
        <v>118</v>
      </c>
      <c r="X68" s="90" t="s">
        <v>109</v>
      </c>
      <c r="Y68" s="90" t="s">
        <v>118</v>
      </c>
      <c r="Z68" s="90" t="s">
        <v>654</v>
      </c>
      <c r="AA68" s="90" t="s">
        <v>1028</v>
      </c>
      <c r="AB68" s="121" t="s">
        <v>1029</v>
      </c>
      <c r="AC68" s="90" t="s">
        <v>118</v>
      </c>
      <c r="AD68" s="121" t="s">
        <v>118</v>
      </c>
      <c r="AE68" s="121" t="s">
        <v>1029</v>
      </c>
      <c r="AF68" s="103" t="s">
        <v>656</v>
      </c>
      <c r="AG68" s="90" t="s">
        <v>563</v>
      </c>
    </row>
    <row r="69" spans="1:33" ht="144">
      <c r="A69" s="110">
        <v>45121</v>
      </c>
      <c r="B69" s="90" t="s">
        <v>139</v>
      </c>
      <c r="C69" s="90" t="s">
        <v>106</v>
      </c>
      <c r="D69" s="90" t="s">
        <v>107</v>
      </c>
      <c r="E69" s="89" t="s">
        <v>108</v>
      </c>
      <c r="F69" s="90" t="s">
        <v>109</v>
      </c>
      <c r="G69" s="90" t="s">
        <v>110</v>
      </c>
      <c r="H69" s="90" t="s">
        <v>111</v>
      </c>
      <c r="I69" s="90" t="s">
        <v>1030</v>
      </c>
      <c r="J69" s="89" t="s">
        <v>1031</v>
      </c>
      <c r="K69" s="90" t="s">
        <v>1032</v>
      </c>
      <c r="L69" s="90" t="s">
        <v>143</v>
      </c>
      <c r="M69" s="89" t="s">
        <v>1033</v>
      </c>
      <c r="N69" s="90" t="s">
        <v>1034</v>
      </c>
      <c r="O69" s="90" t="s">
        <v>155</v>
      </c>
      <c r="P69" s="90" t="s">
        <v>1035</v>
      </c>
      <c r="Q69" s="90" t="s">
        <v>560</v>
      </c>
      <c r="R69" s="90" t="s">
        <v>1283</v>
      </c>
      <c r="S69" s="90" t="s">
        <v>982</v>
      </c>
      <c r="T69" s="90" t="s">
        <v>503</v>
      </c>
      <c r="U69" s="90" t="s">
        <v>560</v>
      </c>
      <c r="V69" s="90" t="s">
        <v>560</v>
      </c>
      <c r="W69" s="90" t="s">
        <v>560</v>
      </c>
      <c r="X69" s="90" t="s">
        <v>109</v>
      </c>
      <c r="Y69" s="90" t="s">
        <v>560</v>
      </c>
      <c r="Z69" s="90" t="s">
        <v>320</v>
      </c>
      <c r="AA69" s="90" t="s">
        <v>1028</v>
      </c>
      <c r="AB69" s="121" t="s">
        <v>1036</v>
      </c>
      <c r="AC69" s="90" t="s">
        <v>560</v>
      </c>
      <c r="AD69" s="121">
        <v>115517.11</v>
      </c>
      <c r="AE69" s="121" t="s">
        <v>1037</v>
      </c>
      <c r="AF69" s="103" t="s">
        <v>656</v>
      </c>
      <c r="AG69" s="90" t="s">
        <v>563</v>
      </c>
    </row>
    <row r="70" spans="1:33" ht="48">
      <c r="A70" s="110">
        <v>45525</v>
      </c>
      <c r="B70" s="90" t="s">
        <v>139</v>
      </c>
      <c r="C70" s="90" t="s">
        <v>106</v>
      </c>
      <c r="D70" s="90" t="s">
        <v>107</v>
      </c>
      <c r="E70" s="89" t="s">
        <v>108</v>
      </c>
      <c r="F70" s="90" t="s">
        <v>109</v>
      </c>
      <c r="G70" s="90" t="s">
        <v>110</v>
      </c>
      <c r="H70" s="90" t="s">
        <v>111</v>
      </c>
      <c r="I70" s="90" t="s">
        <v>1038</v>
      </c>
      <c r="J70" s="89" t="s">
        <v>1039</v>
      </c>
      <c r="K70" s="90" t="s">
        <v>1040</v>
      </c>
      <c r="L70" s="90" t="s">
        <v>633</v>
      </c>
      <c r="M70" s="89" t="s">
        <v>1041</v>
      </c>
      <c r="N70" s="90" t="s">
        <v>874</v>
      </c>
      <c r="O70" s="90" t="s">
        <v>155</v>
      </c>
      <c r="P70" s="90" t="s">
        <v>1042</v>
      </c>
      <c r="Q70" s="90" t="s">
        <v>560</v>
      </c>
      <c r="R70" s="90" t="s">
        <v>560</v>
      </c>
      <c r="S70" s="90" t="s">
        <v>560</v>
      </c>
      <c r="T70" s="90" t="s">
        <v>560</v>
      </c>
      <c r="U70" s="90" t="s">
        <v>560</v>
      </c>
      <c r="V70" s="90" t="s">
        <v>560</v>
      </c>
      <c r="W70" s="90" t="s">
        <v>560</v>
      </c>
      <c r="X70" s="90" t="s">
        <v>109</v>
      </c>
      <c r="Y70" s="90" t="s">
        <v>560</v>
      </c>
      <c r="Z70" s="90" t="s">
        <v>722</v>
      </c>
      <c r="AA70" s="90" t="s">
        <v>1028</v>
      </c>
      <c r="AB70" s="121" t="s">
        <v>1280</v>
      </c>
      <c r="AC70" s="90" t="s">
        <v>560</v>
      </c>
      <c r="AD70" s="121" t="s">
        <v>560</v>
      </c>
      <c r="AE70" s="121" t="s">
        <v>1280</v>
      </c>
      <c r="AF70" s="103" t="s">
        <v>122</v>
      </c>
      <c r="AG70" s="90" t="s">
        <v>563</v>
      </c>
    </row>
    <row r="71" spans="1:33" ht="48">
      <c r="A71" s="110">
        <v>45560</v>
      </c>
      <c r="B71" s="90" t="s">
        <v>105</v>
      </c>
      <c r="C71" s="90" t="s">
        <v>106</v>
      </c>
      <c r="D71" s="90" t="s">
        <v>107</v>
      </c>
      <c r="E71" s="89" t="s">
        <v>108</v>
      </c>
      <c r="F71" s="90" t="s">
        <v>109</v>
      </c>
      <c r="G71" s="90" t="s">
        <v>110</v>
      </c>
      <c r="H71" s="90" t="s">
        <v>111</v>
      </c>
      <c r="I71" s="90" t="s">
        <v>1043</v>
      </c>
      <c r="J71" s="89" t="s">
        <v>1044</v>
      </c>
      <c r="K71" s="90" t="s">
        <v>1045</v>
      </c>
      <c r="L71" s="90" t="s">
        <v>1046</v>
      </c>
      <c r="M71" s="89" t="s">
        <v>1047</v>
      </c>
      <c r="N71" s="90" t="s">
        <v>1048</v>
      </c>
      <c r="O71" s="90" t="s">
        <v>1049</v>
      </c>
      <c r="P71" s="90" t="s">
        <v>1050</v>
      </c>
      <c r="Q71" s="90" t="s">
        <v>118</v>
      </c>
      <c r="R71" s="90" t="s">
        <v>1027</v>
      </c>
      <c r="S71" s="90" t="s">
        <v>118</v>
      </c>
      <c r="T71" s="90" t="s">
        <v>118</v>
      </c>
      <c r="U71" s="90" t="s">
        <v>118</v>
      </c>
      <c r="V71" s="90" t="s">
        <v>118</v>
      </c>
      <c r="W71" s="90" t="s">
        <v>118</v>
      </c>
      <c r="X71" s="90" t="s">
        <v>109</v>
      </c>
      <c r="Y71" s="90" t="s">
        <v>118</v>
      </c>
      <c r="Z71" s="90" t="s">
        <v>654</v>
      </c>
      <c r="AA71" s="90" t="s">
        <v>207</v>
      </c>
      <c r="AB71" s="121" t="s">
        <v>1051</v>
      </c>
      <c r="AC71" s="90" t="s">
        <v>118</v>
      </c>
      <c r="AD71" s="121">
        <v>10000</v>
      </c>
      <c r="AE71" s="121">
        <v>10000</v>
      </c>
      <c r="AF71" s="103" t="s">
        <v>122</v>
      </c>
      <c r="AG71" s="90" t="s">
        <v>563</v>
      </c>
    </row>
    <row r="72" spans="1:33" ht="48">
      <c r="A72" s="110">
        <v>45041</v>
      </c>
      <c r="B72" s="90" t="s">
        <v>139</v>
      </c>
      <c r="C72" s="90" t="s">
        <v>106</v>
      </c>
      <c r="D72" s="90" t="s">
        <v>107</v>
      </c>
      <c r="E72" s="89" t="s">
        <v>108</v>
      </c>
      <c r="F72" s="90" t="s">
        <v>109</v>
      </c>
      <c r="G72" s="90" t="s">
        <v>110</v>
      </c>
      <c r="H72" s="90" t="s">
        <v>111</v>
      </c>
      <c r="I72" s="90" t="s">
        <v>1052</v>
      </c>
      <c r="J72" s="89" t="s">
        <v>1053</v>
      </c>
      <c r="K72" s="90" t="s">
        <v>1054</v>
      </c>
      <c r="L72" s="90" t="s">
        <v>994</v>
      </c>
      <c r="M72" s="89" t="s">
        <v>1055</v>
      </c>
      <c r="N72" s="90" t="s">
        <v>306</v>
      </c>
      <c r="O72" s="90" t="s">
        <v>145</v>
      </c>
      <c r="P72" s="90" t="s">
        <v>1056</v>
      </c>
      <c r="Q72" s="90" t="s">
        <v>560</v>
      </c>
      <c r="R72" s="90" t="s">
        <v>1057</v>
      </c>
      <c r="S72" s="90" t="s">
        <v>560</v>
      </c>
      <c r="T72" s="90" t="s">
        <v>560</v>
      </c>
      <c r="U72" s="90" t="s">
        <v>560</v>
      </c>
      <c r="V72" s="90" t="s">
        <v>560</v>
      </c>
      <c r="W72" s="90" t="s">
        <v>560</v>
      </c>
      <c r="X72" s="90" t="s">
        <v>109</v>
      </c>
      <c r="Y72" s="90" t="s">
        <v>560</v>
      </c>
      <c r="Z72" s="90" t="s">
        <v>654</v>
      </c>
      <c r="AA72" s="90" t="s">
        <v>207</v>
      </c>
      <c r="AB72" s="121" t="s">
        <v>1058</v>
      </c>
      <c r="AC72" s="90" t="s">
        <v>560</v>
      </c>
      <c r="AD72" s="121">
        <v>65700</v>
      </c>
      <c r="AE72" s="121">
        <v>65700</v>
      </c>
      <c r="AF72" s="103" t="s">
        <v>122</v>
      </c>
      <c r="AG72" s="90" t="s">
        <v>563</v>
      </c>
    </row>
    <row r="73" spans="1:33" ht="72">
      <c r="A73" s="113">
        <v>45075</v>
      </c>
      <c r="B73" s="94" t="s">
        <v>139</v>
      </c>
      <c r="C73" s="94" t="s">
        <v>106</v>
      </c>
      <c r="D73" s="94" t="s">
        <v>107</v>
      </c>
      <c r="E73" s="93" t="s">
        <v>108</v>
      </c>
      <c r="F73" s="94" t="s">
        <v>109</v>
      </c>
      <c r="G73" s="94" t="s">
        <v>110</v>
      </c>
      <c r="H73" s="94" t="s">
        <v>111</v>
      </c>
      <c r="I73" s="94" t="s">
        <v>1059</v>
      </c>
      <c r="J73" s="93" t="s">
        <v>1060</v>
      </c>
      <c r="K73" s="94" t="s">
        <v>1061</v>
      </c>
      <c r="L73" s="94" t="s">
        <v>279</v>
      </c>
      <c r="M73" s="93" t="s">
        <v>1062</v>
      </c>
      <c r="N73" s="94" t="s">
        <v>203</v>
      </c>
      <c r="O73" s="94" t="s">
        <v>204</v>
      </c>
      <c r="P73" s="94" t="s">
        <v>205</v>
      </c>
      <c r="Q73" s="94" t="s">
        <v>560</v>
      </c>
      <c r="R73" s="94" t="s">
        <v>1063</v>
      </c>
      <c r="S73" s="94" t="s">
        <v>308</v>
      </c>
      <c r="T73" s="94" t="s">
        <v>1064</v>
      </c>
      <c r="U73" s="94" t="s">
        <v>560</v>
      </c>
      <c r="V73" s="94" t="s">
        <v>560</v>
      </c>
      <c r="W73" s="94" t="s">
        <v>560</v>
      </c>
      <c r="X73" s="94" t="s">
        <v>109</v>
      </c>
      <c r="Y73" s="94" t="s">
        <v>560</v>
      </c>
      <c r="Z73" s="94" t="s">
        <v>712</v>
      </c>
      <c r="AA73" s="94" t="s">
        <v>1028</v>
      </c>
      <c r="AB73" s="122" t="s">
        <v>1065</v>
      </c>
      <c r="AC73" s="94" t="s">
        <v>560</v>
      </c>
      <c r="AD73" s="122" t="s">
        <v>560</v>
      </c>
      <c r="AE73" s="122" t="s">
        <v>1065</v>
      </c>
      <c r="AF73" s="123" t="s">
        <v>656</v>
      </c>
      <c r="AG73" s="94" t="s">
        <v>563</v>
      </c>
    </row>
    <row r="74" spans="1:33" ht="48">
      <c r="A74" s="113">
        <v>45383</v>
      </c>
      <c r="B74" s="94" t="s">
        <v>139</v>
      </c>
      <c r="C74" s="94" t="s">
        <v>106</v>
      </c>
      <c r="D74" s="94" t="s">
        <v>107</v>
      </c>
      <c r="E74" s="93" t="s">
        <v>108</v>
      </c>
      <c r="F74" s="94" t="s">
        <v>109</v>
      </c>
      <c r="G74" s="94" t="s">
        <v>110</v>
      </c>
      <c r="H74" s="94" t="s">
        <v>111</v>
      </c>
      <c r="I74" s="94" t="s">
        <v>1066</v>
      </c>
      <c r="J74" s="93" t="s">
        <v>1067</v>
      </c>
      <c r="K74" s="94" t="s">
        <v>1068</v>
      </c>
      <c r="L74" s="94" t="s">
        <v>279</v>
      </c>
      <c r="M74" s="93" t="s">
        <v>1069</v>
      </c>
      <c r="N74" s="94" t="s">
        <v>1070</v>
      </c>
      <c r="O74" s="94" t="s">
        <v>671</v>
      </c>
      <c r="P74" s="94" t="s">
        <v>1071</v>
      </c>
      <c r="Q74" s="94" t="s">
        <v>560</v>
      </c>
      <c r="R74" s="94" t="s">
        <v>640</v>
      </c>
      <c r="S74" s="94" t="s">
        <v>560</v>
      </c>
      <c r="T74" s="94" t="s">
        <v>560</v>
      </c>
      <c r="U74" s="94" t="s">
        <v>560</v>
      </c>
      <c r="V74" s="94" t="s">
        <v>560</v>
      </c>
      <c r="W74" s="94" t="s">
        <v>560</v>
      </c>
      <c r="X74" s="94" t="s">
        <v>109</v>
      </c>
      <c r="Y74" s="94" t="s">
        <v>560</v>
      </c>
      <c r="Z74" s="94" t="s">
        <v>1072</v>
      </c>
      <c r="AA74" s="94" t="s">
        <v>1028</v>
      </c>
      <c r="AB74" s="122" t="s">
        <v>1073</v>
      </c>
      <c r="AC74" s="94" t="s">
        <v>560</v>
      </c>
      <c r="AD74" s="122" t="s">
        <v>560</v>
      </c>
      <c r="AE74" s="122" t="s">
        <v>1073</v>
      </c>
      <c r="AF74" s="123" t="s">
        <v>656</v>
      </c>
      <c r="AG74" s="94" t="s">
        <v>563</v>
      </c>
    </row>
    <row r="75" spans="1:33" ht="156">
      <c r="A75" s="113">
        <v>45077</v>
      </c>
      <c r="B75" s="94" t="s">
        <v>105</v>
      </c>
      <c r="C75" s="94" t="s">
        <v>106</v>
      </c>
      <c r="D75" s="94" t="s">
        <v>107</v>
      </c>
      <c r="E75" s="93" t="s">
        <v>108</v>
      </c>
      <c r="F75" s="94" t="s">
        <v>109</v>
      </c>
      <c r="G75" s="94" t="s">
        <v>110</v>
      </c>
      <c r="H75" s="94" t="s">
        <v>111</v>
      </c>
      <c r="I75" s="94" t="s">
        <v>1074</v>
      </c>
      <c r="J75" s="93" t="s">
        <v>977</v>
      </c>
      <c r="K75" s="94" t="s">
        <v>1075</v>
      </c>
      <c r="L75" s="93" t="s">
        <v>364</v>
      </c>
      <c r="M75" s="94" t="s">
        <v>1076</v>
      </c>
      <c r="N75" s="94" t="s">
        <v>1077</v>
      </c>
      <c r="O75" s="94" t="s">
        <v>116</v>
      </c>
      <c r="P75" s="94" t="s">
        <v>1078</v>
      </c>
      <c r="Q75" s="94" t="s">
        <v>560</v>
      </c>
      <c r="R75" s="94" t="s">
        <v>1079</v>
      </c>
      <c r="S75" s="94" t="s">
        <v>168</v>
      </c>
      <c r="T75" s="94" t="s">
        <v>1080</v>
      </c>
      <c r="U75" s="94" t="s">
        <v>560</v>
      </c>
      <c r="V75" s="94" t="s">
        <v>560</v>
      </c>
      <c r="W75" s="94" t="s">
        <v>560</v>
      </c>
      <c r="X75" s="94" t="s">
        <v>109</v>
      </c>
      <c r="Y75" s="94" t="s">
        <v>560</v>
      </c>
      <c r="Z75" s="123" t="s">
        <v>206</v>
      </c>
      <c r="AA75" s="94" t="s">
        <v>207</v>
      </c>
      <c r="AB75" s="122" t="s">
        <v>1081</v>
      </c>
      <c r="AC75" s="94" t="s">
        <v>560</v>
      </c>
      <c r="AD75" s="122">
        <v>14300</v>
      </c>
      <c r="AE75" s="122">
        <v>14300</v>
      </c>
      <c r="AF75" s="123" t="s">
        <v>656</v>
      </c>
      <c r="AG75" s="94" t="s">
        <v>563</v>
      </c>
    </row>
    <row r="76" spans="1:33" ht="60">
      <c r="A76" s="113">
        <v>45618</v>
      </c>
      <c r="B76" s="94" t="s">
        <v>105</v>
      </c>
      <c r="C76" s="94" t="s">
        <v>106</v>
      </c>
      <c r="D76" s="94" t="s">
        <v>107</v>
      </c>
      <c r="E76" s="93" t="s">
        <v>108</v>
      </c>
      <c r="F76" s="94" t="s">
        <v>109</v>
      </c>
      <c r="G76" s="94" t="s">
        <v>110</v>
      </c>
      <c r="H76" s="94" t="s">
        <v>111</v>
      </c>
      <c r="I76" s="124" t="s">
        <v>1082</v>
      </c>
      <c r="J76" s="94" t="s">
        <v>1083</v>
      </c>
      <c r="K76" s="94" t="s">
        <v>1084</v>
      </c>
      <c r="L76" s="94" t="s">
        <v>1046</v>
      </c>
      <c r="M76" s="94" t="s">
        <v>1284</v>
      </c>
      <c r="N76" s="94" t="s">
        <v>1085</v>
      </c>
      <c r="O76" s="94" t="s">
        <v>583</v>
      </c>
      <c r="P76" s="94" t="s">
        <v>1086</v>
      </c>
      <c r="Q76" s="94" t="s">
        <v>118</v>
      </c>
      <c r="R76" s="94" t="s">
        <v>918</v>
      </c>
      <c r="S76" s="94" t="s">
        <v>118</v>
      </c>
      <c r="T76" s="94" t="s">
        <v>118</v>
      </c>
      <c r="U76" s="94" t="s">
        <v>118</v>
      </c>
      <c r="V76" s="94" t="s">
        <v>118</v>
      </c>
      <c r="W76" s="94" t="s">
        <v>118</v>
      </c>
      <c r="X76" s="94" t="s">
        <v>109</v>
      </c>
      <c r="Y76" s="94" t="s">
        <v>118</v>
      </c>
      <c r="Z76" s="94" t="s">
        <v>654</v>
      </c>
      <c r="AA76" s="94" t="s">
        <v>207</v>
      </c>
      <c r="AB76" s="122" t="s">
        <v>1087</v>
      </c>
      <c r="AC76" s="94" t="s">
        <v>118</v>
      </c>
      <c r="AD76" s="122">
        <v>6000</v>
      </c>
      <c r="AE76" s="122">
        <v>6000</v>
      </c>
      <c r="AF76" s="123" t="s">
        <v>656</v>
      </c>
      <c r="AG76" s="94" t="s">
        <v>563</v>
      </c>
    </row>
    <row r="77" spans="1:33" ht="84">
      <c r="A77" s="113">
        <v>45033</v>
      </c>
      <c r="B77" s="94" t="s">
        <v>139</v>
      </c>
      <c r="C77" s="94" t="s">
        <v>106</v>
      </c>
      <c r="D77" s="94" t="s">
        <v>107</v>
      </c>
      <c r="E77" s="93" t="s">
        <v>108</v>
      </c>
      <c r="F77" s="94" t="s">
        <v>109</v>
      </c>
      <c r="G77" s="94" t="s">
        <v>110</v>
      </c>
      <c r="H77" s="94" t="s">
        <v>111</v>
      </c>
      <c r="I77" s="94" t="s">
        <v>1088</v>
      </c>
      <c r="J77" s="93" t="s">
        <v>922</v>
      </c>
      <c r="K77" s="94" t="s">
        <v>1089</v>
      </c>
      <c r="L77" s="94" t="s">
        <v>143</v>
      </c>
      <c r="M77" s="93" t="s">
        <v>1285</v>
      </c>
      <c r="N77" s="94" t="s">
        <v>1090</v>
      </c>
      <c r="O77" s="94" t="s">
        <v>1091</v>
      </c>
      <c r="P77" s="94" t="s">
        <v>1092</v>
      </c>
      <c r="Q77" s="94" t="s">
        <v>560</v>
      </c>
      <c r="R77" s="94" t="s">
        <v>1093</v>
      </c>
      <c r="S77" s="94" t="s">
        <v>1094</v>
      </c>
      <c r="T77" s="94" t="s">
        <v>1095</v>
      </c>
      <c r="U77" s="94" t="s">
        <v>560</v>
      </c>
      <c r="V77" s="94" t="s">
        <v>560</v>
      </c>
      <c r="W77" s="94" t="s">
        <v>560</v>
      </c>
      <c r="X77" s="94" t="s">
        <v>109</v>
      </c>
      <c r="Y77" s="94" t="s">
        <v>560</v>
      </c>
      <c r="Z77" s="94" t="s">
        <v>712</v>
      </c>
      <c r="AA77" s="94" t="s">
        <v>1028</v>
      </c>
      <c r="AB77" s="122" t="s">
        <v>1096</v>
      </c>
      <c r="AC77" s="94" t="s">
        <v>560</v>
      </c>
      <c r="AD77" s="122">
        <v>21422.22</v>
      </c>
      <c r="AE77" s="122">
        <v>21422.22</v>
      </c>
      <c r="AF77" s="123" t="s">
        <v>656</v>
      </c>
      <c r="AG77" s="94" t="s">
        <v>563</v>
      </c>
    </row>
    <row r="78" spans="1:33" ht="60">
      <c r="A78" s="113">
        <v>45463</v>
      </c>
      <c r="B78" s="94" t="s">
        <v>139</v>
      </c>
      <c r="C78" s="94" t="s">
        <v>106</v>
      </c>
      <c r="D78" s="94" t="s">
        <v>107</v>
      </c>
      <c r="E78" s="93" t="s">
        <v>108</v>
      </c>
      <c r="F78" s="94" t="s">
        <v>109</v>
      </c>
      <c r="G78" s="94" t="s">
        <v>110</v>
      </c>
      <c r="H78" s="94" t="s">
        <v>111</v>
      </c>
      <c r="I78" s="94" t="s">
        <v>1097</v>
      </c>
      <c r="J78" s="93" t="s">
        <v>1098</v>
      </c>
      <c r="K78" s="94" t="s">
        <v>1099</v>
      </c>
      <c r="L78" s="94" t="s">
        <v>1016</v>
      </c>
      <c r="M78" s="94" t="s">
        <v>1286</v>
      </c>
      <c r="N78" s="94" t="s">
        <v>1100</v>
      </c>
      <c r="O78" s="94" t="s">
        <v>155</v>
      </c>
      <c r="P78" s="94" t="s">
        <v>1101</v>
      </c>
      <c r="Q78" s="94" t="s">
        <v>560</v>
      </c>
      <c r="R78" s="94" t="s">
        <v>888</v>
      </c>
      <c r="S78" s="86" t="s">
        <v>421</v>
      </c>
      <c r="T78" s="94" t="s">
        <v>1102</v>
      </c>
      <c r="U78" s="94" t="s">
        <v>560</v>
      </c>
      <c r="V78" s="94" t="s">
        <v>560</v>
      </c>
      <c r="W78" s="94" t="s">
        <v>560</v>
      </c>
      <c r="X78" s="94" t="s">
        <v>109</v>
      </c>
      <c r="Y78" s="94" t="s">
        <v>560</v>
      </c>
      <c r="Z78" s="94" t="s">
        <v>712</v>
      </c>
      <c r="AA78" s="94" t="s">
        <v>1028</v>
      </c>
      <c r="AB78" s="122" t="s">
        <v>1103</v>
      </c>
      <c r="AC78" s="94" t="s">
        <v>560</v>
      </c>
      <c r="AD78" s="122" t="s">
        <v>560</v>
      </c>
      <c r="AE78" s="122" t="s">
        <v>1103</v>
      </c>
      <c r="AF78" s="123" t="s">
        <v>656</v>
      </c>
      <c r="AG78" s="94" t="s">
        <v>563</v>
      </c>
    </row>
    <row r="79" spans="1:33" ht="60">
      <c r="A79" s="113">
        <v>45694</v>
      </c>
      <c r="B79" s="94" t="s">
        <v>139</v>
      </c>
      <c r="C79" s="94" t="s">
        <v>106</v>
      </c>
      <c r="D79" s="94" t="s">
        <v>107</v>
      </c>
      <c r="E79" s="93" t="s">
        <v>108</v>
      </c>
      <c r="F79" s="94" t="s">
        <v>109</v>
      </c>
      <c r="G79" s="94" t="s">
        <v>110</v>
      </c>
      <c r="H79" s="94" t="s">
        <v>111</v>
      </c>
      <c r="I79" s="94" t="s">
        <v>1104</v>
      </c>
      <c r="J79" s="93" t="s">
        <v>1105</v>
      </c>
      <c r="K79" s="94" t="s">
        <v>1106</v>
      </c>
      <c r="L79" s="94" t="s">
        <v>153</v>
      </c>
      <c r="M79" s="94" t="s">
        <v>1287</v>
      </c>
      <c r="N79" s="94" t="s">
        <v>1107</v>
      </c>
      <c r="O79" s="94" t="s">
        <v>155</v>
      </c>
      <c r="P79" s="94" t="s">
        <v>1108</v>
      </c>
      <c r="Q79" s="94" t="s">
        <v>560</v>
      </c>
      <c r="R79" s="94" t="s">
        <v>560</v>
      </c>
      <c r="S79" s="94" t="s">
        <v>560</v>
      </c>
      <c r="T79" s="94" t="s">
        <v>560</v>
      </c>
      <c r="U79" s="94" t="s">
        <v>560</v>
      </c>
      <c r="V79" s="94" t="s">
        <v>560</v>
      </c>
      <c r="W79" s="94" t="s">
        <v>560</v>
      </c>
      <c r="X79" s="94" t="s">
        <v>109</v>
      </c>
      <c r="Y79" s="94" t="s">
        <v>560</v>
      </c>
      <c r="Z79" s="94" t="s">
        <v>1109</v>
      </c>
      <c r="AA79" s="94" t="s">
        <v>1028</v>
      </c>
      <c r="AB79" s="122">
        <v>110625.08</v>
      </c>
      <c r="AC79" s="94" t="s">
        <v>560</v>
      </c>
      <c r="AD79" s="122" t="s">
        <v>560</v>
      </c>
      <c r="AE79" s="122">
        <v>110625.08</v>
      </c>
      <c r="AF79" s="123" t="s">
        <v>656</v>
      </c>
      <c r="AG79" s="94" t="s">
        <v>563</v>
      </c>
    </row>
    <row r="80" spans="1:33" ht="48">
      <c r="A80" s="113">
        <v>45691</v>
      </c>
      <c r="B80" s="94" t="s">
        <v>139</v>
      </c>
      <c r="C80" s="94" t="s">
        <v>106</v>
      </c>
      <c r="D80" s="94" t="s">
        <v>107</v>
      </c>
      <c r="E80" s="93" t="s">
        <v>108</v>
      </c>
      <c r="F80" s="94" t="s">
        <v>109</v>
      </c>
      <c r="G80" s="94" t="s">
        <v>110</v>
      </c>
      <c r="H80" s="94" t="s">
        <v>111</v>
      </c>
      <c r="I80" s="94" t="s">
        <v>1110</v>
      </c>
      <c r="J80" s="93" t="s">
        <v>357</v>
      </c>
      <c r="K80" s="94" t="s">
        <v>358</v>
      </c>
      <c r="L80" s="94" t="s">
        <v>143</v>
      </c>
      <c r="M80" s="125" t="s">
        <v>1111</v>
      </c>
      <c r="N80" s="94" t="s">
        <v>1112</v>
      </c>
      <c r="O80" s="94" t="s">
        <v>155</v>
      </c>
      <c r="P80" s="94" t="s">
        <v>1113</v>
      </c>
      <c r="Q80" s="94" t="s">
        <v>560</v>
      </c>
      <c r="R80" s="94" t="s">
        <v>560</v>
      </c>
      <c r="S80" s="94" t="s">
        <v>560</v>
      </c>
      <c r="T80" s="94" t="s">
        <v>560</v>
      </c>
      <c r="U80" s="94" t="s">
        <v>560</v>
      </c>
      <c r="V80" s="94" t="s">
        <v>560</v>
      </c>
      <c r="W80" s="94" t="s">
        <v>560</v>
      </c>
      <c r="X80" s="94" t="s">
        <v>109</v>
      </c>
      <c r="Y80" s="94" t="s">
        <v>560</v>
      </c>
      <c r="Z80" s="94" t="s">
        <v>577</v>
      </c>
      <c r="AA80" s="94" t="s">
        <v>1028</v>
      </c>
      <c r="AB80" s="122">
        <v>509723.89</v>
      </c>
      <c r="AC80" s="94" t="s">
        <v>560</v>
      </c>
      <c r="AD80" s="122" t="s">
        <v>560</v>
      </c>
      <c r="AE80" s="122">
        <v>509723.89</v>
      </c>
      <c r="AF80" s="123" t="s">
        <v>656</v>
      </c>
      <c r="AG80" s="94" t="s">
        <v>563</v>
      </c>
    </row>
    <row r="81" spans="1:33" ht="36">
      <c r="A81" s="113">
        <v>45526</v>
      </c>
      <c r="B81" s="94" t="s">
        <v>139</v>
      </c>
      <c r="C81" s="94" t="s">
        <v>106</v>
      </c>
      <c r="D81" s="94" t="s">
        <v>107</v>
      </c>
      <c r="E81" s="93" t="s">
        <v>108</v>
      </c>
      <c r="F81" s="94" t="s">
        <v>109</v>
      </c>
      <c r="G81" s="94" t="s">
        <v>110</v>
      </c>
      <c r="H81" s="94" t="s">
        <v>111</v>
      </c>
      <c r="I81" s="94" t="s">
        <v>1114</v>
      </c>
      <c r="J81" s="94" t="s">
        <v>1115</v>
      </c>
      <c r="K81" s="94" t="s">
        <v>1116</v>
      </c>
      <c r="L81" s="94" t="s">
        <v>633</v>
      </c>
      <c r="M81" s="94" t="s">
        <v>1117</v>
      </c>
      <c r="N81" s="94" t="s">
        <v>1100</v>
      </c>
      <c r="O81" s="94" t="s">
        <v>155</v>
      </c>
      <c r="P81" s="94" t="s">
        <v>1118</v>
      </c>
      <c r="Q81" s="94" t="s">
        <v>560</v>
      </c>
      <c r="R81" s="94" t="s">
        <v>560</v>
      </c>
      <c r="S81" s="94" t="s">
        <v>560</v>
      </c>
      <c r="T81" s="94" t="s">
        <v>560</v>
      </c>
      <c r="U81" s="94" t="s">
        <v>560</v>
      </c>
      <c r="V81" s="94" t="s">
        <v>560</v>
      </c>
      <c r="W81" s="94" t="s">
        <v>560</v>
      </c>
      <c r="X81" s="94" t="s">
        <v>109</v>
      </c>
      <c r="Y81" s="94" t="s">
        <v>560</v>
      </c>
      <c r="Z81" s="94" t="s">
        <v>577</v>
      </c>
      <c r="AA81" s="94" t="s">
        <v>1028</v>
      </c>
      <c r="AB81" s="122" t="s">
        <v>1119</v>
      </c>
      <c r="AC81" s="94" t="s">
        <v>560</v>
      </c>
      <c r="AD81" s="122" t="s">
        <v>560</v>
      </c>
      <c r="AE81" s="122" t="s">
        <v>1119</v>
      </c>
      <c r="AF81" s="123" t="s">
        <v>656</v>
      </c>
      <c r="AG81" s="94" t="s">
        <v>563</v>
      </c>
    </row>
    <row r="82" spans="1:33" ht="60">
      <c r="A82" s="113">
        <v>45665</v>
      </c>
      <c r="B82" s="94" t="s">
        <v>139</v>
      </c>
      <c r="C82" s="94" t="s">
        <v>106</v>
      </c>
      <c r="D82" s="94" t="s">
        <v>107</v>
      </c>
      <c r="E82" s="93" t="s">
        <v>108</v>
      </c>
      <c r="F82" s="94" t="s">
        <v>109</v>
      </c>
      <c r="G82" s="94" t="s">
        <v>110</v>
      </c>
      <c r="H82" s="94" t="s">
        <v>111</v>
      </c>
      <c r="I82" s="124" t="s">
        <v>1120</v>
      </c>
      <c r="J82" s="94" t="s">
        <v>1121</v>
      </c>
      <c r="K82" s="94" t="s">
        <v>1122</v>
      </c>
      <c r="L82" s="94" t="s">
        <v>153</v>
      </c>
      <c r="M82" s="94" t="s">
        <v>1123</v>
      </c>
      <c r="N82" s="94" t="s">
        <v>1124</v>
      </c>
      <c r="O82" s="94" t="s">
        <v>155</v>
      </c>
      <c r="P82" s="94" t="s">
        <v>1125</v>
      </c>
      <c r="Q82" s="94" t="s">
        <v>118</v>
      </c>
      <c r="R82" s="94" t="s">
        <v>118</v>
      </c>
      <c r="S82" s="94" t="s">
        <v>118</v>
      </c>
      <c r="T82" s="94" t="s">
        <v>118</v>
      </c>
      <c r="U82" s="94" t="s">
        <v>118</v>
      </c>
      <c r="V82" s="94" t="s">
        <v>118</v>
      </c>
      <c r="W82" s="94" t="s">
        <v>118</v>
      </c>
      <c r="X82" s="94" t="s">
        <v>109</v>
      </c>
      <c r="Y82" s="94" t="s">
        <v>118</v>
      </c>
      <c r="Z82" s="94" t="s">
        <v>577</v>
      </c>
      <c r="AA82" s="94" t="s">
        <v>1028</v>
      </c>
      <c r="AB82" s="122">
        <v>128073.79</v>
      </c>
      <c r="AC82" s="122" t="s">
        <v>118</v>
      </c>
      <c r="AD82" s="122" t="s">
        <v>118</v>
      </c>
      <c r="AE82" s="122">
        <v>128073.79</v>
      </c>
      <c r="AF82" s="123" t="s">
        <v>656</v>
      </c>
      <c r="AG82" s="94" t="s">
        <v>563</v>
      </c>
    </row>
    <row r="83" spans="1:33" ht="48">
      <c r="A83" s="126">
        <v>45744</v>
      </c>
      <c r="B83" s="91" t="s">
        <v>139</v>
      </c>
      <c r="C83" s="94" t="s">
        <v>106</v>
      </c>
      <c r="D83" s="94" t="s">
        <v>107</v>
      </c>
      <c r="E83" s="93" t="s">
        <v>108</v>
      </c>
      <c r="F83" s="94" t="s">
        <v>109</v>
      </c>
      <c r="G83" s="94" t="s">
        <v>110</v>
      </c>
      <c r="H83" s="94" t="s">
        <v>111</v>
      </c>
      <c r="I83" s="127" t="s">
        <v>1126</v>
      </c>
      <c r="J83" s="94" t="s">
        <v>1127</v>
      </c>
      <c r="K83" s="128" t="s">
        <v>1128</v>
      </c>
      <c r="L83" s="91" t="s">
        <v>153</v>
      </c>
      <c r="M83" s="129" t="s">
        <v>1129</v>
      </c>
      <c r="N83" s="91" t="s">
        <v>1130</v>
      </c>
      <c r="O83" s="94" t="s">
        <v>155</v>
      </c>
      <c r="P83" s="94" t="s">
        <v>1131</v>
      </c>
      <c r="Q83" s="94" t="s">
        <v>118</v>
      </c>
      <c r="R83" s="94" t="s">
        <v>118</v>
      </c>
      <c r="S83" s="94" t="s">
        <v>118</v>
      </c>
      <c r="T83" s="94" t="s">
        <v>118</v>
      </c>
      <c r="U83" s="94" t="s">
        <v>118</v>
      </c>
      <c r="V83" s="94" t="s">
        <v>118</v>
      </c>
      <c r="W83" s="94" t="s">
        <v>118</v>
      </c>
      <c r="X83" s="94" t="s">
        <v>109</v>
      </c>
      <c r="Y83" s="94" t="s">
        <v>118</v>
      </c>
      <c r="Z83" s="94" t="s">
        <v>1132</v>
      </c>
      <c r="AA83" s="94" t="s">
        <v>1028</v>
      </c>
      <c r="AB83" s="98">
        <v>13211.86</v>
      </c>
      <c r="AC83" s="122">
        <v>13211.86</v>
      </c>
      <c r="AD83" s="122" t="s">
        <v>118</v>
      </c>
      <c r="AE83" s="122" t="s">
        <v>118</v>
      </c>
      <c r="AF83" s="123" t="s">
        <v>656</v>
      </c>
      <c r="AG83" s="94" t="s">
        <v>563</v>
      </c>
    </row>
    <row r="84" spans="1:33" ht="60">
      <c r="A84" s="113">
        <v>45741</v>
      </c>
      <c r="B84" s="94" t="s">
        <v>139</v>
      </c>
      <c r="C84" s="94" t="s">
        <v>106</v>
      </c>
      <c r="D84" s="94" t="s">
        <v>107</v>
      </c>
      <c r="E84" s="93" t="s">
        <v>108</v>
      </c>
      <c r="F84" s="94" t="s">
        <v>109</v>
      </c>
      <c r="G84" s="94" t="s">
        <v>110</v>
      </c>
      <c r="H84" s="94" t="s">
        <v>111</v>
      </c>
      <c r="I84" s="124" t="s">
        <v>1133</v>
      </c>
      <c r="J84" s="93" t="s">
        <v>1134</v>
      </c>
      <c r="K84" s="94" t="s">
        <v>1135</v>
      </c>
      <c r="L84" s="94" t="s">
        <v>153</v>
      </c>
      <c r="M84" s="125" t="s">
        <v>1136</v>
      </c>
      <c r="N84" s="94" t="s">
        <v>438</v>
      </c>
      <c r="O84" s="94" t="s">
        <v>1137</v>
      </c>
      <c r="P84" s="94" t="s">
        <v>1138</v>
      </c>
      <c r="Q84" s="94" t="s">
        <v>560</v>
      </c>
      <c r="R84" s="94" t="s">
        <v>560</v>
      </c>
      <c r="S84" s="94" t="s">
        <v>560</v>
      </c>
      <c r="T84" s="94" t="s">
        <v>560</v>
      </c>
      <c r="U84" s="94" t="s">
        <v>560</v>
      </c>
      <c r="V84" s="94" t="s">
        <v>560</v>
      </c>
      <c r="W84" s="94" t="s">
        <v>560</v>
      </c>
      <c r="X84" s="94" t="s">
        <v>109</v>
      </c>
      <c r="Y84" s="94" t="s">
        <v>560</v>
      </c>
      <c r="Z84" s="94" t="s">
        <v>1132</v>
      </c>
      <c r="AA84" s="94" t="s">
        <v>1028</v>
      </c>
      <c r="AB84" s="122">
        <v>145150.06</v>
      </c>
      <c r="AC84" s="122">
        <v>145150.06</v>
      </c>
      <c r="AD84" s="122" t="s">
        <v>560</v>
      </c>
      <c r="AE84" s="122" t="s">
        <v>560</v>
      </c>
      <c r="AF84" s="123" t="s">
        <v>311</v>
      </c>
      <c r="AG84" s="94" t="s">
        <v>563</v>
      </c>
    </row>
    <row r="85" spans="1:33" ht="24">
      <c r="A85" s="113">
        <v>45730</v>
      </c>
      <c r="B85" s="94" t="s">
        <v>1139</v>
      </c>
      <c r="C85" s="94" t="s">
        <v>106</v>
      </c>
      <c r="D85" s="94" t="s">
        <v>107</v>
      </c>
      <c r="E85" s="93" t="s">
        <v>108</v>
      </c>
      <c r="F85" s="94" t="s">
        <v>109</v>
      </c>
      <c r="G85" s="94" t="s">
        <v>110</v>
      </c>
      <c r="H85" s="94" t="s">
        <v>111</v>
      </c>
      <c r="I85" s="124" t="s">
        <v>1140</v>
      </c>
      <c r="J85" s="93" t="s">
        <v>1141</v>
      </c>
      <c r="K85" s="94" t="s">
        <v>1142</v>
      </c>
      <c r="L85" s="94" t="s">
        <v>143</v>
      </c>
      <c r="M85" s="125" t="s">
        <v>1143</v>
      </c>
      <c r="N85" s="94" t="s">
        <v>1144</v>
      </c>
      <c r="O85" s="94" t="s">
        <v>1145</v>
      </c>
      <c r="P85" s="94" t="s">
        <v>1146</v>
      </c>
      <c r="Q85" s="94" t="s">
        <v>1147</v>
      </c>
      <c r="R85" s="94" t="s">
        <v>673</v>
      </c>
      <c r="S85" s="94" t="s">
        <v>560</v>
      </c>
      <c r="T85" s="94" t="s">
        <v>560</v>
      </c>
      <c r="U85" s="94" t="s">
        <v>560</v>
      </c>
      <c r="V85" s="94" t="s">
        <v>560</v>
      </c>
      <c r="W85" s="94" t="s">
        <v>560</v>
      </c>
      <c r="X85" s="94" t="s">
        <v>109</v>
      </c>
      <c r="Y85" s="94" t="s">
        <v>560</v>
      </c>
      <c r="Z85" s="94" t="s">
        <v>577</v>
      </c>
      <c r="AA85" s="94" t="s">
        <v>1028</v>
      </c>
      <c r="AB85" s="122">
        <v>160000</v>
      </c>
      <c r="AC85" s="122">
        <v>160000</v>
      </c>
      <c r="AD85" s="122" t="s">
        <v>560</v>
      </c>
      <c r="AE85" s="122" t="s">
        <v>560</v>
      </c>
      <c r="AF85" s="123" t="s">
        <v>311</v>
      </c>
      <c r="AG85" s="94" t="s">
        <v>563</v>
      </c>
    </row>
    <row r="86" spans="1:33" ht="60">
      <c r="A86" s="130">
        <v>45426</v>
      </c>
      <c r="B86" s="131" t="s">
        <v>139</v>
      </c>
      <c r="C86" s="131" t="s">
        <v>106</v>
      </c>
      <c r="D86" s="131" t="s">
        <v>107</v>
      </c>
      <c r="E86" s="132" t="s">
        <v>108</v>
      </c>
      <c r="F86" s="131" t="s">
        <v>109</v>
      </c>
      <c r="G86" s="131" t="s">
        <v>110</v>
      </c>
      <c r="H86" s="131" t="s">
        <v>111</v>
      </c>
      <c r="I86" s="131" t="s">
        <v>1148</v>
      </c>
      <c r="J86" s="131" t="s">
        <v>1149</v>
      </c>
      <c r="K86" s="131" t="s">
        <v>1150</v>
      </c>
      <c r="L86" s="131" t="s">
        <v>849</v>
      </c>
      <c r="M86" s="131" t="s">
        <v>1288</v>
      </c>
      <c r="N86" s="131" t="s">
        <v>1151</v>
      </c>
      <c r="O86" s="131" t="s">
        <v>515</v>
      </c>
      <c r="P86" s="131" t="s">
        <v>1152</v>
      </c>
      <c r="Q86" s="131" t="s">
        <v>560</v>
      </c>
      <c r="R86" s="131" t="s">
        <v>888</v>
      </c>
      <c r="S86" s="131" t="s">
        <v>421</v>
      </c>
      <c r="T86" s="133" t="s">
        <v>1153</v>
      </c>
      <c r="U86" s="131" t="s">
        <v>560</v>
      </c>
      <c r="V86" s="131" t="s">
        <v>560</v>
      </c>
      <c r="W86" s="131" t="s">
        <v>560</v>
      </c>
      <c r="X86" s="131" t="s">
        <v>109</v>
      </c>
      <c r="Y86" s="131" t="s">
        <v>560</v>
      </c>
      <c r="Z86" s="131" t="s">
        <v>577</v>
      </c>
      <c r="AA86" s="131" t="s">
        <v>1028</v>
      </c>
      <c r="AB86" s="134" t="s">
        <v>1154</v>
      </c>
      <c r="AC86" s="134" t="s">
        <v>1154</v>
      </c>
      <c r="AD86" s="134" t="s">
        <v>560</v>
      </c>
      <c r="AE86" s="134" t="s">
        <v>560</v>
      </c>
      <c r="AF86" s="135" t="s">
        <v>656</v>
      </c>
      <c r="AG86" s="131" t="s">
        <v>563</v>
      </c>
    </row>
    <row r="87" spans="1:33" ht="72">
      <c r="A87" s="130">
        <v>45555</v>
      </c>
      <c r="B87" s="131" t="s">
        <v>139</v>
      </c>
      <c r="C87" s="131" t="s">
        <v>106</v>
      </c>
      <c r="D87" s="131" t="s">
        <v>107</v>
      </c>
      <c r="E87" s="132" t="s">
        <v>108</v>
      </c>
      <c r="F87" s="131" t="s">
        <v>109</v>
      </c>
      <c r="G87" s="131" t="s">
        <v>110</v>
      </c>
      <c r="H87" s="131" t="s">
        <v>111</v>
      </c>
      <c r="I87" s="131" t="s">
        <v>1155</v>
      </c>
      <c r="J87" s="131" t="s">
        <v>1156</v>
      </c>
      <c r="K87" s="131" t="s">
        <v>1157</v>
      </c>
      <c r="L87" s="131" t="s">
        <v>263</v>
      </c>
      <c r="M87" s="131" t="s">
        <v>1158</v>
      </c>
      <c r="N87" s="131" t="s">
        <v>874</v>
      </c>
      <c r="O87" s="131" t="s">
        <v>155</v>
      </c>
      <c r="P87" s="131" t="s">
        <v>1159</v>
      </c>
      <c r="Q87" s="131" t="s">
        <v>118</v>
      </c>
      <c r="R87" s="131" t="s">
        <v>118</v>
      </c>
      <c r="S87" s="131" t="s">
        <v>118</v>
      </c>
      <c r="T87" s="131" t="s">
        <v>118</v>
      </c>
      <c r="U87" s="131" t="s">
        <v>118</v>
      </c>
      <c r="V87" s="131" t="s">
        <v>118</v>
      </c>
      <c r="W87" s="131" t="s">
        <v>118</v>
      </c>
      <c r="X87" s="131" t="s">
        <v>109</v>
      </c>
      <c r="Y87" s="131" t="s">
        <v>118</v>
      </c>
      <c r="Z87" s="131" t="s">
        <v>577</v>
      </c>
      <c r="AA87" s="131" t="s">
        <v>1028</v>
      </c>
      <c r="AB87" s="134" t="s">
        <v>1160</v>
      </c>
      <c r="AC87" s="134" t="s">
        <v>1160</v>
      </c>
      <c r="AD87" s="134" t="s">
        <v>118</v>
      </c>
      <c r="AE87" s="134" t="s">
        <v>560</v>
      </c>
      <c r="AF87" s="135" t="s">
        <v>656</v>
      </c>
      <c r="AG87" s="131" t="s">
        <v>563</v>
      </c>
    </row>
    <row r="88" spans="1:33" ht="48">
      <c r="A88" s="136">
        <v>45749</v>
      </c>
      <c r="B88" s="137" t="s">
        <v>139</v>
      </c>
      <c r="C88" s="131" t="s">
        <v>106</v>
      </c>
      <c r="D88" s="131" t="s">
        <v>107</v>
      </c>
      <c r="E88" s="132" t="s">
        <v>108</v>
      </c>
      <c r="F88" s="131" t="s">
        <v>109</v>
      </c>
      <c r="G88" s="131" t="s">
        <v>110</v>
      </c>
      <c r="H88" s="131" t="s">
        <v>111</v>
      </c>
      <c r="I88" s="138" t="s">
        <v>1161</v>
      </c>
      <c r="J88" s="131" t="s">
        <v>1127</v>
      </c>
      <c r="K88" s="137" t="s">
        <v>1116</v>
      </c>
      <c r="L88" s="131" t="s">
        <v>245</v>
      </c>
      <c r="M88" s="139" t="s">
        <v>1162</v>
      </c>
      <c r="N88" s="137" t="s">
        <v>1100</v>
      </c>
      <c r="O88" s="131" t="s">
        <v>155</v>
      </c>
      <c r="P88" s="131" t="s">
        <v>1118</v>
      </c>
      <c r="Q88" s="131" t="s">
        <v>118</v>
      </c>
      <c r="R88" s="131" t="s">
        <v>118</v>
      </c>
      <c r="S88" s="131" t="s">
        <v>118</v>
      </c>
      <c r="T88" s="131" t="s">
        <v>118</v>
      </c>
      <c r="U88" s="131" t="s">
        <v>118</v>
      </c>
      <c r="V88" s="131" t="s">
        <v>118</v>
      </c>
      <c r="W88" s="131" t="s">
        <v>118</v>
      </c>
      <c r="X88" s="131" t="s">
        <v>1163</v>
      </c>
      <c r="Y88" s="131" t="s">
        <v>118</v>
      </c>
      <c r="Z88" s="131" t="s">
        <v>577</v>
      </c>
      <c r="AA88" s="131" t="s">
        <v>1028</v>
      </c>
      <c r="AB88" s="140">
        <v>240299.79</v>
      </c>
      <c r="AC88" s="140">
        <v>240299.79</v>
      </c>
      <c r="AD88" s="134" t="s">
        <v>118</v>
      </c>
      <c r="AE88" s="134" t="s">
        <v>118</v>
      </c>
      <c r="AF88" s="135" t="s">
        <v>656</v>
      </c>
      <c r="AG88" s="131" t="s">
        <v>563</v>
      </c>
    </row>
    <row r="89" spans="1:33" ht="48">
      <c r="A89" s="136">
        <v>45807</v>
      </c>
      <c r="B89" s="137" t="s">
        <v>139</v>
      </c>
      <c r="C89" s="137" t="s">
        <v>106</v>
      </c>
      <c r="D89" s="137" t="s">
        <v>107</v>
      </c>
      <c r="E89" s="132" t="s">
        <v>108</v>
      </c>
      <c r="F89" s="137" t="s">
        <v>109</v>
      </c>
      <c r="G89" s="137" t="s">
        <v>110</v>
      </c>
      <c r="H89" s="137" t="s">
        <v>111</v>
      </c>
      <c r="I89" s="137" t="s">
        <v>1164</v>
      </c>
      <c r="J89" s="131" t="s">
        <v>1165</v>
      </c>
      <c r="K89" s="137" t="s">
        <v>1166</v>
      </c>
      <c r="L89" s="137" t="s">
        <v>153</v>
      </c>
      <c r="M89" s="139" t="s">
        <v>1167</v>
      </c>
      <c r="N89" s="137" t="s">
        <v>1168</v>
      </c>
      <c r="O89" s="131" t="s">
        <v>155</v>
      </c>
      <c r="P89" s="131" t="s">
        <v>1169</v>
      </c>
      <c r="Q89" s="131" t="s">
        <v>118</v>
      </c>
      <c r="R89" s="131" t="s">
        <v>118</v>
      </c>
      <c r="S89" s="131" t="s">
        <v>118</v>
      </c>
      <c r="T89" s="131" t="s">
        <v>118</v>
      </c>
      <c r="U89" s="131" t="s">
        <v>118</v>
      </c>
      <c r="V89" s="131" t="s">
        <v>118</v>
      </c>
      <c r="W89" s="131" t="s">
        <v>118</v>
      </c>
      <c r="X89" s="131" t="s">
        <v>118</v>
      </c>
      <c r="Y89" s="131" t="s">
        <v>118</v>
      </c>
      <c r="Z89" s="131" t="s">
        <v>577</v>
      </c>
      <c r="AA89" s="131" t="s">
        <v>1028</v>
      </c>
      <c r="AB89" s="140">
        <v>85322.3</v>
      </c>
      <c r="AC89" s="140">
        <v>85322.3</v>
      </c>
      <c r="AD89" s="134" t="s">
        <v>118</v>
      </c>
      <c r="AE89" s="134" t="s">
        <v>118</v>
      </c>
      <c r="AF89" s="135" t="s">
        <v>656</v>
      </c>
      <c r="AG89" s="131" t="s">
        <v>563</v>
      </c>
    </row>
    <row r="90" spans="1:33" ht="72">
      <c r="A90" s="136">
        <v>45810</v>
      </c>
      <c r="B90" s="137" t="s">
        <v>139</v>
      </c>
      <c r="C90" s="137" t="s">
        <v>106</v>
      </c>
      <c r="D90" s="137" t="s">
        <v>107</v>
      </c>
      <c r="E90" s="132" t="s">
        <v>108</v>
      </c>
      <c r="F90" s="137" t="s">
        <v>109</v>
      </c>
      <c r="G90" s="137" t="s">
        <v>110</v>
      </c>
      <c r="H90" s="137" t="s">
        <v>111</v>
      </c>
      <c r="I90" s="137" t="s">
        <v>1170</v>
      </c>
      <c r="J90" s="137" t="s">
        <v>1171</v>
      </c>
      <c r="K90" s="137" t="s">
        <v>1172</v>
      </c>
      <c r="L90" s="137" t="s">
        <v>153</v>
      </c>
      <c r="M90" s="139" t="s">
        <v>1173</v>
      </c>
      <c r="N90" s="137" t="s">
        <v>432</v>
      </c>
      <c r="O90" s="131" t="s">
        <v>155</v>
      </c>
      <c r="P90" s="137" t="s">
        <v>433</v>
      </c>
      <c r="Q90" s="131" t="s">
        <v>118</v>
      </c>
      <c r="R90" s="131" t="s">
        <v>118</v>
      </c>
      <c r="S90" s="131" t="s">
        <v>118</v>
      </c>
      <c r="T90" s="131" t="s">
        <v>118</v>
      </c>
      <c r="U90" s="131" t="s">
        <v>118</v>
      </c>
      <c r="V90" s="131" t="s">
        <v>118</v>
      </c>
      <c r="W90" s="131" t="s">
        <v>118</v>
      </c>
      <c r="X90" s="131" t="s">
        <v>118</v>
      </c>
      <c r="Y90" s="131" t="s">
        <v>118</v>
      </c>
      <c r="Z90" s="131" t="s">
        <v>577</v>
      </c>
      <c r="AA90" s="131" t="s">
        <v>1028</v>
      </c>
      <c r="AB90" s="140">
        <v>111666.68</v>
      </c>
      <c r="AC90" s="140">
        <v>111666.68</v>
      </c>
      <c r="AD90" s="134" t="s">
        <v>118</v>
      </c>
      <c r="AE90" s="134" t="s">
        <v>118</v>
      </c>
      <c r="AF90" s="135" t="s">
        <v>656</v>
      </c>
      <c r="AG90" s="131" t="s">
        <v>563</v>
      </c>
    </row>
    <row r="91" spans="1:33" ht="24">
      <c r="A91" s="136">
        <v>45806</v>
      </c>
      <c r="B91" s="137" t="s">
        <v>1139</v>
      </c>
      <c r="C91" s="137" t="s">
        <v>106</v>
      </c>
      <c r="D91" s="137" t="s">
        <v>107</v>
      </c>
      <c r="E91" s="137" t="s">
        <v>108</v>
      </c>
      <c r="F91" s="137" t="s">
        <v>109</v>
      </c>
      <c r="G91" s="137" t="s">
        <v>110</v>
      </c>
      <c r="H91" s="137" t="s">
        <v>111</v>
      </c>
      <c r="I91" s="137" t="s">
        <v>1174</v>
      </c>
      <c r="J91" s="137" t="s">
        <v>1175</v>
      </c>
      <c r="K91" s="137" t="s">
        <v>1176</v>
      </c>
      <c r="L91" s="137" t="s">
        <v>1177</v>
      </c>
      <c r="M91" s="137" t="s">
        <v>1178</v>
      </c>
      <c r="N91" s="137" t="s">
        <v>1179</v>
      </c>
      <c r="O91" s="137" t="s">
        <v>1145</v>
      </c>
      <c r="P91" s="137" t="s">
        <v>1180</v>
      </c>
      <c r="Q91" s="131" t="s">
        <v>118</v>
      </c>
      <c r="R91" s="131" t="s">
        <v>118</v>
      </c>
      <c r="S91" s="131" t="s">
        <v>118</v>
      </c>
      <c r="T91" s="131" t="s">
        <v>118</v>
      </c>
      <c r="U91" s="131" t="s">
        <v>118</v>
      </c>
      <c r="V91" s="131" t="s">
        <v>118</v>
      </c>
      <c r="W91" s="131" t="s">
        <v>118</v>
      </c>
      <c r="X91" s="131" t="s">
        <v>118</v>
      </c>
      <c r="Y91" s="131" t="s">
        <v>118</v>
      </c>
      <c r="Z91" s="131" t="s">
        <v>577</v>
      </c>
      <c r="AA91" s="131" t="s">
        <v>1028</v>
      </c>
      <c r="AB91" s="140">
        <v>9596.14</v>
      </c>
      <c r="AC91" s="141">
        <v>9596.14</v>
      </c>
      <c r="AD91" s="134" t="s">
        <v>118</v>
      </c>
      <c r="AE91" s="134" t="s">
        <v>118</v>
      </c>
      <c r="AF91" s="135" t="s">
        <v>656</v>
      </c>
      <c r="AG91" s="131" t="s">
        <v>563</v>
      </c>
    </row>
    <row r="92" spans="1:33" ht="48">
      <c r="A92" s="136">
        <v>45833</v>
      </c>
      <c r="B92" s="137" t="s">
        <v>139</v>
      </c>
      <c r="C92" s="137" t="s">
        <v>1181</v>
      </c>
      <c r="D92" s="137" t="s">
        <v>1182</v>
      </c>
      <c r="E92" s="137" t="s">
        <v>551</v>
      </c>
      <c r="F92" s="137" t="s">
        <v>1183</v>
      </c>
      <c r="G92" s="137" t="s">
        <v>110</v>
      </c>
      <c r="H92" s="137" t="s">
        <v>111</v>
      </c>
      <c r="I92" s="137" t="s">
        <v>1184</v>
      </c>
      <c r="J92" s="137" t="s">
        <v>1185</v>
      </c>
      <c r="K92" s="137" t="s">
        <v>1186</v>
      </c>
      <c r="L92" s="137" t="s">
        <v>1187</v>
      </c>
      <c r="M92" s="137" t="s">
        <v>1188</v>
      </c>
      <c r="N92" s="137" t="s">
        <v>1189</v>
      </c>
      <c r="O92" s="137" t="s">
        <v>1190</v>
      </c>
      <c r="P92" s="137" t="s">
        <v>1191</v>
      </c>
      <c r="Q92" s="131" t="s">
        <v>118</v>
      </c>
      <c r="R92" s="131" t="s">
        <v>1192</v>
      </c>
      <c r="S92" s="131" t="s">
        <v>118</v>
      </c>
      <c r="T92" s="131" t="s">
        <v>118</v>
      </c>
      <c r="U92" s="131" t="s">
        <v>118</v>
      </c>
      <c r="V92" s="131" t="s">
        <v>118</v>
      </c>
      <c r="W92" s="131" t="s">
        <v>118</v>
      </c>
      <c r="X92" s="131" t="s">
        <v>118</v>
      </c>
      <c r="Y92" s="131" t="s">
        <v>118</v>
      </c>
      <c r="Z92" s="131" t="s">
        <v>577</v>
      </c>
      <c r="AA92" s="131" t="s">
        <v>1028</v>
      </c>
      <c r="AB92" s="140">
        <v>209979.5</v>
      </c>
      <c r="AC92" s="141">
        <v>209979.5</v>
      </c>
      <c r="AD92" s="134" t="s">
        <v>118</v>
      </c>
      <c r="AE92" s="134" t="s">
        <v>118</v>
      </c>
      <c r="AF92" s="135" t="s">
        <v>656</v>
      </c>
      <c r="AG92" s="131" t="s">
        <v>563</v>
      </c>
    </row>
    <row r="93" spans="1:33" ht="84">
      <c r="A93" s="136">
        <v>45589</v>
      </c>
      <c r="B93" s="137" t="s">
        <v>139</v>
      </c>
      <c r="C93" s="137" t="s">
        <v>106</v>
      </c>
      <c r="D93" s="137" t="s">
        <v>107</v>
      </c>
      <c r="E93" s="137" t="s">
        <v>551</v>
      </c>
      <c r="F93" s="137" t="s">
        <v>109</v>
      </c>
      <c r="G93" s="137" t="s">
        <v>110</v>
      </c>
      <c r="H93" s="137" t="s">
        <v>111</v>
      </c>
      <c r="I93" s="137" t="s">
        <v>1193</v>
      </c>
      <c r="J93" s="137" t="s">
        <v>1194</v>
      </c>
      <c r="K93" s="137" t="s">
        <v>1195</v>
      </c>
      <c r="L93" s="137" t="s">
        <v>470</v>
      </c>
      <c r="M93" s="137"/>
      <c r="N93" s="137" t="s">
        <v>374</v>
      </c>
      <c r="O93" s="137" t="s">
        <v>1190</v>
      </c>
      <c r="P93" s="137" t="s">
        <v>1196</v>
      </c>
      <c r="Q93" s="131" t="s">
        <v>118</v>
      </c>
      <c r="R93" s="131" t="s">
        <v>1192</v>
      </c>
      <c r="S93" s="131" t="s">
        <v>118</v>
      </c>
      <c r="T93" s="131" t="s">
        <v>118</v>
      </c>
      <c r="U93" s="131" t="s">
        <v>118</v>
      </c>
      <c r="V93" s="131" t="s">
        <v>118</v>
      </c>
      <c r="W93" s="131" t="s">
        <v>118</v>
      </c>
      <c r="X93" s="131" t="s">
        <v>118</v>
      </c>
      <c r="Y93" s="131" t="s">
        <v>118</v>
      </c>
      <c r="Z93" s="131" t="s">
        <v>577</v>
      </c>
      <c r="AA93" s="131" t="s">
        <v>1028</v>
      </c>
      <c r="AB93" s="140" t="s">
        <v>1197</v>
      </c>
      <c r="AC93" s="141" t="s">
        <v>1197</v>
      </c>
      <c r="AD93" s="134" t="s">
        <v>118</v>
      </c>
      <c r="AE93" s="134" t="s">
        <v>118</v>
      </c>
      <c r="AF93" s="135" t="s">
        <v>656</v>
      </c>
      <c r="AG93" s="131" t="s">
        <v>563</v>
      </c>
    </row>
    <row r="94" spans="1:33" ht="48">
      <c r="A94" s="136">
        <v>45726</v>
      </c>
      <c r="B94" s="137" t="s">
        <v>105</v>
      </c>
      <c r="C94" s="137" t="s">
        <v>106</v>
      </c>
      <c r="D94" s="137" t="s">
        <v>107</v>
      </c>
      <c r="E94" s="137" t="s">
        <v>551</v>
      </c>
      <c r="F94" s="137" t="s">
        <v>109</v>
      </c>
      <c r="G94" s="137" t="s">
        <v>110</v>
      </c>
      <c r="H94" s="137" t="s">
        <v>111</v>
      </c>
      <c r="I94" s="137" t="s">
        <v>1198</v>
      </c>
      <c r="J94" s="137" t="s">
        <v>1199</v>
      </c>
      <c r="K94" s="137" t="s">
        <v>1200</v>
      </c>
      <c r="L94" s="137" t="s">
        <v>1201</v>
      </c>
      <c r="M94" s="137" t="s">
        <v>1202</v>
      </c>
      <c r="N94" s="137" t="s">
        <v>625</v>
      </c>
      <c r="O94" s="137" t="s">
        <v>1203</v>
      </c>
      <c r="P94" s="137" t="s">
        <v>1204</v>
      </c>
      <c r="Q94" s="131" t="s">
        <v>118</v>
      </c>
      <c r="R94" s="131" t="s">
        <v>1192</v>
      </c>
      <c r="S94" s="131" t="s">
        <v>118</v>
      </c>
      <c r="T94" s="131" t="s">
        <v>118</v>
      </c>
      <c r="U94" s="131" t="s">
        <v>118</v>
      </c>
      <c r="V94" s="131" t="s">
        <v>118</v>
      </c>
      <c r="W94" s="131" t="s">
        <v>118</v>
      </c>
      <c r="X94" s="131" t="s">
        <v>118</v>
      </c>
      <c r="Y94" s="131" t="s">
        <v>118</v>
      </c>
      <c r="Z94" s="131" t="s">
        <v>577</v>
      </c>
      <c r="AA94" s="131" t="s">
        <v>1028</v>
      </c>
      <c r="AB94" s="140" t="s">
        <v>1205</v>
      </c>
      <c r="AC94" s="141" t="s">
        <v>1205</v>
      </c>
      <c r="AD94" s="134" t="s">
        <v>118</v>
      </c>
      <c r="AE94" s="134" t="s">
        <v>118</v>
      </c>
      <c r="AF94" s="135" t="s">
        <v>656</v>
      </c>
      <c r="AG94" s="131" t="s">
        <v>563</v>
      </c>
    </row>
    <row r="95" spans="1:33" ht="48">
      <c r="A95" s="136">
        <v>45525</v>
      </c>
      <c r="B95" s="137" t="s">
        <v>139</v>
      </c>
      <c r="C95" s="137" t="s">
        <v>106</v>
      </c>
      <c r="D95" s="137" t="s">
        <v>107</v>
      </c>
      <c r="E95" s="137" t="s">
        <v>551</v>
      </c>
      <c r="F95" s="137" t="s">
        <v>109</v>
      </c>
      <c r="G95" s="137" t="s">
        <v>110</v>
      </c>
      <c r="H95" s="137" t="s">
        <v>111</v>
      </c>
      <c r="I95" s="137" t="s">
        <v>1206</v>
      </c>
      <c r="J95" s="137" t="s">
        <v>1207</v>
      </c>
      <c r="K95" s="137" t="s">
        <v>1208</v>
      </c>
      <c r="L95" s="137" t="s">
        <v>1209</v>
      </c>
      <c r="M95" s="137" t="s">
        <v>1210</v>
      </c>
      <c r="N95" s="137" t="s">
        <v>203</v>
      </c>
      <c r="O95" s="137" t="s">
        <v>1190</v>
      </c>
      <c r="P95" s="137" t="s">
        <v>205</v>
      </c>
      <c r="Q95" s="131" t="s">
        <v>118</v>
      </c>
      <c r="R95" s="131" t="s">
        <v>1192</v>
      </c>
      <c r="S95" s="131" t="s">
        <v>118</v>
      </c>
      <c r="T95" s="131" t="s">
        <v>118</v>
      </c>
      <c r="U95" s="131" t="s">
        <v>118</v>
      </c>
      <c r="V95" s="131" t="s">
        <v>118</v>
      </c>
      <c r="W95" s="131" t="s">
        <v>118</v>
      </c>
      <c r="X95" s="131" t="s">
        <v>118</v>
      </c>
      <c r="Y95" s="131" t="s">
        <v>118</v>
      </c>
      <c r="Z95" s="131" t="s">
        <v>577</v>
      </c>
      <c r="AA95" s="131" t="s">
        <v>1028</v>
      </c>
      <c r="AB95" s="140" t="s">
        <v>1211</v>
      </c>
      <c r="AC95" s="141" t="s">
        <v>1211</v>
      </c>
      <c r="AD95" s="134" t="s">
        <v>118</v>
      </c>
      <c r="AE95" s="134" t="s">
        <v>118</v>
      </c>
      <c r="AF95" s="135" t="s">
        <v>656</v>
      </c>
      <c r="AG95" s="131" t="s">
        <v>563</v>
      </c>
    </row>
    <row r="96" spans="1:33" ht="36">
      <c r="A96" s="136">
        <v>45792</v>
      </c>
      <c r="B96" s="137" t="s">
        <v>160</v>
      </c>
      <c r="C96" s="137" t="s">
        <v>106</v>
      </c>
      <c r="D96" s="137" t="s">
        <v>107</v>
      </c>
      <c r="E96" s="137" t="s">
        <v>551</v>
      </c>
      <c r="F96" s="137" t="s">
        <v>109</v>
      </c>
      <c r="G96" s="137" t="s">
        <v>110</v>
      </c>
      <c r="H96" s="137" t="s">
        <v>111</v>
      </c>
      <c r="I96" s="137" t="s">
        <v>1212</v>
      </c>
      <c r="J96" s="137" t="s">
        <v>1213</v>
      </c>
      <c r="K96" s="137" t="s">
        <v>1214</v>
      </c>
      <c r="L96" s="137" t="s">
        <v>1215</v>
      </c>
      <c r="M96" s="137" t="s">
        <v>1216</v>
      </c>
      <c r="N96" s="137" t="s">
        <v>1217</v>
      </c>
      <c r="O96" s="137" t="s">
        <v>295</v>
      </c>
      <c r="P96" s="137" t="s">
        <v>1218</v>
      </c>
      <c r="Q96" s="131" t="s">
        <v>118</v>
      </c>
      <c r="R96" s="131" t="s">
        <v>1192</v>
      </c>
      <c r="S96" s="131" t="s">
        <v>118</v>
      </c>
      <c r="T96" s="131" t="s">
        <v>118</v>
      </c>
      <c r="U96" s="131" t="s">
        <v>118</v>
      </c>
      <c r="V96" s="131" t="s">
        <v>118</v>
      </c>
      <c r="W96" s="131" t="s">
        <v>118</v>
      </c>
      <c r="X96" s="131" t="s">
        <v>118</v>
      </c>
      <c r="Y96" s="131" t="s">
        <v>118</v>
      </c>
      <c r="Z96" s="131" t="s">
        <v>577</v>
      </c>
      <c r="AA96" s="131" t="s">
        <v>1028</v>
      </c>
      <c r="AB96" s="140" t="s">
        <v>1219</v>
      </c>
      <c r="AC96" s="141" t="s">
        <v>1219</v>
      </c>
      <c r="AD96" s="134" t="s">
        <v>118</v>
      </c>
      <c r="AE96" s="134" t="s">
        <v>118</v>
      </c>
      <c r="AG96" s="131" t="s">
        <v>563</v>
      </c>
    </row>
    <row r="97" spans="1:34" ht="60">
      <c r="A97" s="142">
        <v>45926</v>
      </c>
      <c r="B97" s="143" t="s">
        <v>139</v>
      </c>
      <c r="C97" s="143" t="s">
        <v>106</v>
      </c>
      <c r="D97" s="143" t="s">
        <v>107</v>
      </c>
      <c r="E97" s="143" t="s">
        <v>551</v>
      </c>
      <c r="F97" s="143" t="s">
        <v>109</v>
      </c>
      <c r="G97" s="143" t="s">
        <v>110</v>
      </c>
      <c r="H97" s="143" t="s">
        <v>111</v>
      </c>
      <c r="I97" s="143" t="s">
        <v>1220</v>
      </c>
      <c r="J97" s="143" t="s">
        <v>1221</v>
      </c>
      <c r="K97" s="143" t="s">
        <v>1222</v>
      </c>
      <c r="L97" s="143" t="s">
        <v>153</v>
      </c>
      <c r="M97" s="143" t="s">
        <v>1223</v>
      </c>
      <c r="N97" s="143" t="s">
        <v>1224</v>
      </c>
      <c r="O97" s="143" t="s">
        <v>1225</v>
      </c>
      <c r="P97" s="143" t="s">
        <v>191</v>
      </c>
      <c r="Q97" s="144" t="s">
        <v>118</v>
      </c>
      <c r="R97" s="144" t="s">
        <v>1192</v>
      </c>
      <c r="S97" s="144" t="s">
        <v>118</v>
      </c>
      <c r="T97" s="144" t="s">
        <v>118</v>
      </c>
      <c r="U97" s="144" t="s">
        <v>118</v>
      </c>
      <c r="V97" s="144" t="s">
        <v>118</v>
      </c>
      <c r="W97" s="144" t="s">
        <v>118</v>
      </c>
      <c r="X97" s="144" t="s">
        <v>118</v>
      </c>
      <c r="Y97" s="144" t="s">
        <v>118</v>
      </c>
      <c r="Z97" s="144" t="s">
        <v>577</v>
      </c>
      <c r="AA97" s="144" t="s">
        <v>1028</v>
      </c>
      <c r="AB97" s="145" t="s">
        <v>1226</v>
      </c>
      <c r="AC97" s="146" t="s">
        <v>1226</v>
      </c>
      <c r="AD97" s="147" t="s">
        <v>118</v>
      </c>
      <c r="AE97" s="147" t="s">
        <v>118</v>
      </c>
      <c r="AF97" s="148" t="s">
        <v>656</v>
      </c>
      <c r="AG97" s="144" t="s">
        <v>563</v>
      </c>
    </row>
    <row r="98" spans="1:34" ht="72">
      <c r="A98" s="110">
        <v>45589</v>
      </c>
      <c r="B98" s="90" t="s">
        <v>105</v>
      </c>
      <c r="C98" s="90" t="s">
        <v>106</v>
      </c>
      <c r="D98" s="90" t="s">
        <v>107</v>
      </c>
      <c r="E98" s="89" t="s">
        <v>108</v>
      </c>
      <c r="F98" s="90" t="s">
        <v>109</v>
      </c>
      <c r="G98" s="90" t="s">
        <v>110</v>
      </c>
      <c r="H98" s="90" t="s">
        <v>111</v>
      </c>
      <c r="I98" s="90" t="s">
        <v>1227</v>
      </c>
      <c r="J98" s="90" t="s">
        <v>1228</v>
      </c>
      <c r="K98" s="90" t="s">
        <v>1229</v>
      </c>
      <c r="L98" s="90" t="s">
        <v>114</v>
      </c>
      <c r="M98" s="90" t="s">
        <v>1289</v>
      </c>
      <c r="N98" s="90" t="s">
        <v>1230</v>
      </c>
      <c r="O98" s="90" t="s">
        <v>116</v>
      </c>
      <c r="P98" s="90" t="s">
        <v>1231</v>
      </c>
      <c r="Q98" s="90" t="s">
        <v>118</v>
      </c>
      <c r="R98" s="90" t="s">
        <v>254</v>
      </c>
      <c r="S98" s="90" t="s">
        <v>1232</v>
      </c>
      <c r="T98" s="90" t="s">
        <v>1233</v>
      </c>
      <c r="U98" s="90" t="s">
        <v>118</v>
      </c>
      <c r="V98" s="90" t="s">
        <v>118</v>
      </c>
      <c r="W98" s="90" t="s">
        <v>118</v>
      </c>
      <c r="X98" s="90" t="s">
        <v>109</v>
      </c>
      <c r="Y98" s="90" t="s">
        <v>109</v>
      </c>
      <c r="Z98" s="90" t="s">
        <v>170</v>
      </c>
      <c r="AA98" s="149" t="s">
        <v>1234</v>
      </c>
      <c r="AB98" s="90" t="s">
        <v>118</v>
      </c>
      <c r="AC98" s="121" t="s">
        <v>118</v>
      </c>
      <c r="AD98" s="149" t="s">
        <v>1234</v>
      </c>
      <c r="AE98" s="103" t="s">
        <v>149</v>
      </c>
      <c r="AF98" s="135" t="s">
        <v>656</v>
      </c>
      <c r="AG98" s="90" t="s">
        <v>123</v>
      </c>
      <c r="AH98" s="90"/>
    </row>
    <row r="99" spans="1:34" ht="48">
      <c r="A99" s="110">
        <v>45680</v>
      </c>
      <c r="B99" s="90" t="s">
        <v>1235</v>
      </c>
      <c r="C99" s="90" t="s">
        <v>106</v>
      </c>
      <c r="D99" s="90" t="s">
        <v>107</v>
      </c>
      <c r="E99" s="89" t="s">
        <v>108</v>
      </c>
      <c r="F99" s="90" t="s">
        <v>109</v>
      </c>
      <c r="G99" s="90" t="s">
        <v>110</v>
      </c>
      <c r="H99" s="90" t="s">
        <v>111</v>
      </c>
      <c r="I99" s="150" t="s">
        <v>1236</v>
      </c>
      <c r="J99" s="89" t="s">
        <v>1237</v>
      </c>
      <c r="K99" s="90" t="s">
        <v>1238</v>
      </c>
      <c r="L99" s="90" t="s">
        <v>1239</v>
      </c>
      <c r="M99" s="90" t="s">
        <v>1290</v>
      </c>
      <c r="N99" s="90" t="s">
        <v>1240</v>
      </c>
      <c r="O99" s="90" t="s">
        <v>1241</v>
      </c>
      <c r="P99" s="90" t="s">
        <v>1242</v>
      </c>
      <c r="Q99" s="90" t="s">
        <v>118</v>
      </c>
      <c r="R99" s="90" t="s">
        <v>1027</v>
      </c>
      <c r="S99" s="90" t="s">
        <v>118</v>
      </c>
      <c r="T99" s="90" t="s">
        <v>118</v>
      </c>
      <c r="U99" s="90" t="s">
        <v>118</v>
      </c>
      <c r="V99" s="90" t="s">
        <v>118</v>
      </c>
      <c r="W99" s="90" t="s">
        <v>118</v>
      </c>
      <c r="X99" s="90" t="s">
        <v>109</v>
      </c>
      <c r="Y99" s="90" t="s">
        <v>118</v>
      </c>
      <c r="Z99" s="90" t="s">
        <v>63</v>
      </c>
      <c r="AA99" s="90" t="s">
        <v>207</v>
      </c>
      <c r="AB99" s="149">
        <v>92512.19</v>
      </c>
      <c r="AC99" s="90" t="s">
        <v>118</v>
      </c>
      <c r="AD99" s="121" t="s">
        <v>118</v>
      </c>
      <c r="AE99" s="149">
        <v>12600</v>
      </c>
      <c r="AF99" s="135" t="s">
        <v>656</v>
      </c>
      <c r="AG99" s="90" t="s">
        <v>123</v>
      </c>
      <c r="AH99" s="90"/>
    </row>
    <row r="100" spans="1:34" ht="48">
      <c r="A100" s="110">
        <v>45196</v>
      </c>
      <c r="B100" s="90" t="s">
        <v>139</v>
      </c>
      <c r="C100" s="90" t="s">
        <v>106</v>
      </c>
      <c r="D100" s="90" t="s">
        <v>107</v>
      </c>
      <c r="E100" s="89" t="s">
        <v>108</v>
      </c>
      <c r="F100" s="90" t="s">
        <v>109</v>
      </c>
      <c r="G100" s="90" t="s">
        <v>110</v>
      </c>
      <c r="H100" s="90" t="s">
        <v>111</v>
      </c>
      <c r="I100" s="90" t="s">
        <v>1243</v>
      </c>
      <c r="J100" s="90" t="s">
        <v>1244</v>
      </c>
      <c r="K100" s="90" t="s">
        <v>596</v>
      </c>
      <c r="L100" s="90" t="s">
        <v>597</v>
      </c>
      <c r="M100" s="90" t="s">
        <v>1291</v>
      </c>
      <c r="N100" s="90" t="s">
        <v>599</v>
      </c>
      <c r="O100" s="90" t="s">
        <v>450</v>
      </c>
      <c r="P100" s="90" t="s">
        <v>1245</v>
      </c>
      <c r="Q100" s="90" t="s">
        <v>118</v>
      </c>
      <c r="R100" s="90" t="s">
        <v>118</v>
      </c>
      <c r="S100" s="90" t="s">
        <v>118</v>
      </c>
      <c r="T100" s="90" t="s">
        <v>118</v>
      </c>
      <c r="U100" s="90" t="s">
        <v>118</v>
      </c>
      <c r="V100" s="90" t="s">
        <v>118</v>
      </c>
      <c r="W100" s="90" t="s">
        <v>118</v>
      </c>
      <c r="X100" s="90" t="s">
        <v>109</v>
      </c>
      <c r="Y100" s="90" t="s">
        <v>118</v>
      </c>
      <c r="Z100" s="90" t="s">
        <v>63</v>
      </c>
      <c r="AA100" s="90" t="s">
        <v>207</v>
      </c>
      <c r="AB100" s="149" t="s">
        <v>601</v>
      </c>
      <c r="AC100" s="90" t="s">
        <v>118</v>
      </c>
      <c r="AD100" s="121">
        <v>6000</v>
      </c>
      <c r="AE100" s="149">
        <v>6000</v>
      </c>
      <c r="AF100" s="135" t="s">
        <v>656</v>
      </c>
      <c r="AG100" s="90" t="s">
        <v>123</v>
      </c>
      <c r="AH100" s="90"/>
    </row>
    <row r="101" spans="1:34" ht="48">
      <c r="A101" s="110">
        <v>45392</v>
      </c>
      <c r="B101" s="90" t="s">
        <v>139</v>
      </c>
      <c r="C101" s="90" t="s">
        <v>106</v>
      </c>
      <c r="D101" s="90" t="s">
        <v>107</v>
      </c>
      <c r="E101" s="89" t="s">
        <v>108</v>
      </c>
      <c r="F101" s="90" t="s">
        <v>109</v>
      </c>
      <c r="G101" s="90" t="s">
        <v>110</v>
      </c>
      <c r="H101" s="90" t="s">
        <v>111</v>
      </c>
      <c r="I101" s="90" t="s">
        <v>1246</v>
      </c>
      <c r="J101" s="90" t="s">
        <v>1247</v>
      </c>
      <c r="K101" s="90" t="s">
        <v>946</v>
      </c>
      <c r="L101" s="90" t="s">
        <v>994</v>
      </c>
      <c r="M101" s="90" t="s">
        <v>1292</v>
      </c>
      <c r="N101" s="90" t="s">
        <v>227</v>
      </c>
      <c r="O101" s="90" t="s">
        <v>145</v>
      </c>
      <c r="P101" s="90" t="s">
        <v>472</v>
      </c>
      <c r="Q101" s="90" t="s">
        <v>118</v>
      </c>
      <c r="R101" s="90" t="s">
        <v>118</v>
      </c>
      <c r="S101" s="90" t="s">
        <v>118</v>
      </c>
      <c r="T101" s="90" t="s">
        <v>118</v>
      </c>
      <c r="U101" s="90" t="s">
        <v>118</v>
      </c>
      <c r="V101" s="90" t="s">
        <v>118</v>
      </c>
      <c r="W101" s="90" t="s">
        <v>118</v>
      </c>
      <c r="X101" s="90" t="s">
        <v>109</v>
      </c>
      <c r="Y101" s="90" t="s">
        <v>118</v>
      </c>
      <c r="Z101" s="90" t="s">
        <v>120</v>
      </c>
      <c r="AA101" s="90" t="s">
        <v>119</v>
      </c>
      <c r="AB101" s="149" t="s">
        <v>1248</v>
      </c>
      <c r="AC101" s="90" t="s">
        <v>118</v>
      </c>
      <c r="AD101" s="121" t="s">
        <v>118</v>
      </c>
      <c r="AE101" s="149" t="s">
        <v>1248</v>
      </c>
      <c r="AF101" s="135" t="s">
        <v>656</v>
      </c>
      <c r="AG101" s="90" t="s">
        <v>123</v>
      </c>
      <c r="AH101" s="90"/>
    </row>
    <row r="102" spans="1:34" ht="84">
      <c r="A102" s="110">
        <v>45348</v>
      </c>
      <c r="B102" s="90" t="s">
        <v>139</v>
      </c>
      <c r="C102" s="90" t="s">
        <v>106</v>
      </c>
      <c r="D102" s="90" t="s">
        <v>107</v>
      </c>
      <c r="E102" s="89" t="s">
        <v>108</v>
      </c>
      <c r="F102" s="90" t="s">
        <v>109</v>
      </c>
      <c r="G102" s="90" t="s">
        <v>110</v>
      </c>
      <c r="H102" s="90" t="s">
        <v>111</v>
      </c>
      <c r="I102" s="90" t="s">
        <v>665</v>
      </c>
      <c r="J102" s="89" t="s">
        <v>1249</v>
      </c>
      <c r="K102" s="90" t="s">
        <v>667</v>
      </c>
      <c r="L102" s="89" t="s">
        <v>279</v>
      </c>
      <c r="M102" s="90" t="s">
        <v>1293</v>
      </c>
      <c r="N102" s="90" t="s">
        <v>670</v>
      </c>
      <c r="O102" s="90" t="s">
        <v>671</v>
      </c>
      <c r="P102" s="90" t="s">
        <v>1250</v>
      </c>
      <c r="Q102" s="90" t="s">
        <v>118</v>
      </c>
      <c r="R102" s="90" t="s">
        <v>118</v>
      </c>
      <c r="S102" s="90" t="s">
        <v>118</v>
      </c>
      <c r="T102" s="90" t="s">
        <v>118</v>
      </c>
      <c r="U102" s="90" t="s">
        <v>118</v>
      </c>
      <c r="V102" s="90" t="s">
        <v>118</v>
      </c>
      <c r="W102" s="90" t="s">
        <v>118</v>
      </c>
      <c r="X102" s="90" t="s">
        <v>109</v>
      </c>
      <c r="Y102" s="90" t="s">
        <v>118</v>
      </c>
      <c r="Z102" s="90" t="s">
        <v>1251</v>
      </c>
      <c r="AA102" s="90" t="s">
        <v>207</v>
      </c>
      <c r="AB102" s="149" t="s">
        <v>674</v>
      </c>
      <c r="AC102" s="90" t="s">
        <v>118</v>
      </c>
      <c r="AD102" s="121" t="s">
        <v>118</v>
      </c>
      <c r="AE102" s="149" t="s">
        <v>674</v>
      </c>
      <c r="AF102" s="103" t="s">
        <v>311</v>
      </c>
      <c r="AG102" s="90" t="s">
        <v>123</v>
      </c>
      <c r="AH102" s="90"/>
    </row>
    <row r="103" spans="1:34" ht="156">
      <c r="A103" s="110">
        <v>44531</v>
      </c>
      <c r="B103" s="89" t="s">
        <v>139</v>
      </c>
      <c r="C103" s="90" t="s">
        <v>106</v>
      </c>
      <c r="D103" s="90" t="s">
        <v>107</v>
      </c>
      <c r="E103" s="89" t="s">
        <v>108</v>
      </c>
      <c r="F103" s="90" t="s">
        <v>109</v>
      </c>
      <c r="G103" s="90" t="s">
        <v>110</v>
      </c>
      <c r="H103" s="90" t="s">
        <v>111</v>
      </c>
      <c r="I103" s="89" t="s">
        <v>1252</v>
      </c>
      <c r="J103" s="89" t="s">
        <v>162</v>
      </c>
      <c r="K103" s="89" t="s">
        <v>1253</v>
      </c>
      <c r="L103" s="89" t="s">
        <v>279</v>
      </c>
      <c r="M103" s="89" t="s">
        <v>1294</v>
      </c>
      <c r="N103" s="90" t="s">
        <v>670</v>
      </c>
      <c r="O103" s="89" t="s">
        <v>671</v>
      </c>
      <c r="P103" s="90" t="s">
        <v>702</v>
      </c>
      <c r="Q103" s="90" t="s">
        <v>118</v>
      </c>
      <c r="R103" s="90" t="s">
        <v>236</v>
      </c>
      <c r="S103" s="90" t="s">
        <v>118</v>
      </c>
      <c r="T103" s="90" t="s">
        <v>118</v>
      </c>
      <c r="U103" s="90" t="s">
        <v>118</v>
      </c>
      <c r="V103" s="90" t="s">
        <v>118</v>
      </c>
      <c r="W103" s="90" t="s">
        <v>118</v>
      </c>
      <c r="X103" s="90" t="s">
        <v>109</v>
      </c>
      <c r="Y103" s="90" t="s">
        <v>118</v>
      </c>
      <c r="Z103" s="90" t="s">
        <v>1254</v>
      </c>
      <c r="AA103" s="90" t="s">
        <v>1255</v>
      </c>
      <c r="AB103" s="151">
        <v>77469.31</v>
      </c>
      <c r="AC103" s="90" t="s">
        <v>118</v>
      </c>
      <c r="AD103" s="121" t="s">
        <v>118</v>
      </c>
      <c r="AE103" s="151">
        <v>77469.31</v>
      </c>
      <c r="AF103" s="103" t="s">
        <v>122</v>
      </c>
      <c r="AG103" s="90" t="s">
        <v>123</v>
      </c>
    </row>
    <row r="104" spans="1:34" ht="60">
      <c r="A104" s="87">
        <v>45840</v>
      </c>
      <c r="B104" s="88" t="s">
        <v>139</v>
      </c>
      <c r="C104" s="88" t="s">
        <v>106</v>
      </c>
      <c r="D104" s="88" t="s">
        <v>107</v>
      </c>
      <c r="E104" s="88" t="s">
        <v>108</v>
      </c>
      <c r="F104" s="88" t="s">
        <v>109</v>
      </c>
      <c r="G104" s="88" t="s">
        <v>110</v>
      </c>
      <c r="H104" s="88" t="s">
        <v>111</v>
      </c>
      <c r="I104" s="88" t="s">
        <v>1256</v>
      </c>
      <c r="J104" s="88" t="s">
        <v>1257</v>
      </c>
      <c r="K104" s="88" t="s">
        <v>1258</v>
      </c>
      <c r="L104" s="88" t="s">
        <v>153</v>
      </c>
      <c r="M104" s="152" t="s">
        <v>1295</v>
      </c>
      <c r="N104" s="88" t="s">
        <v>1259</v>
      </c>
      <c r="O104" s="88" t="s">
        <v>155</v>
      </c>
      <c r="P104" s="88" t="s">
        <v>1260</v>
      </c>
      <c r="Q104" s="90" t="s">
        <v>118</v>
      </c>
      <c r="R104" s="90" t="s">
        <v>1261</v>
      </c>
      <c r="S104" s="90" t="s">
        <v>118</v>
      </c>
      <c r="T104" s="90" t="s">
        <v>118</v>
      </c>
      <c r="U104" s="90" t="s">
        <v>118</v>
      </c>
      <c r="V104" s="90" t="s">
        <v>118</v>
      </c>
      <c r="W104" s="90" t="s">
        <v>118</v>
      </c>
      <c r="X104" s="90" t="s">
        <v>118</v>
      </c>
      <c r="Y104" s="90" t="s">
        <v>118</v>
      </c>
      <c r="Z104" s="88" t="s">
        <v>1262</v>
      </c>
      <c r="AA104" s="88" t="s">
        <v>207</v>
      </c>
      <c r="AB104" s="153">
        <v>520473.8</v>
      </c>
      <c r="AC104" s="120">
        <v>520473.8</v>
      </c>
      <c r="AD104" s="121" t="s">
        <v>118</v>
      </c>
      <c r="AE104" s="149" t="s">
        <v>118</v>
      </c>
      <c r="AF104" s="103" t="s">
        <v>122</v>
      </c>
      <c r="AG104" s="90" t="s">
        <v>123</v>
      </c>
      <c r="AH104" s="90"/>
    </row>
    <row r="105" spans="1:34" ht="48">
      <c r="A105" s="87">
        <v>45846</v>
      </c>
      <c r="B105" s="88" t="s">
        <v>139</v>
      </c>
      <c r="C105" s="88" t="s">
        <v>106</v>
      </c>
      <c r="D105" s="88" t="s">
        <v>107</v>
      </c>
      <c r="E105" s="89" t="s">
        <v>108</v>
      </c>
      <c r="F105" s="88" t="s">
        <v>109</v>
      </c>
      <c r="G105" s="88" t="s">
        <v>110</v>
      </c>
      <c r="H105" s="88" t="s">
        <v>111</v>
      </c>
      <c r="I105" s="88" t="s">
        <v>1263</v>
      </c>
      <c r="J105" s="88" t="s">
        <v>1264</v>
      </c>
      <c r="K105" s="88" t="s">
        <v>1265</v>
      </c>
      <c r="L105" s="88" t="s">
        <v>153</v>
      </c>
      <c r="M105" s="152" t="s">
        <v>1296</v>
      </c>
      <c r="N105" s="88" t="s">
        <v>1266</v>
      </c>
      <c r="O105" s="88" t="s">
        <v>155</v>
      </c>
      <c r="P105" s="88" t="s">
        <v>1267</v>
      </c>
      <c r="Q105" s="90" t="s">
        <v>118</v>
      </c>
      <c r="R105" s="90" t="s">
        <v>118</v>
      </c>
      <c r="S105" s="90" t="s">
        <v>118</v>
      </c>
      <c r="T105" s="90" t="s">
        <v>118</v>
      </c>
      <c r="U105" s="90" t="s">
        <v>118</v>
      </c>
      <c r="V105" s="90" t="s">
        <v>118</v>
      </c>
      <c r="W105" s="90" t="s">
        <v>118</v>
      </c>
      <c r="X105" s="90" t="s">
        <v>118</v>
      </c>
      <c r="Y105" s="90" t="s">
        <v>118</v>
      </c>
      <c r="Z105" s="88" t="s">
        <v>63</v>
      </c>
      <c r="AA105" s="88" t="s">
        <v>207</v>
      </c>
      <c r="AB105" s="153">
        <v>53385.16</v>
      </c>
      <c r="AC105" s="118">
        <v>53385.16</v>
      </c>
      <c r="AD105" s="121">
        <v>18000</v>
      </c>
      <c r="AE105" s="149">
        <v>18000</v>
      </c>
      <c r="AF105" s="103" t="s">
        <v>311</v>
      </c>
      <c r="AG105" s="90" t="s">
        <v>123</v>
      </c>
      <c r="AH105" s="90"/>
    </row>
    <row r="106" spans="1:34">
      <c r="I106" s="137" t="s">
        <v>1269</v>
      </c>
    </row>
    <row r="107" spans="1:34">
      <c r="I107" s="137" t="s">
        <v>1276</v>
      </c>
    </row>
    <row r="108" spans="1:34">
      <c r="I108" s="137" t="s">
        <v>1271</v>
      </c>
    </row>
    <row r="109" spans="1:34">
      <c r="I109" s="137" t="s">
        <v>1272</v>
      </c>
    </row>
    <row r="110" spans="1:34">
      <c r="I110" s="137" t="s">
        <v>1273</v>
      </c>
    </row>
    <row r="111" spans="1:34">
      <c r="I111" s="137" t="s">
        <v>1274</v>
      </c>
    </row>
    <row r="112" spans="1:34">
      <c r="I112" s="137" t="s">
        <v>1275</v>
      </c>
    </row>
    <row r="113" spans="9:9">
      <c r="I113" s="137" t="s">
        <v>1277</v>
      </c>
    </row>
    <row r="114" spans="9:9">
      <c r="I114" s="94" t="s">
        <v>1278</v>
      </c>
    </row>
    <row r="115" spans="9:9">
      <c r="I115" s="94" t="s">
        <v>1268</v>
      </c>
    </row>
    <row r="116" spans="9:9">
      <c r="I116" s="94" t="s">
        <v>1270</v>
      </c>
    </row>
    <row r="117" spans="9:9">
      <c r="I117" s="94"/>
    </row>
    <row r="118" spans="9:9">
      <c r="I118" s="94"/>
    </row>
    <row r="119" spans="9:9">
      <c r="I119" s="94"/>
    </row>
    <row r="120" spans="9:9">
      <c r="I120" s="94"/>
    </row>
    <row r="121" spans="9:9">
      <c r="I121" s="94"/>
    </row>
    <row r="122" spans="9:9">
      <c r="I122" s="94"/>
    </row>
    <row r="123" spans="9:9">
      <c r="I123" s="94"/>
    </row>
    <row r="124" spans="9:9">
      <c r="I124" s="94"/>
    </row>
  </sheetData>
  <conditionalFormatting sqref="I106:I114">
    <cfRule type="duplicateValues" dxfId="2" priority="76"/>
  </conditionalFormatting>
  <conditionalFormatting sqref="I106:I124">
    <cfRule type="duplicateValues" dxfId="1" priority="84"/>
  </conditionalFormatting>
  <conditionalFormatting sqref="I2:I124">
    <cfRule type="duplicateValues" dxfId="0" priority="86"/>
  </conditionalFormatting>
  <dataValidations count="6">
    <dataValidation type="list" allowBlank="1" showErrorMessage="1" sqref="G2:G91 G98:G105" xr:uid="{00000000-0002-0000-0300-000000000000}">
      <formula1>"Federal,Estadual,MP,TCE,TCU"</formula1>
    </dataValidation>
    <dataValidation type="list" allowBlank="1" showErrorMessage="1" sqref="H2:H91 H98:H105" xr:uid="{00000000-0002-0000-0300-000001000000}">
      <formula1>"ADI,Agravo de Instrumento,Ação Civil Pública,Ação Popular,Ação Rito Comum,Cautelar Preparatória,Cumprimento de sentença,Mandado de Injunção,Mandado de Segurança,Outro"</formula1>
    </dataValidation>
    <dataValidation type="list" allowBlank="1" showErrorMessage="1" sqref="D2:D91 D98:D105" xr:uid="{00000000-0002-0000-0300-000002000000}">
      <formula1>"Autor,Réu,Amicus Curiae,Terceiro interessado"</formula1>
    </dataValidation>
    <dataValidation type="list" allowBlank="1" showErrorMessage="1" sqref="X2:X56 X58:X60 X62:X65 X67 X69:X70 X72:X75 X77:X81 X84:X86 F2:F91 X99 X101:X103 F98:F105" xr:uid="{00000000-0002-0000-0300-000003000000}">
      <formula1>"Sim,Não"</formula1>
    </dataValidation>
    <dataValidation type="list" allowBlank="1" showErrorMessage="1" sqref="B2:B8 B10:B91 B98:B105" xr:uid="{00000000-0002-0000-0300-000004000000}">
      <formula1>"AC,AM,AP,AL,BA,CE,DF,ES,GO,MG,MA,MS,MT,PB,PE,PI,PA,PR,RO,RJ,RS,RR,RN,SP,SC,SE,TO"</formula1>
    </dataValidation>
    <dataValidation type="list" allowBlank="1" showErrorMessage="1" sqref="C2:C91 C98:C105" xr:uid="{00000000-0002-0000-0300-000005000000}">
      <formula1>"Buser,Parceiro de fretamento,Associação,Autor popular"</formula1>
    </dataValidation>
  </dataValidations>
  <pageMargins left="0.511811024" right="0.511811024" top="0.78740157499999996" bottom="0.78740157499999996"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DASHBOARD</vt:lpstr>
      <vt:lpstr>Judiciais</vt:lpstr>
      <vt:lpstr>PROCEDIMENTO ADMINISTRATIVO</vt:lpstr>
      <vt:lpstr>Arquivados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Ferraz Andrade</dc:creator>
  <cp:lastModifiedBy>Samany Cutrim</cp:lastModifiedBy>
  <dcterms:created xsi:type="dcterms:W3CDTF">2023-05-02T22:21:04Z</dcterms:created>
  <dcterms:modified xsi:type="dcterms:W3CDTF">2026-04-23T20:10:03Z</dcterms:modified>
</cp:coreProperties>
</file>