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Instruções - Lista de Unidades" sheetId="2" r:id="rId5"/>
    <sheet state="visible" name="Relatório - Processos Ativos" sheetId="3" r:id="rId6"/>
    <sheet state="visible" name="Processos arquivados" sheetId="4" r:id="rId7"/>
    <sheet state="visible" name="Acordos realizados" sheetId="5" r:id="rId8"/>
  </sheets>
  <definedNames/>
  <calcPr/>
  <extLst>
    <ext uri="GoogleSheetsCustomDataVersion2">
      <go:sheetsCustomData xmlns:go="http://customooxmlschemas.google.com/" r:id="rId9" roundtripDataChecksum="gZoMQvdxhELZOOO8yOqhOTDtMrOvMwoRmAYLjSVQuIk="/>
    </ext>
  </extLst>
</workbook>
</file>

<file path=xl/sharedStrings.xml><?xml version="1.0" encoding="utf-8"?>
<sst xmlns="http://schemas.openxmlformats.org/spreadsheetml/2006/main" count="400" uniqueCount="270">
  <si>
    <t>RELATÓRIO MENSAL  |  ABRIL/2026</t>
  </si>
  <si>
    <t>PROCESSOS ATIVOS</t>
  </si>
  <si>
    <t>EXPOSIÇÃO TOTAL</t>
  </si>
  <si>
    <t>PROCESSOS ENCERRADOS</t>
  </si>
  <si>
    <t>TAXA DE ÊXITO</t>
  </si>
  <si>
    <t>em andamento</t>
  </si>
  <si>
    <t>valor da causa</t>
  </si>
  <si>
    <t>no período</t>
  </si>
  <si>
    <t>casos favoráveis</t>
  </si>
  <si>
    <t>▎ ANÁLISE DE RISCO DOS PROCESSOS ATIVOS</t>
  </si>
  <si>
    <t>▎ DISTRIBUIÇÃO POR RISCO</t>
  </si>
  <si>
    <t>PROCESSO</t>
  </si>
  <si>
    <t>RECLAMANTE</t>
  </si>
  <si>
    <t>VALOR (R$)</t>
  </si>
  <si>
    <t>RISCO</t>
  </si>
  <si>
    <t>FASE ATUAL</t>
  </si>
  <si>
    <t>CLASSIFICAÇÃO</t>
  </si>
  <si>
    <t>QTD</t>
  </si>
  <si>
    <t>% DO TOTAL</t>
  </si>
  <si>
    <t>● PROVÁVEL</t>
  </si>
  <si>
    <t>● POSSÍVEL</t>
  </si>
  <si>
    <t>● REMOTO</t>
  </si>
  <si>
    <t>TOTAL</t>
  </si>
  <si>
    <t>▎ PROCEDIMENTOS ADMINISTRATIVOS</t>
  </si>
  <si>
    <t>DESCRIÇÃO</t>
  </si>
  <si>
    <t>STATUS</t>
  </si>
  <si>
    <t>RESULTADO</t>
  </si>
  <si>
    <t>Nenhum procedimento administrativo identificado no período</t>
  </si>
  <si>
    <t>▎ PROCESSOS ARQUIVADOS / ENCERRADOS</t>
  </si>
  <si>
    <t>▎ INDICADORES-CHAVE</t>
  </si>
  <si>
    <t>ENCERRAMENTO</t>
  </si>
  <si>
    <t>DESFECHO</t>
  </si>
  <si>
    <t>VALORES (R$)</t>
  </si>
  <si>
    <t>TOTAL DE PROCESSOS GERIDOS</t>
  </si>
  <si>
    <t>ativos + encerrados</t>
  </si>
  <si>
    <t>VALOR TOTAL EM ACORDOS</t>
  </si>
  <si>
    <t>pagos em acordos</t>
  </si>
  <si>
    <t>TEMPO MÉDIO DE RESOLUÇÃO</t>
  </si>
  <si>
    <t>média dos encerrados</t>
  </si>
  <si>
    <t>IMPROCEDENTE</t>
  </si>
  <si>
    <t>RISCO PREDOMINANTE</t>
  </si>
  <si>
    <t>PROVÁVEL</t>
  </si>
  <si>
    <t>maior concentração</t>
  </si>
  <si>
    <t>TOTAL PAGAMENTOS</t>
  </si>
  <si>
    <t>—</t>
  </si>
  <si>
    <t>CONDENAÇÕES EFETIVAS</t>
  </si>
  <si>
    <t>com sentença desfavorável</t>
  </si>
  <si>
    <t>▎ PRINCIPAIS PEDIDOS RECORRENTES</t>
  </si>
  <si>
    <t>▎ STATUS / PRÓXIMOS PASSOS</t>
  </si>
  <si>
    <t>PEDIDO</t>
  </si>
  <si>
    <t>OCORRÊNCIAS</t>
  </si>
  <si>
    <t>FREQUÊNCIA</t>
  </si>
  <si>
    <t>STATUS / PRÓXIMA AÇÃO</t>
  </si>
  <si>
    <t>Horas Extras</t>
  </si>
  <si>
    <t>⏳</t>
  </si>
  <si>
    <t>0010526-41...</t>
  </si>
  <si>
    <t>Fase Recursal — Recursos ordinários interpostos por ambas as partes</t>
  </si>
  <si>
    <t>Dano Moral</t>
  </si>
  <si>
    <t>✅</t>
  </si>
  <si>
    <t>1000188-41...</t>
  </si>
  <si>
    <t>Acordo realizado — R$ 500,04</t>
  </si>
  <si>
    <t>Verbas Rescisórias / Reflexos</t>
  </si>
  <si>
    <t>0010119-93...</t>
  </si>
  <si>
    <t>Acordo realizado — R$ 3.300,00</t>
  </si>
  <si>
    <t>Intervalo Intrajornada</t>
  </si>
  <si>
    <t>1000524-79...</t>
  </si>
  <si>
    <t>Improcedente — RO negado provimento, RR negado</t>
  </si>
  <si>
    <t>Adicional Noturno</t>
  </si>
  <si>
    <t>Reintegração / Estabilidade</t>
  </si>
  <si>
    <t>▎ DECISÕES JUDICIAIS POR INSTÂNCIA</t>
  </si>
  <si>
    <t>▎ EVOLUÇÃO PROCESSUAL</t>
  </si>
  <si>
    <t>INSTÂNCIA</t>
  </si>
  <si>
    <t>FAVORÁVEL</t>
  </si>
  <si>
    <t>DESFAVORÁVEL</t>
  </si>
  <si>
    <t>1º Grau</t>
  </si>
  <si>
    <t>Improcedência</t>
  </si>
  <si>
    <t>2º Grau</t>
  </si>
  <si>
    <t>Acordo</t>
  </si>
  <si>
    <t>3º Grau (TST)</t>
  </si>
  <si>
    <t>Em Andamento</t>
  </si>
  <si>
    <t>PENDENTE</t>
  </si>
  <si>
    <t>Condenação</t>
  </si>
  <si>
    <t>Instância</t>
  </si>
  <si>
    <t>Favorável</t>
  </si>
  <si>
    <t>Desfavorável</t>
  </si>
  <si>
    <t>Status</t>
  </si>
  <si>
    <t>CUIDAR.ME  •  Relatório Contencioso Jurídico  •  Base: Março/2025  •  Confidencial</t>
  </si>
  <si>
    <t>Grau de Risco</t>
  </si>
  <si>
    <t xml:space="preserve">Instruções - Preenchimento sobre o 'Valor do Processo'  - Análise de Risco </t>
  </si>
  <si>
    <t xml:space="preserve">Possível </t>
  </si>
  <si>
    <t xml:space="preserve">Via de regra, análise quantitativa. Deverá ser considerado 50% do valor da causa. Na hipótese em que se considere uma análise qualitativa* (casos mais estratégicos), deverá ser indicado na coluna 'X'. No caso de improcedência, o processo deverá ser mantido como 'possível' até o trânsito em julgado da decisão. </t>
  </si>
  <si>
    <r>
      <rPr>
        <rFont val="Avenir Next LT Pro"/>
        <b/>
        <color rgb="FF000000"/>
        <sz val="11.0"/>
      </rPr>
      <t xml:space="preserve">Observações:      </t>
    </r>
    <r>
      <rPr>
        <rFont val="Avenir Next LT Pro"/>
        <color rgb="FF000000"/>
        <sz val="11.0"/>
      </rPr>
      <t xml:space="preserve">                                                                                                                                                                                                                                     
 1º)Mensalmente, o escritório deverá atualizar todas as informações da planilha e inserir, na coluna "C", a sigla da unidade com base no endereço, conforme a lista de unidades.                                                                                                                  
2º) Todas as alterações de provisionamento/alteração do valor deverão ser justificadas;                                                                                                                                                            3º)No mês do arquivamento o processo deverá ser mantido como 'remoto' e serão preenchidas as colunas de 'BI' e 'BJ'. No relatório subsequente, o processo poderá ser movido para a aba de processos arquivados;                                                                                                                                                                                       
 * 4º) Entende-se por </t>
    </r>
    <r>
      <rPr>
        <rFont val="Avenir Next LT Pro"/>
        <b/>
        <color rgb="FF000000"/>
        <sz val="11.0"/>
      </rPr>
      <t>análise qualitativa</t>
    </r>
    <r>
      <rPr>
        <rFont val="Avenir Next LT Pro"/>
        <color rgb="FF000000"/>
        <sz val="11.0"/>
      </rPr>
      <t xml:space="preserve"> aquela estimativa de valor baseada em conhecimento jurídico, jurisprudencial e doutrinário. 
5º) Em alguns casos a CIA irá acionar o Seguro E&amp;O (Seguro de Responsabilidade Civil), mas nesses casos nós avisaremos o escritório e o mesmo deverá preencher as colunas 'BA e 'BB'.
6º)  Em casos de acordo o escritório deverá inserir o prognóstico "provável" e  as informações na aba "acordos realizados";
7º) O relatório deverá ser enviado mensalmente, impreterivelmente até o dia 20 de cada mês;
8º) Caso o campo da planilha não se aplique ao processo, o escritório deverá inserir “N/A” (não aplicável);
9º) Na coluna 'BA' (despesas processuais), o escritório deverá inserir todos os gastos que a companhia já teve para manter o processo;</t>
    </r>
  </si>
  <si>
    <t>Provável</t>
  </si>
  <si>
    <t xml:space="preserve">Após decisão de parcial procedência/procedência. Deverá ser atualizado sempre que houver resultado de julgamento (recurso) ou iminência de pagamento (início de liquidação/cumprimento de sentença/homologação do valor em fase de liquidação/cumprimento). Na hipótese de acordo, deverá ser provisionado o valor acordado, com redução mensal do valor da parcela. </t>
  </si>
  <si>
    <t xml:space="preserve">Remoto </t>
  </si>
  <si>
    <t xml:space="preserve">Decisão improcedente transitada em julgado. Processo aguardando arquivamento. </t>
  </si>
  <si>
    <t>Unidades</t>
  </si>
  <si>
    <t>Endereço</t>
  </si>
  <si>
    <t xml:space="preserve"> Av. das Nações Unidas, nº 12.995, Brooklin Paulista, CEP 04.578-911</t>
  </si>
  <si>
    <t>CORP</t>
  </si>
  <si>
    <t>Avenida Vital Brasil, 466 - Butantã</t>
  </si>
  <si>
    <t>BUTA</t>
  </si>
  <si>
    <t>R. Manoel da Nóbrega, nº 712 - Shopping Praça da Moça - Piso Palmeira - Centro</t>
  </si>
  <si>
    <t>DIAD</t>
  </si>
  <si>
    <t>Rua João Gonçalves, 261 - Centro</t>
  </si>
  <si>
    <t>GUAR</t>
  </si>
  <si>
    <t>Avenida Jandira, 40 - Indianópolis - SP</t>
  </si>
  <si>
    <t>IBIR</t>
  </si>
  <si>
    <t>Rua Engenheiro Camilo Olivetti - Vila Itapegica - Guarulhos</t>
  </si>
  <si>
    <t>INTE</t>
  </si>
  <si>
    <t>Av. José Pinheiro Borges, s/n, Shopping Metrô Itaquera, Lojas 547 a 550, Piso Campanela</t>
  </si>
  <si>
    <t>ITA2</t>
  </si>
  <si>
    <t>Av. José Pinheiro Borges, s/n - Shopping Metrô Itaquera, Lojas 149/150/151/152, Piso Metrô</t>
  </si>
  <si>
    <t>ITAQ</t>
  </si>
  <si>
    <t>Rua dos Buritis, 128, Loja 1-B e 2-B, Térreo, Bloco B - Bairro Vila Parque Jabaquara</t>
  </si>
  <si>
    <t>JABA</t>
  </si>
  <si>
    <t>Rua John Harrison, 47</t>
  </si>
  <si>
    <t>LAPA</t>
  </si>
  <si>
    <t>Rua Brigadeiro Tobias, 600 - Loja Térreo</t>
  </si>
  <si>
    <t>MLUZ</t>
  </si>
  <si>
    <t>Av. Paes de Barros, 75 - Mooca</t>
  </si>
  <si>
    <t>MOOC</t>
  </si>
  <si>
    <t>Rua Dona Primitiva Vianco, 145 - Loja 01 Térreo</t>
  </si>
  <si>
    <t>OSAS</t>
  </si>
  <si>
    <t>Av. Bernardino de Campos, 358</t>
  </si>
  <si>
    <t>PARA</t>
  </si>
  <si>
    <t>R. Conselheiro Crispiniano, 155 - República</t>
  </si>
  <si>
    <t>REPU</t>
  </si>
  <si>
    <t>Rua Silva Bueno, 2408, Ipiranga</t>
  </si>
  <si>
    <t>SACO</t>
  </si>
  <si>
    <t>Rua Senador Flaquer, 72 - Centro</t>
  </si>
  <si>
    <t>SAND</t>
  </si>
  <si>
    <t>Av Cruzeiro do Sul, 3099 - Santana</t>
  </si>
  <si>
    <t>SANT</t>
  </si>
  <si>
    <t>Avenida Lucas Nogueira Garcez, 441 e 451 - Centro</t>
  </si>
  <si>
    <t>SBCC</t>
  </si>
  <si>
    <t>Av. das Nações Unidas, 22540 - Jurubatuba</t>
  </si>
  <si>
    <t>SPMK</t>
  </si>
  <si>
    <t>Rua Domingos de Morais, 2432 - Vila Mariana</t>
  </si>
  <si>
    <t>STCR</t>
  </si>
  <si>
    <t>Praça Nicola Vivilechio, 103 - Sobreloja 04 - Jardim Bom tempo</t>
  </si>
  <si>
    <t>TABO</t>
  </si>
  <si>
    <t>Praça Silvio Romero, 12 - Cidade mãe do céu</t>
  </si>
  <si>
    <t>TAT2</t>
  </si>
  <si>
    <t>R. Gonçalves Crespo, 78 - Shopping Boulevard Tatuapé - Tatuapé</t>
  </si>
  <si>
    <t>TAT3</t>
  </si>
  <si>
    <t>Rua Domingos Agostin, 91 - Shopping Metrô Tatuapé, Lojas 101 a 104, Piso Tatuapé - Cidade Mãe do Céu</t>
  </si>
  <si>
    <t>TATU</t>
  </si>
  <si>
    <t>Rua Teodoro Sampaio, 2809 - Pinheiros</t>
  </si>
  <si>
    <t>TEO2</t>
  </si>
  <si>
    <t>Rua Teodoro Sampaio, 2767 - Loja Térreo - Pinheiros</t>
  </si>
  <si>
    <t>TEOD</t>
  </si>
  <si>
    <t>Rua Barão do Rio Branco, 184 - Santo Amaro</t>
  </si>
  <si>
    <t>TREZ</t>
  </si>
  <si>
    <t>Av Tucuruvi, 990 - Tucuruvi</t>
  </si>
  <si>
    <t>COOP</t>
  </si>
  <si>
    <t>Escritório</t>
  </si>
  <si>
    <t>Empresa do Grupo</t>
  </si>
  <si>
    <t>Unidade (sigla)</t>
  </si>
  <si>
    <t>Parte(s) Contrária(s)</t>
  </si>
  <si>
    <t xml:space="preserve">Outros Integrantes - Polo Passivo </t>
  </si>
  <si>
    <t>Número do Processo</t>
  </si>
  <si>
    <t>Objeto da lide</t>
  </si>
  <si>
    <t xml:space="preserve">Médico Envolvido  </t>
  </si>
  <si>
    <t>Especialidade Médica envolvida</t>
  </si>
  <si>
    <t>Tipo de Reclamação</t>
  </si>
  <si>
    <t>Complemento</t>
  </si>
  <si>
    <t>Tipo de Exame Envolvido</t>
  </si>
  <si>
    <t>Há pedido de Dano Moral?</t>
  </si>
  <si>
    <t>Há pedido de Dano Material?</t>
  </si>
  <si>
    <t>Há pedido de Dano Estético?</t>
  </si>
  <si>
    <t xml:space="preserve">Ano do Fato Gerador </t>
  </si>
  <si>
    <t>Data do Ajuizamento (dia/mês/ano)</t>
  </si>
  <si>
    <t>Data de cadastro na base do Escritório</t>
  </si>
  <si>
    <t>Natureza</t>
  </si>
  <si>
    <t>Estado</t>
  </si>
  <si>
    <t>Comarca</t>
  </si>
  <si>
    <t>Vara/Foro</t>
  </si>
  <si>
    <t xml:space="preserve">Jurisdição </t>
  </si>
  <si>
    <t xml:space="preserve">Escritório da Parte Contrária </t>
  </si>
  <si>
    <t xml:space="preserve">Resumo da Petição Inicial com Pedidos </t>
  </si>
  <si>
    <t>Valor da Causa</t>
  </si>
  <si>
    <t>Risco Setembro/2025</t>
  </si>
  <si>
    <t>Valor Abril/2025</t>
  </si>
  <si>
    <t xml:space="preserve">Análise Qualitativa? </t>
  </si>
  <si>
    <t xml:space="preserve">Houve alteração do valor de provisionamento </t>
  </si>
  <si>
    <t xml:space="preserve">Valor de alteração </t>
  </si>
  <si>
    <t>Justificativa para alteração do valor de provisionamento</t>
  </si>
  <si>
    <t>Fase Atual do Processo</t>
  </si>
  <si>
    <t>Liminar?</t>
  </si>
  <si>
    <t>Perícia solicitada</t>
  </si>
  <si>
    <t>Tipo de Perícia solicitada</t>
  </si>
  <si>
    <t>Data Resultado da Perícia</t>
  </si>
  <si>
    <t xml:space="preserve">Resultado da Perícia </t>
  </si>
  <si>
    <t>Houve Sentença</t>
  </si>
  <si>
    <t>Data Sentença</t>
  </si>
  <si>
    <t>Resultado da Sentença</t>
  </si>
  <si>
    <t>Dispositivo da Sentença</t>
  </si>
  <si>
    <t xml:space="preserve">Valor da Condenação </t>
  </si>
  <si>
    <t>Houve Recurso de Apelação/Recurso Inominado</t>
  </si>
  <si>
    <t>Data do Acórdão</t>
  </si>
  <si>
    <t>Resultado do Acórdão</t>
  </si>
  <si>
    <t>Condenação em Sede Recursal (Valor)</t>
  </si>
  <si>
    <t>Recurso Especial/Recurso Extraordinário</t>
  </si>
  <si>
    <t>Data Acórdão2</t>
  </si>
  <si>
    <t>Resultado do Acórdão2</t>
  </si>
  <si>
    <t xml:space="preserve">Total de Despesas Processuais </t>
  </si>
  <si>
    <t>A CIA acionou o Seguro E&amp;O?</t>
  </si>
  <si>
    <t>Houve Acordo</t>
  </si>
  <si>
    <t>Data do acordo</t>
  </si>
  <si>
    <t>Valor do Acordo</t>
  </si>
  <si>
    <t>Economia CIA</t>
  </si>
  <si>
    <t>Data do Trânsito em Julgado</t>
  </si>
  <si>
    <t>Ultimo andamento</t>
  </si>
  <si>
    <t>Depósito Judicial</t>
  </si>
  <si>
    <t>Observações</t>
  </si>
  <si>
    <t>Motivo do Encerramento</t>
  </si>
  <si>
    <t>Data do Encerramento</t>
  </si>
  <si>
    <t>FALAW</t>
  </si>
  <si>
    <t>CUIDAR.ME</t>
  </si>
  <si>
    <t>ADRIANO SOARES DE LIMA</t>
  </si>
  <si>
    <t>0010526-41.2024.5.15.0002</t>
  </si>
  <si>
    <t>Trata-se de reclamação trabalhista ajuizada pelo reclamante em face da empresa. O reclamante foi contratado em 23/08/2022 para exercer a função de supervisor técnico regulatório, com salário mensal de R$ 5.000,00, sendo dispensado sem justa causa em 03/12/2023. Na ação, o reclamante formula pedidos de: Pagamento de horas extras e reflexos em RSR, feriados, férias + 1/3, 13º salário, aviso prévio e FGTS + 40%; Pagamento em dobro de feriados trabalhados e não compensados; Reconhecimento de que os valores atribuídos aos pedidos são meramente estimativos, não limitando a liquidação futura; Condenação ao pagamento de honorários advocatícios de sucumbência (art. 791-A da CLT), entre 5% e 15% sobre o valor da condenação; Concessão do benefício da justiça gratuita, com fundamento na hipossuficiência econômica e no art. 5º, LXXIV, da Constituição Federal.</t>
  </si>
  <si>
    <t>N/A</t>
  </si>
  <si>
    <t>TRABALHISTA</t>
  </si>
  <si>
    <t>Não</t>
  </si>
  <si>
    <t>SP</t>
  </si>
  <si>
    <t>JUNDIAÍ</t>
  </si>
  <si>
    <t>1ª</t>
  </si>
  <si>
    <t>JUSTIÇA DO TRABALHO</t>
  </si>
  <si>
    <t>FURTADO ADVOGADOS ASSOCIADOS</t>
  </si>
  <si>
    <t>Em síntese, a ação busca o reconhecimento da jornada extraordinária não paga, o recebimento das verbas rescisórias e reflexos, além da concessão da justiça gratuita e honorários advocatícios, com a condenação da reclamada ao pagamento dos direitos trabalhistas não adimplidos.</t>
  </si>
  <si>
    <t>R$ 110.248,73</t>
  </si>
  <si>
    <t>NÃO</t>
  </si>
  <si>
    <t>RECURSAL</t>
  </si>
  <si>
    <t>SIM</t>
  </si>
  <si>
    <t>Foi proferida sentença que julgou os pedidos procedentes.</t>
  </si>
  <si>
    <t>PROCEDENTES  os pedidos formulados por ADRIANO SOARES DE
LIMA em face de CUIDAR.ME SAUDE LTDA  para condenar a reclamada a pagar a(o)
autor(a), conforme for apurado e nos termos da fundamentação,  todos os títulos
deferidos nesta sentença.</t>
  </si>
  <si>
    <t>Foram interpostos recursos ordinários por ambas as partes</t>
  </si>
  <si>
    <t xml:space="preserve"> </t>
  </si>
  <si>
    <t>Data do Ajuizamento</t>
  </si>
  <si>
    <t xml:space="preserve">Fato Gerador </t>
  </si>
  <si>
    <t>Último movimentação processual</t>
  </si>
  <si>
    <t>1000188-41.2024.5.02.0264</t>
  </si>
  <si>
    <t>DANDARA PEREIRA CAMARA</t>
  </si>
  <si>
    <t xml:space="preserve">TRABALHISTA </t>
  </si>
  <si>
    <t xml:space="preserve">DIADEMA </t>
  </si>
  <si>
    <t>4ª Vara do Trabalho de Diadema</t>
  </si>
  <si>
    <t xml:space="preserve">JUSTIÇA DO TRABALHO </t>
  </si>
  <si>
    <t>Christian Regis da Cruz</t>
  </si>
  <si>
    <t xml:space="preserve">A reclamante alega ter feito jornadas excessivas, bem como intervalo reduzido. Sofreu constantes humilhações e tratamento grosseiro por parte da gestora.  PEDIDOS:  Horas extras; Intervalo intrajornada; Dano moral </t>
  </si>
  <si>
    <t xml:space="preserve">SIM </t>
  </si>
  <si>
    <t xml:space="preserve">ACORDO </t>
  </si>
  <si>
    <t>0010119-93.2023.5.15.0188</t>
  </si>
  <si>
    <t>KELLY NUNES RODRIGUES CORDEIRO</t>
  </si>
  <si>
    <t>5ª Vara do Trabalho de Jundiaí</t>
  </si>
  <si>
    <t>Santos e Santana</t>
  </si>
  <si>
    <t>Alega a reclamante que exerce mais de uma atividade, trabalhava a noite sem receber adicional noturno. PEDIDOS: Adicional Noturno; Hora Extra; Dispensa Discriminatória; Teletrabalho</t>
  </si>
  <si>
    <t> 10/05/2023</t>
  </si>
  <si>
    <t xml:space="preserve">         
1000524-79.2023.5.02.0361</t>
  </si>
  <si>
    <t>BRUNA MATTOS</t>
  </si>
  <si>
    <t>MAUÁ</t>
  </si>
  <si>
    <t>1ª Vara do Trabalho de Mauá</t>
  </si>
  <si>
    <t>MK Advocacia e Consultoria Jurídica</t>
  </si>
  <si>
    <t xml:space="preserve">A Reclamante alega ter sido vítima de doença ocupacional, sustentando que a dispensa ocorrida teria caráter discriminatório, motivo pelo qual requer a reintegração. Postula, ainda, indenização por danos morais e reconhecimento de estabilidade </t>
  </si>
  <si>
    <t>Ação improcedente, RO negado provimento, bem como RR.</t>
  </si>
  <si>
    <t>Valor Acordo</t>
  </si>
  <si>
    <t>Data do Protocolo</t>
  </si>
  <si>
    <t>Multa</t>
  </si>
  <si>
    <t>Último valor contingenciado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</si>
</sst>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R$&quot;\ #,##0.00"/>
    <numFmt numFmtId="165" formatCode="[$R$ -416]#,##0.00"/>
    <numFmt numFmtId="166" formatCode="mmm\-yy"/>
    <numFmt numFmtId="167" formatCode="&quot;R$&quot;\ #,##0.00;[Red]\-&quot;R$&quot;\ #,##0.00"/>
    <numFmt numFmtId="168" formatCode="_-&quot;R$&quot;\ * #,##0.00_-;\-&quot;R$&quot;\ * #,##0.00_-;_-&quot;R$&quot;\ * &quot;-&quot;??_-;_-@"/>
  </numFmts>
  <fonts count="42">
    <font>
      <sz val="11.0"/>
      <color rgb="FF000000"/>
      <name val="Calibri"/>
      <scheme val="minor"/>
    </font>
    <font>
      <sz val="9.0"/>
      <color rgb="FF000000"/>
      <name val="Avenir"/>
    </font>
    <font>
      <b/>
      <sz val="18.0"/>
      <color rgb="FFFFFFFF"/>
      <name val="Avenir"/>
    </font>
    <font/>
    <font>
      <b/>
      <sz val="9.0"/>
      <color rgb="FF8A9DC0"/>
      <name val="Calibri"/>
    </font>
    <font>
      <b/>
      <sz val="9.0"/>
      <color rgb="FFD4A0B0"/>
      <name val="Calibri"/>
    </font>
    <font>
      <b/>
      <sz val="28.0"/>
      <color rgb="FFFFFFFF"/>
      <name val="Calibri"/>
    </font>
    <font>
      <b/>
      <sz val="18.0"/>
      <color rgb="FFFFFFFF"/>
      <name val="Calibri"/>
    </font>
    <font>
      <i/>
      <sz val="8.0"/>
      <color rgb="FF8A9DC0"/>
      <name val="Calibri"/>
    </font>
    <font>
      <i/>
      <sz val="8.0"/>
      <color rgb="FFD4A0B0"/>
      <name val="Calibri"/>
    </font>
    <font>
      <b/>
      <sz val="12.0"/>
      <color rgb="FF1C2140"/>
      <name val="Calibri"/>
    </font>
    <font>
      <b/>
      <sz val="9.0"/>
      <color rgb="FFFFFFFF"/>
      <name val="Avenir"/>
    </font>
    <font>
      <sz val="7.0"/>
      <color rgb="FF000000"/>
      <name val="Avenir"/>
    </font>
    <font>
      <b/>
      <sz val="9.0"/>
      <color rgb="FFC0392B"/>
      <name val="Avenir"/>
    </font>
    <font>
      <b/>
      <sz val="9.0"/>
      <color rgb="FFE67E22"/>
      <name val="Avenir"/>
    </font>
    <font>
      <b/>
      <sz val="9.0"/>
      <color rgb="FF27AE60"/>
      <name val="Avenir"/>
    </font>
    <font>
      <i/>
      <sz val="11.0"/>
      <color rgb="FF999999"/>
      <name val="Calibri"/>
    </font>
    <font>
      <sz val="8.0"/>
      <color rgb="FF999999"/>
      <name val="Avenir"/>
    </font>
    <font>
      <b/>
      <sz val="14.0"/>
      <color rgb="FF1C2140"/>
      <name val="Avenir"/>
    </font>
    <font>
      <sz val="9.0"/>
      <color rgb="FF777777"/>
      <name val="Avenir"/>
    </font>
    <font>
      <sz val="9.0"/>
      <color rgb="FFE67E22"/>
      <name val="Avenir"/>
    </font>
    <font>
      <b/>
      <sz val="11.0"/>
      <color rgb="FF1C2140"/>
      <name val="Avenir"/>
    </font>
    <font>
      <sz val="9.0"/>
      <color rgb="FF27AE60"/>
      <name val="Avenir"/>
    </font>
    <font>
      <b/>
      <sz val="12.0"/>
      <color rgb="FFC0392B"/>
      <name val="Avenir"/>
    </font>
    <font>
      <b/>
      <sz val="11.0"/>
      <color rgb="FFFFFFFF"/>
      <name val="Calibri"/>
    </font>
    <font>
      <b/>
      <sz val="14.0"/>
      <color rgb="FFC0392B"/>
      <name val="Avenir"/>
    </font>
    <font>
      <b/>
      <sz val="9.0"/>
      <color rgb="FFFFFFFF"/>
      <name val="Calibri"/>
    </font>
    <font>
      <b/>
      <sz val="9.0"/>
      <color rgb="FF6B1D3A"/>
      <name val="Avenir"/>
    </font>
    <font>
      <b/>
      <sz val="9.0"/>
      <color rgb="FF1C2140"/>
      <name val="Avenir"/>
    </font>
    <font>
      <sz val="8.0"/>
      <color rgb="FF000000"/>
      <name val="Calibri"/>
    </font>
    <font>
      <sz val="9.0"/>
      <color rgb="FFC0392B"/>
      <name val="Avenir"/>
    </font>
    <font>
      <b/>
      <sz val="9.0"/>
      <color rgb="FF2980B9"/>
      <name val="Avenir"/>
    </font>
    <font>
      <sz val="9.0"/>
      <color rgb="FF2980B9"/>
      <name val="Avenir"/>
    </font>
    <font>
      <sz val="1.0"/>
      <color rgb="FFFFFFFF"/>
      <name val="Avenir"/>
    </font>
    <font>
      <i/>
      <sz val="8.0"/>
      <color rgb="FF999999"/>
      <name val="Calibri"/>
    </font>
    <font>
      <sz val="11.0"/>
      <color rgb="FF000000"/>
      <name val="Calibri"/>
    </font>
    <font>
      <i/>
      <sz val="8.0"/>
      <color rgb="FF999999"/>
      <name val="Avenir"/>
    </font>
    <font>
      <b/>
      <sz val="11.0"/>
      <color rgb="FF000000"/>
      <name val="Avenir"/>
    </font>
    <font>
      <sz val="11.0"/>
      <color rgb="FF000000"/>
      <name val="Avenir"/>
    </font>
    <font>
      <sz val="11.0"/>
      <color rgb="FF1D1C1D"/>
      <name val="Avenir"/>
    </font>
    <font>
      <sz val="9.0"/>
      <color theme="1"/>
      <name val="Avenir"/>
    </font>
    <font>
      <sz val="9.0"/>
      <color rgb="FF262626"/>
      <name val="Aveni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2140"/>
        <bgColor rgb="FF1C2140"/>
      </patternFill>
    </fill>
    <fill>
      <patternFill patternType="solid">
        <fgColor rgb="FF6B1D3A"/>
        <bgColor rgb="FF6B1D3A"/>
      </patternFill>
    </fill>
    <fill>
      <patternFill patternType="solid">
        <fgColor rgb="FFF7F7FA"/>
        <bgColor rgb="FFF7F7FA"/>
      </patternFill>
    </fill>
    <fill>
      <patternFill patternType="solid">
        <fgColor rgb="FFCFE2F3"/>
        <bgColor rgb="FFCFE2F3"/>
      </patternFill>
    </fill>
    <fill>
      <patternFill patternType="solid">
        <fgColor rgb="FF262626"/>
        <bgColor rgb="FF262626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33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left/>
      <top/>
      <bottom style="medium">
        <color rgb="FF6B1D3A"/>
      </bottom>
    </border>
    <border>
      <top/>
      <bottom style="medium">
        <color rgb="FF6B1D3A"/>
      </bottom>
    </border>
    <border>
      <right/>
      <top/>
      <bottom style="medium">
        <color rgb="FF6B1D3A"/>
      </bottom>
    </border>
    <border>
      <left/>
      <right/>
      <top/>
      <bottom style="thin">
        <color rgb="FF1C2140"/>
      </bottom>
    </border>
    <border>
      <bottom style="medium">
        <color rgb="FF6B1D3A"/>
      </bottom>
    </border>
    <border>
      <top/>
      <bottom/>
    </border>
    <border>
      <left/>
      <right/>
      <top style="medium">
        <color rgb="FF6B1D3A"/>
      </top>
      <bottom/>
    </border>
    <border>
      <left/>
      <right/>
      <top style="dotted">
        <color rgb="FFE0E0E0"/>
      </top>
      <bottom/>
    </border>
    <border>
      <left/>
      <right/>
      <top style="dotted">
        <color rgb="FFE0E0E0"/>
      </top>
      <bottom style="dotted">
        <color rgb="FFE0E0E0"/>
      </bottom>
    </border>
    <border>
      <left/>
      <top style="medium">
        <color rgb="FF6B1D3A"/>
      </top>
      <bottom/>
    </border>
    <border>
      <right/>
      <top style="medium">
        <color rgb="FF6B1D3A"/>
      </top>
      <bottom/>
    </border>
    <border>
      <left/>
      <top/>
      <bottom style="thin">
        <color rgb="FF1C2140"/>
      </bottom>
    </border>
    <border>
      <right/>
      <top/>
      <bottom style="thin">
        <color rgb="FF1C2140"/>
      </bottom>
    </border>
    <border>
      <right/>
      <bottom style="medium">
        <color rgb="FF6B1D3A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3" fontId="1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4" fontId="1" numFmtId="0" xfId="0" applyBorder="1" applyFill="1" applyFont="1"/>
    <xf borderId="8" fillId="3" fontId="4" numFmtId="0" xfId="0" applyAlignment="1" applyBorder="1" applyFont="1">
      <alignment horizontal="center" vertical="center"/>
    </xf>
    <xf borderId="9" fillId="0" fontId="3" numFmtId="0" xfId="0" applyBorder="1" applyFont="1"/>
    <xf borderId="8" fillId="4" fontId="5" numFmtId="0" xfId="0" applyAlignment="1" applyBorder="1" applyFont="1">
      <alignment horizontal="center" vertical="center"/>
    </xf>
    <xf borderId="8" fillId="3" fontId="6" numFmtId="0" xfId="0" applyAlignment="1" applyBorder="1" applyFont="1">
      <alignment horizontal="center" vertical="center"/>
    </xf>
    <xf borderId="8" fillId="4" fontId="7" numFmtId="164" xfId="0" applyAlignment="1" applyBorder="1" applyFont="1" applyNumberFormat="1">
      <alignment horizontal="center" vertical="center"/>
    </xf>
    <xf borderId="8" fillId="4" fontId="6" numFmtId="9" xfId="0" applyAlignment="1" applyBorder="1" applyFont="1" applyNumberFormat="1">
      <alignment horizontal="center" vertical="center"/>
    </xf>
    <xf borderId="8" fillId="3" fontId="8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center" vertical="center"/>
    </xf>
    <xf borderId="10" fillId="2" fontId="10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0" fontId="1" numFmtId="0" xfId="0" applyFont="1"/>
    <xf borderId="1" fillId="3" fontId="11" numFmtId="0" xfId="0" applyAlignment="1" applyBorder="1" applyFont="1">
      <alignment horizontal="center" vertical="center"/>
    </xf>
    <xf borderId="13" fillId="5" fontId="12" numFmtId="14" xfId="0" applyAlignment="1" applyBorder="1" applyFill="1" applyFont="1" applyNumberFormat="1">
      <alignment horizontal="center" vertical="center"/>
    </xf>
    <xf borderId="13" fillId="5" fontId="1" numFmtId="14" xfId="0" applyAlignment="1" applyBorder="1" applyFont="1" applyNumberFormat="1">
      <alignment horizontal="center" vertical="center"/>
    </xf>
    <xf borderId="13" fillId="5" fontId="1" numFmtId="165" xfId="0" applyAlignment="1" applyBorder="1" applyFont="1" applyNumberFormat="1">
      <alignment horizontal="center" vertical="center"/>
    </xf>
    <xf borderId="13" fillId="5" fontId="13" numFmtId="0" xfId="0" applyAlignment="1" applyBorder="1" applyFont="1">
      <alignment horizontal="center" vertical="center"/>
    </xf>
    <xf borderId="13" fillId="5" fontId="1" numFmtId="0" xfId="0" applyAlignment="1" applyBorder="1" applyFont="1">
      <alignment horizontal="center" vertical="center"/>
    </xf>
    <xf borderId="1" fillId="5" fontId="13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1" numFmtId="164" xfId="0" applyAlignment="1" applyBorder="1" applyFont="1" applyNumberFormat="1">
      <alignment horizontal="center" vertical="center"/>
    </xf>
    <xf borderId="1" fillId="5" fontId="1" numFmtId="9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2" fontId="14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1" fillId="2" fontId="1" numFmtId="9" xfId="0" applyAlignment="1" applyBorder="1" applyFont="1" applyNumberFormat="1">
      <alignment horizontal="center" vertical="center"/>
    </xf>
    <xf borderId="1" fillId="5" fontId="15" numFmtId="0" xfId="0" applyAlignment="1" applyBorder="1" applyFont="1">
      <alignment horizontal="center" vertical="center"/>
    </xf>
    <xf borderId="1" fillId="3" fontId="11" numFmtId="164" xfId="0" applyAlignment="1" applyBorder="1" applyFont="1" applyNumberFormat="1">
      <alignment horizontal="center" vertical="center"/>
    </xf>
    <xf borderId="1" fillId="3" fontId="11" numFmtId="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vertical="center"/>
    </xf>
    <xf borderId="14" fillId="0" fontId="10" numFmtId="0" xfId="0" applyAlignment="1" applyBorder="1" applyFont="1">
      <alignment vertical="center"/>
    </xf>
    <xf borderId="14" fillId="0" fontId="3" numFmtId="0" xfId="0" applyBorder="1" applyFont="1"/>
    <xf borderId="8" fillId="5" fontId="16" numFmtId="0" xfId="0" applyAlignment="1" applyBorder="1" applyFont="1">
      <alignment horizontal="center" vertical="center"/>
    </xf>
    <xf borderId="15" fillId="0" fontId="3" numFmtId="0" xfId="0" applyBorder="1" applyFont="1"/>
    <xf borderId="0" fillId="0" fontId="10" numFmtId="0" xfId="0" applyFont="1"/>
    <xf borderId="16" fillId="2" fontId="17" numFmtId="0" xfId="0" applyAlignment="1" applyBorder="1" applyFont="1">
      <alignment horizontal="left" vertical="center"/>
    </xf>
    <xf borderId="16" fillId="2" fontId="18" numFmtId="0" xfId="0" applyAlignment="1" applyBorder="1" applyFont="1">
      <alignment horizontal="center" vertical="center"/>
    </xf>
    <xf borderId="16" fillId="2" fontId="19" numFmtId="0" xfId="0" applyAlignment="1" applyBorder="1" applyFont="1">
      <alignment horizontal="left" vertical="center"/>
    </xf>
    <xf borderId="16" fillId="2" fontId="1" numFmtId="0" xfId="0" applyAlignment="1" applyBorder="1" applyFont="1">
      <alignment horizontal="left" vertical="center"/>
    </xf>
    <xf borderId="1" fillId="5" fontId="12" numFmtId="0" xfId="0" applyAlignment="1" applyBorder="1" applyFont="1">
      <alignment horizontal="center" vertical="center"/>
    </xf>
    <xf borderId="1" fillId="5" fontId="1" numFmtId="166" xfId="0" applyAlignment="1" applyBorder="1" applyFont="1" applyNumberFormat="1">
      <alignment horizontal="center" vertical="center"/>
    </xf>
    <xf borderId="1" fillId="5" fontId="20" numFmtId="14" xfId="0" applyAlignment="1" applyBorder="1" applyFont="1" applyNumberFormat="1">
      <alignment horizontal="center" vertical="center"/>
    </xf>
    <xf borderId="17" fillId="2" fontId="17" numFmtId="0" xfId="0" applyAlignment="1" applyBorder="1" applyFont="1">
      <alignment horizontal="left" vertical="center"/>
    </xf>
    <xf borderId="17" fillId="2" fontId="21" numFmtId="164" xfId="0" applyAlignment="1" applyBorder="1" applyFont="1" applyNumberFormat="1">
      <alignment horizontal="center" vertical="center"/>
    </xf>
    <xf borderId="17" fillId="2" fontId="19" numFmtId="0" xfId="0" applyAlignment="1" applyBorder="1" applyFont="1">
      <alignment horizontal="left" vertical="center"/>
    </xf>
    <xf borderId="17" fillId="2" fontId="1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center" vertical="center"/>
    </xf>
    <xf borderId="1" fillId="2" fontId="1" numFmtId="166" xfId="0" applyAlignment="1" applyBorder="1" applyFont="1" applyNumberFormat="1">
      <alignment horizontal="center" vertical="center"/>
    </xf>
    <xf borderId="1" fillId="2" fontId="20" numFmtId="0" xfId="0" applyAlignment="1" applyBorder="1" applyFont="1">
      <alignment horizontal="center" vertical="center"/>
    </xf>
    <xf borderId="17" fillId="2" fontId="18" numFmtId="0" xfId="0" applyAlignment="1" applyBorder="1" applyFont="1">
      <alignment horizontal="center" vertical="center"/>
    </xf>
    <xf borderId="1" fillId="5" fontId="1" numFmtId="14" xfId="0" applyAlignment="1" applyBorder="1" applyFont="1" applyNumberFormat="1">
      <alignment horizontal="center" vertical="center"/>
    </xf>
    <xf borderId="1" fillId="5" fontId="22" numFmtId="0" xfId="0" applyAlignment="1" applyBorder="1" applyFont="1">
      <alignment horizontal="center" vertical="center"/>
    </xf>
    <xf borderId="18" fillId="2" fontId="17" numFmtId="0" xfId="0" applyAlignment="1" applyBorder="1" applyFont="1">
      <alignment horizontal="left" vertical="center"/>
    </xf>
    <xf borderId="18" fillId="2" fontId="23" numFmtId="0" xfId="0" applyAlignment="1" applyBorder="1" applyFont="1">
      <alignment horizontal="center" vertical="center"/>
    </xf>
    <xf borderId="18" fillId="2" fontId="19" numFmtId="0" xfId="0" applyAlignment="1" applyBorder="1" applyFont="1">
      <alignment horizontal="left" vertical="center"/>
    </xf>
    <xf borderId="18" fillId="2" fontId="1" numFmtId="0" xfId="0" applyAlignment="1" applyBorder="1" applyFont="1">
      <alignment horizontal="left" vertical="center"/>
    </xf>
    <xf borderId="8" fillId="3" fontId="24" numFmtId="0" xfId="0" applyAlignment="1" applyBorder="1" applyFont="1">
      <alignment horizontal="center" vertical="center"/>
    </xf>
    <xf borderId="1" fillId="2" fontId="17" numFmtId="0" xfId="0" applyAlignment="1" applyBorder="1" applyFont="1">
      <alignment horizontal="left" vertical="center"/>
    </xf>
    <xf borderId="1" fillId="2" fontId="25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14" fillId="0" fontId="10" numFmtId="0" xfId="0" applyBorder="1" applyFont="1"/>
    <xf borderId="19" fillId="3" fontId="26" numFmtId="0" xfId="0" applyAlignment="1" applyBorder="1" applyFont="1">
      <alignment horizontal="center" vertical="center"/>
    </xf>
    <xf borderId="20" fillId="0" fontId="3" numFmtId="0" xfId="0" applyBorder="1" applyFont="1"/>
    <xf borderId="1" fillId="5" fontId="1" numFmtId="0" xfId="0" applyAlignment="1" applyBorder="1" applyFont="1">
      <alignment horizontal="left" vertical="center"/>
    </xf>
    <xf borderId="1" fillId="5" fontId="27" numFmtId="0" xfId="0" applyAlignment="1" applyBorder="1" applyFont="1">
      <alignment horizontal="center" vertical="center"/>
    </xf>
    <xf borderId="1" fillId="5" fontId="28" numFmtId="9" xfId="0" applyAlignment="1" applyBorder="1" applyFont="1" applyNumberFormat="1">
      <alignment horizontal="center" vertical="center"/>
    </xf>
    <xf borderId="8" fillId="5" fontId="29" numFmtId="0" xfId="0" applyAlignment="1" applyBorder="1" applyFont="1">
      <alignment horizontal="left" vertical="center"/>
    </xf>
    <xf borderId="1" fillId="2" fontId="27" numFmtId="0" xfId="0" applyAlignment="1" applyBorder="1" applyFont="1">
      <alignment horizontal="center" vertical="center"/>
    </xf>
    <xf borderId="1" fillId="2" fontId="28" numFmtId="9" xfId="0" applyAlignment="1" applyBorder="1" applyFont="1" applyNumberFormat="1">
      <alignment horizontal="center" vertical="center"/>
    </xf>
    <xf borderId="8" fillId="2" fontId="29" numFmtId="0" xfId="0" applyAlignment="1" applyBorder="1" applyFont="1">
      <alignment horizontal="left" vertical="center"/>
    </xf>
    <xf borderId="13" fillId="2" fontId="1" numFmtId="0" xfId="0" applyAlignment="1" applyBorder="1" applyFont="1">
      <alignment horizontal="center" vertical="center"/>
    </xf>
    <xf borderId="13" fillId="2" fontId="12" numFmtId="0" xfId="0" applyAlignment="1" applyBorder="1" applyFont="1">
      <alignment horizontal="center" vertical="center"/>
    </xf>
    <xf borderId="21" fillId="2" fontId="29" numFmtId="0" xfId="0" applyAlignment="1" applyBorder="1" applyFont="1">
      <alignment horizontal="left" vertical="center"/>
    </xf>
    <xf borderId="22" fillId="0" fontId="3" numFmtId="0" xfId="0" applyBorder="1" applyFont="1"/>
    <xf borderId="13" fillId="2" fontId="1" numFmtId="0" xfId="0" applyAlignment="1" applyBorder="1" applyFont="1">
      <alignment horizontal="left" vertical="center"/>
    </xf>
    <xf borderId="13" fillId="2" fontId="27" numFmtId="0" xfId="0" applyAlignment="1" applyBorder="1" applyFont="1">
      <alignment horizontal="center" vertical="center"/>
    </xf>
    <xf borderId="13" fillId="2" fontId="28" numFmtId="9" xfId="0" applyAlignment="1" applyBorder="1" applyFont="1" applyNumberFormat="1">
      <alignment horizontal="center" vertical="center"/>
    </xf>
    <xf borderId="23" fillId="0" fontId="3" numFmtId="0" xfId="0" applyBorder="1" applyFont="1"/>
    <xf borderId="1" fillId="2" fontId="15" numFmtId="0" xfId="0" applyAlignment="1" applyBorder="1" applyFont="1">
      <alignment horizontal="center" vertical="center"/>
    </xf>
    <xf borderId="1" fillId="2" fontId="30" numFmtId="0" xfId="0" applyAlignment="1" applyBorder="1" applyFont="1">
      <alignment horizontal="center" vertical="center"/>
    </xf>
    <xf borderId="1" fillId="5" fontId="30" numFmtId="0" xfId="0" applyAlignment="1" applyBorder="1" applyFont="1">
      <alignment horizontal="center" vertical="center"/>
    </xf>
    <xf borderId="1" fillId="5" fontId="31" numFmtId="0" xfId="0" applyAlignment="1" applyBorder="1" applyFont="1">
      <alignment horizontal="center" vertical="center"/>
    </xf>
    <xf borderId="1" fillId="5" fontId="32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0" fillId="0" fontId="33" numFmtId="0" xfId="0" applyFont="1"/>
    <xf borderId="1" fillId="2" fontId="33" numFmtId="0" xfId="0" applyBorder="1" applyFont="1"/>
    <xf borderId="1" fillId="2" fontId="34" numFmtId="0" xfId="0" applyAlignment="1" applyBorder="1" applyFont="1">
      <alignment horizontal="center"/>
    </xf>
    <xf borderId="1" fillId="2" fontId="35" numFmtId="0" xfId="0" applyBorder="1" applyFont="1"/>
    <xf borderId="8" fillId="2" fontId="36" numFmtId="0" xfId="0" applyAlignment="1" applyBorder="1" applyFont="1">
      <alignment horizontal="center"/>
    </xf>
    <xf borderId="24" fillId="6" fontId="37" numFmtId="0" xfId="0" applyAlignment="1" applyBorder="1" applyFill="1" applyFont="1">
      <alignment horizontal="center" shrinkToFit="0" vertical="center" wrapText="1"/>
    </xf>
    <xf borderId="0" fillId="0" fontId="38" numFmtId="0" xfId="0" applyAlignment="1" applyFont="1">
      <alignment horizontal="center"/>
    </xf>
    <xf borderId="24" fillId="0" fontId="38" numFmtId="0" xfId="0" applyAlignment="1" applyBorder="1" applyFont="1">
      <alignment horizontal="center" shrinkToFit="0" vertical="center" wrapText="1"/>
    </xf>
    <xf borderId="25" fillId="0" fontId="38" numFmtId="0" xfId="0" applyAlignment="1" applyBorder="1" applyFont="1">
      <alignment horizontal="center" shrinkToFit="0" wrapText="1"/>
    </xf>
    <xf borderId="1" fillId="2" fontId="39" numFmtId="0" xfId="0" applyAlignment="1" applyBorder="1" applyFont="1">
      <alignment horizontal="left" shrinkToFit="0" wrapText="1"/>
    </xf>
    <xf borderId="0" fillId="0" fontId="38" numFmtId="0" xfId="0" applyAlignment="1" applyFont="1">
      <alignment horizontal="center" shrinkToFit="0" wrapText="1"/>
    </xf>
    <xf borderId="1" fillId="2" fontId="38" numFmtId="0" xfId="0" applyAlignment="1" applyBorder="1" applyFont="1">
      <alignment horizontal="center" shrinkToFit="0" wrapText="1"/>
    </xf>
    <xf borderId="0" fillId="0" fontId="38" numFmtId="0" xfId="0" applyAlignment="1" applyFont="1">
      <alignment horizontal="center" shrinkToFit="0" vertical="center" wrapText="1"/>
    </xf>
    <xf borderId="0" fillId="0" fontId="38" numFmtId="0" xfId="0" applyFont="1"/>
    <xf borderId="24" fillId="2" fontId="38" numFmtId="0" xfId="0" applyAlignment="1" applyBorder="1" applyFont="1">
      <alignment horizontal="center"/>
    </xf>
    <xf borderId="24" fillId="0" fontId="38" numFmtId="0" xfId="0" applyAlignment="1" applyBorder="1" applyFont="1">
      <alignment horizontal="center"/>
    </xf>
    <xf borderId="26" fillId="7" fontId="11" numFmtId="0" xfId="0" applyAlignment="1" applyBorder="1" applyFill="1" applyFont="1">
      <alignment horizontal="center" shrinkToFit="0" vertical="center" wrapText="1"/>
    </xf>
    <xf borderId="26" fillId="7" fontId="11" numFmtId="164" xfId="0" applyAlignment="1" applyBorder="1" applyFont="1" applyNumberFormat="1">
      <alignment horizontal="center" shrinkToFit="0" vertical="center" wrapText="1"/>
    </xf>
    <xf borderId="26" fillId="7" fontId="11" numFmtId="14" xfId="0" applyAlignment="1" applyBorder="1" applyFont="1" applyNumberFormat="1">
      <alignment horizontal="center" shrinkToFit="0" vertical="center" wrapText="1"/>
    </xf>
    <xf borderId="27" fillId="7" fontId="11" numFmtId="1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5" fillId="8" fontId="40" numFmtId="0" xfId="0" applyAlignment="1" applyBorder="1" applyFill="1" applyFont="1">
      <alignment horizontal="center" shrinkToFit="0" vertical="center" wrapText="1"/>
    </xf>
    <xf borderId="25" fillId="0" fontId="1" numFmtId="14" xfId="0" applyAlignment="1" applyBorder="1" applyFont="1" applyNumberForma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28" fillId="0" fontId="1" numFmtId="14" xfId="0" applyAlignment="1" applyBorder="1" applyFont="1" applyNumberFormat="1">
      <alignment horizontal="center" shrinkToFit="0" vertical="center" wrapText="1"/>
    </xf>
    <xf borderId="25" fillId="8" fontId="40" numFmtId="14" xfId="0" applyAlignment="1" applyBorder="1" applyFont="1" applyNumberFormat="1">
      <alignment horizontal="center" shrinkToFit="0" vertical="center" wrapText="1"/>
    </xf>
    <xf borderId="25" fillId="0" fontId="1" numFmtId="165" xfId="0" applyAlignment="1" applyBorder="1" applyFont="1" applyNumberFormat="1">
      <alignment horizontal="center" shrinkToFit="0" vertical="center" wrapText="1"/>
    </xf>
    <xf borderId="25" fillId="8" fontId="40" numFmtId="164" xfId="0" applyAlignment="1" applyBorder="1" applyFont="1" applyNumberFormat="1">
      <alignment horizontal="center" shrinkToFit="0" vertical="center" wrapText="1"/>
    </xf>
    <xf borderId="29" fillId="8" fontId="40" numFmtId="0" xfId="0" applyAlignment="1" applyBorder="1" applyFont="1">
      <alignment horizontal="center" shrinkToFit="0" vertical="center" wrapText="1"/>
    </xf>
    <xf borderId="25" fillId="9" fontId="40" numFmtId="0" xfId="0" applyAlignment="1" applyBorder="1" applyFill="1" applyFont="1">
      <alignment horizontal="center" shrinkToFit="0" vertical="center" wrapText="1"/>
    </xf>
    <xf borderId="25" fillId="9" fontId="40" numFmtId="14" xfId="0" applyAlignment="1" applyBorder="1" applyFont="1" applyNumberFormat="1">
      <alignment horizontal="center" shrinkToFit="0" vertical="center" wrapText="1"/>
    </xf>
    <xf borderId="25" fillId="9" fontId="40" numFmtId="164" xfId="0" applyAlignment="1" applyBorder="1" applyFont="1" applyNumberFormat="1">
      <alignment horizontal="center" shrinkToFit="0" vertical="center" wrapText="1"/>
    </xf>
    <xf borderId="29" fillId="9" fontId="40" numFmtId="0" xfId="0" applyAlignment="1" applyBorder="1" applyFont="1">
      <alignment horizontal="center" shrinkToFit="0" vertical="center" wrapText="1"/>
    </xf>
    <xf borderId="0" fillId="0" fontId="40" numFmtId="0" xfId="0" applyAlignment="1" applyFont="1">
      <alignment horizontal="center" shrinkToFit="0" vertical="center" wrapText="1"/>
    </xf>
    <xf borderId="29" fillId="8" fontId="40" numFmtId="164" xfId="0" applyAlignment="1" applyBorder="1" applyFont="1" applyNumberFormat="1">
      <alignment horizontal="center" shrinkToFit="0" vertical="center" wrapText="1"/>
    </xf>
    <xf borderId="29" fillId="9" fontId="40" numFmtId="164" xfId="0" applyAlignment="1" applyBorder="1" applyFont="1" applyNumberFormat="1">
      <alignment horizontal="center" shrinkToFit="0" vertical="center" wrapText="1"/>
    </xf>
    <xf borderId="25" fillId="9" fontId="40" numFmtId="4" xfId="0" applyAlignment="1" applyBorder="1" applyFont="1" applyNumberFormat="1">
      <alignment horizontal="center" shrinkToFit="0" vertical="center" wrapText="1"/>
    </xf>
    <xf borderId="25" fillId="9" fontId="40" numFmtId="167" xfId="0" applyAlignment="1" applyBorder="1" applyFont="1" applyNumberFormat="1">
      <alignment horizontal="center" shrinkToFit="0" vertical="center" wrapText="1"/>
    </xf>
    <xf borderId="25" fillId="8" fontId="40" numFmtId="167" xfId="0" applyAlignment="1" applyBorder="1" applyFont="1" applyNumberFormat="1">
      <alignment horizontal="center" shrinkToFit="0" vertical="center" wrapText="1"/>
    </xf>
    <xf borderId="25" fillId="8" fontId="40" numFmtId="4" xfId="0" applyAlignment="1" applyBorder="1" applyFont="1" applyNumberFormat="1">
      <alignment horizontal="center" shrinkToFit="0" vertical="center" wrapText="1"/>
    </xf>
    <xf borderId="30" fillId="8" fontId="40" numFmtId="0" xfId="0" applyAlignment="1" applyBorder="1" applyFont="1">
      <alignment horizontal="center" shrinkToFit="0" vertical="center" wrapText="1"/>
    </xf>
    <xf borderId="30" fillId="8" fontId="40" numFmtId="14" xfId="0" applyAlignment="1" applyBorder="1" applyFont="1" applyNumberFormat="1">
      <alignment horizontal="center" shrinkToFit="0" vertical="center" wrapText="1"/>
    </xf>
    <xf borderId="30" fillId="8" fontId="40" numFmtId="164" xfId="0" applyAlignment="1" applyBorder="1" applyFont="1" applyNumberFormat="1">
      <alignment horizontal="center" shrinkToFit="0" vertical="center" wrapText="1"/>
    </xf>
    <xf borderId="30" fillId="8" fontId="40" numFmtId="4" xfId="0" applyAlignment="1" applyBorder="1" applyFont="1" applyNumberFormat="1">
      <alignment horizontal="center" shrinkToFit="0" vertical="center" wrapText="1"/>
    </xf>
    <xf borderId="31" fillId="8" fontId="40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8" fontId="1" numFmtId="14" xfId="0" applyAlignment="1" applyBorder="1" applyFont="1" applyNumberFormat="1">
      <alignment horizontal="center" shrinkToFit="0" vertical="center" wrapText="1"/>
    </xf>
    <xf borderId="1" fillId="8" fontId="1" numFmtId="164" xfId="0" applyAlignment="1" applyBorder="1" applyFont="1" applyNumberFormat="1">
      <alignment horizontal="center" shrinkToFit="0" vertical="center" wrapText="1"/>
    </xf>
    <xf borderId="0" fillId="0" fontId="40" numFmtId="14" xfId="0" applyAlignment="1" applyFont="1" applyNumberFormat="1">
      <alignment horizontal="center" shrinkToFit="0" vertical="center" wrapText="1"/>
    </xf>
    <xf borderId="25" fillId="7" fontId="11" numFmtId="14" xfId="0" applyAlignment="1" applyBorder="1" applyFont="1" applyNumberFormat="1">
      <alignment horizontal="center" shrinkToFit="0" vertical="center" wrapText="1"/>
    </xf>
    <xf borderId="25" fillId="7" fontId="11" numFmtId="0" xfId="0" applyAlignment="1" applyBorder="1" applyFont="1">
      <alignment horizontal="center" shrinkToFit="0" vertical="center" wrapText="1"/>
    </xf>
    <xf borderId="25" fillId="7" fontId="11" numFmtId="168" xfId="0" applyAlignment="1" applyBorder="1" applyFont="1" applyNumberFormat="1">
      <alignment horizontal="center" shrinkToFit="0" vertical="center" wrapText="1"/>
    </xf>
    <xf borderId="25" fillId="7" fontId="11" numFmtId="14" xfId="0" applyAlignment="1" applyBorder="1" applyFont="1" applyNumberFormat="1">
      <alignment horizontal="center" shrinkToFit="0" vertical="center" wrapText="1"/>
    </xf>
    <xf borderId="25" fillId="0" fontId="41" numFmtId="14" xfId="0" applyAlignment="1" applyBorder="1" applyFont="1" applyNumberFormat="1">
      <alignment horizontal="center" shrinkToFit="0" vertical="center" wrapText="1"/>
    </xf>
    <xf borderId="25" fillId="0" fontId="41" numFmtId="0" xfId="0" applyAlignment="1" applyBorder="1" applyFont="1">
      <alignment horizontal="center" shrinkToFit="0" vertical="center" wrapText="1"/>
    </xf>
    <xf borderId="25" fillId="0" fontId="41" numFmtId="168" xfId="0" applyAlignment="1" applyBorder="1" applyFont="1" applyNumberFormat="1">
      <alignment horizontal="center" shrinkToFit="0" vertical="center" wrapText="1"/>
    </xf>
    <xf borderId="25" fillId="8" fontId="41" numFmtId="14" xfId="0" applyAlignment="1" applyBorder="1" applyFont="1" applyNumberFormat="1">
      <alignment horizontal="center" shrinkToFit="0" vertical="center" wrapText="1"/>
    </xf>
    <xf borderId="32" fillId="0" fontId="41" numFmtId="14" xfId="0" applyAlignment="1" applyBorder="1" applyFont="1" applyNumberFormat="1">
      <alignment horizontal="center" shrinkToFit="0" vertical="center" wrapText="1"/>
    </xf>
    <xf borderId="32" fillId="0" fontId="41" numFmtId="0" xfId="0" applyAlignment="1" applyBorder="1" applyFont="1">
      <alignment horizontal="center" shrinkToFit="0" vertical="center" wrapText="1"/>
    </xf>
    <xf borderId="32" fillId="0" fontId="41" numFmtId="168" xfId="0" applyAlignment="1" applyBorder="1" applyFont="1" applyNumberFormat="1">
      <alignment horizontal="center" shrinkToFit="0" vertical="center" wrapText="1"/>
    </xf>
    <xf borderId="25" fillId="9" fontId="41" numFmtId="0" xfId="0" applyAlignment="1" applyBorder="1" applyFont="1">
      <alignment horizontal="center" shrinkToFit="0" vertical="center" wrapText="1"/>
    </xf>
    <xf borderId="25" fillId="9" fontId="41" numFmtId="14" xfId="0" applyAlignment="1" applyBorder="1" applyFont="1" applyNumberFormat="1">
      <alignment horizontal="center" shrinkToFit="0" vertical="center" wrapText="1"/>
    </xf>
    <xf borderId="25" fillId="8" fontId="41" numFmtId="0" xfId="0" applyAlignment="1" applyBorder="1" applyFont="1">
      <alignment horizontal="center" shrinkToFit="0" vertical="center" wrapText="1"/>
    </xf>
    <xf borderId="25" fillId="8" fontId="41" numFmtId="168" xfId="0" applyAlignment="1" applyBorder="1" applyFont="1" applyNumberFormat="1">
      <alignment horizontal="center" shrinkToFit="0" vertical="center" wrapText="1"/>
    </xf>
    <xf borderId="25" fillId="8" fontId="41" numFmtId="164" xfId="0" applyAlignment="1" applyBorder="1" applyFont="1" applyNumberFormat="1">
      <alignment horizontal="center" shrinkToFit="0" vertical="center" wrapText="1"/>
    </xf>
    <xf borderId="25" fillId="9" fontId="41" numFmtId="168" xfId="0" applyAlignment="1" applyBorder="1" applyFont="1" applyNumberFormat="1">
      <alignment horizontal="center" shrinkToFit="0" vertical="center" wrapText="1"/>
    </xf>
    <xf borderId="25" fillId="9" fontId="41" numFmtId="164" xfId="0" applyAlignment="1" applyBorder="1" applyFont="1" applyNumberFormat="1">
      <alignment horizontal="center" shrinkToFit="0" vertical="center" wrapText="1"/>
    </xf>
    <xf borderId="25" fillId="9" fontId="40" numFmtId="14" xfId="0" applyAlignment="1" applyBorder="1" applyFont="1" applyNumberFormat="1">
      <alignment horizontal="center" shrinkToFit="0" vertical="center" wrapText="1"/>
    </xf>
    <xf borderId="25" fillId="9" fontId="40" numFmtId="0" xfId="0" applyAlignment="1" applyBorder="1" applyFont="1">
      <alignment horizontal="center" shrinkToFit="0" vertical="center" wrapText="1"/>
    </xf>
    <xf borderId="25" fillId="9" fontId="40" numFmtId="168" xfId="0" applyAlignment="1" applyBorder="1" applyFont="1" applyNumberFormat="1">
      <alignment horizontal="center" shrinkToFit="0" vertical="center" wrapText="1"/>
    </xf>
    <xf borderId="25" fillId="8" fontId="40" numFmtId="14" xfId="0" applyAlignment="1" applyBorder="1" applyFont="1" applyNumberFormat="1">
      <alignment horizontal="center" shrinkToFit="0" vertical="center" wrapText="1"/>
    </xf>
    <xf borderId="25" fillId="8" fontId="40" numFmtId="0" xfId="0" applyAlignment="1" applyBorder="1" applyFont="1">
      <alignment horizontal="center" shrinkToFit="0" vertical="center" wrapText="1"/>
    </xf>
    <xf borderId="25" fillId="8" fontId="40" numFmtId="168" xfId="0" applyAlignment="1" applyBorder="1" applyFont="1" applyNumberFormat="1">
      <alignment horizontal="center" shrinkToFit="0" vertical="center" wrapText="1"/>
    </xf>
    <xf borderId="0" fillId="0" fontId="1" numFmtId="14" xfId="0" applyAlignment="1" applyFont="1" applyNumberFormat="1">
      <alignment horizontal="center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1" fillId="7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3">
    <tableStyle count="3" pivot="0" name="Relatório - Processos Ativos-style">
      <tableStyleElement dxfId="1" type="headerRow"/>
      <tableStyleElement dxfId="2" type="firstRowStripe"/>
      <tableStyleElement dxfId="3" type="secondRowStripe"/>
    </tableStyle>
    <tableStyle count="3" pivot="0" name="Processos arquivados-style">
      <tableStyleElement dxfId="1" type="headerRow"/>
      <tableStyleElement dxfId="2" type="firstRowStripe"/>
      <tableStyleElement dxfId="3" type="secondRowStripe"/>
    </tableStyle>
    <tableStyle count="3" pivot="0" name="Acordos realizad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C2140"/>
                </a:solidFill>
                <a:latin typeface="Avenir Next LT Pro"/>
              </a:defRPr>
            </a:pPr>
            <a:r>
              <a:rPr b="1" i="0" sz="1100">
                <a:solidFill>
                  <a:srgbClr val="1C2140"/>
                </a:solidFill>
                <a:latin typeface="Avenir Next LT Pro"/>
              </a:rPr>
              <a:t>Decisões Favoráveis vs Desfavoráveis por Instância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Favorável</c:v>
          </c:tx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DASHBOARD!$O$50:$O$52</c:f>
            </c:strRef>
          </c:cat>
          <c:val>
            <c:numRef>
              <c:f>DASHBOARD!$P$50:$P$52</c:f>
              <c:numCache/>
            </c:numRef>
          </c:val>
        </c:ser>
        <c:ser>
          <c:idx val="1"/>
          <c:order val="1"/>
          <c:tx>
            <c:v>Desfavorável</c:v>
          </c:tx>
          <c:spPr>
            <a:solidFill>
              <a:srgbClr val="C0392B"/>
            </a:solidFill>
            <a:ln cmpd="sng">
              <a:solidFill>
                <a:srgbClr val="000000"/>
              </a:solidFill>
            </a:ln>
          </c:spPr>
          <c:cat>
            <c:strRef>
              <c:f>DASHBOARD!$O$50:$O$52</c:f>
            </c:strRef>
          </c:cat>
          <c:val>
            <c:numRef>
              <c:f>DASHBOARD!$Q$50:$Q$52</c:f>
              <c:numCache/>
            </c:numRef>
          </c:val>
        </c:ser>
        <c:axId val="316140137"/>
        <c:axId val="690407528"/>
      </c:barChart>
      <c:catAx>
        <c:axId val="3161401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0407528"/>
      </c:catAx>
      <c:valAx>
        <c:axId val="6904075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6140137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venir Next LT Pr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1C2140"/>
                </a:solidFill>
                <a:latin typeface="Avenir Next LT Pro"/>
              </a:defRPr>
            </a:pPr>
            <a:r>
              <a:rPr b="1" i="0" sz="1100">
                <a:solidFill>
                  <a:srgbClr val="1C2140"/>
                </a:solidFill>
                <a:latin typeface="Avenir Next LT Pro"/>
              </a:rPr>
              <a:t>Evolução Processual — Distribuição por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DASHBOARD!$S$49</c:f>
            </c:strRef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67E22"/>
              </a:solidFill>
            </c:spPr>
          </c:dPt>
          <c:dPt>
            <c:idx val="2"/>
            <c:spPr>
              <a:solidFill>
                <a:srgbClr val="2980B9"/>
              </a:solidFill>
            </c:spPr>
          </c:dPt>
          <c:dPt>
            <c:idx val="3"/>
            <c:spPr>
              <a:solidFill>
                <a:srgbClr val="C0392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DASHBOARD!$R$50:$R$53</c:f>
            </c:strRef>
          </c:cat>
          <c:val>
            <c:numRef>
              <c:f>DASHBOARD!$S$50:$S$53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Avenir Next LT Pr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46</xdr:row>
      <xdr:rowOff>38100</xdr:rowOff>
    </xdr:from>
    <xdr:ext cx="5219700" cy="3409950"/>
    <xdr:graphicFrame>
      <xdr:nvGraphicFramePr>
        <xdr:cNvPr id="9667991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161925</xdr:colOff>
      <xdr:row>47</xdr:row>
      <xdr:rowOff>66675</xdr:rowOff>
    </xdr:from>
    <xdr:ext cx="4838700" cy="3114675"/>
    <xdr:graphicFrame>
      <xdr:nvGraphicFramePr>
        <xdr:cNvPr id="90794369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114300</xdr:colOff>
      <xdr:row>0</xdr:row>
      <xdr:rowOff>0</xdr:rowOff>
    </xdr:from>
    <xdr:ext cx="1447800" cy="8477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J219" displayName="Table_1" name="Table_1" id="1">
  <tableColumns count="62">
    <tableColumn name="Escritório" id="1"/>
    <tableColumn name="Empresa do Grupo" id="2"/>
    <tableColumn name="Unidade (sigla)" id="3"/>
    <tableColumn name="Parte(s) Contrária(s)" id="4"/>
    <tableColumn name="Outros Integrantes - Polo Passivo " id="5"/>
    <tableColumn name="Número do Processo" id="6"/>
    <tableColumn name="Objeto da lide" id="7"/>
    <tableColumn name="Médico Envolvido  " id="8"/>
    <tableColumn name="Especialidade Médica envolvida" id="9"/>
    <tableColumn name="Tipo de Reclamação" id="10"/>
    <tableColumn name="Complemento" id="11"/>
    <tableColumn name="Tipo de Exame Envolvido" id="12"/>
    <tableColumn name="Há pedido de Dano Moral?" id="13"/>
    <tableColumn name="Há pedido de Dano Material?" id="14"/>
    <tableColumn name="Há pedido de Dano Estético?" id="15"/>
    <tableColumn name="Ano do Fato Gerador " id="16"/>
    <tableColumn name="Data do Ajuizamento (dia/mês/ano)" id="17"/>
    <tableColumn name="Data de cadastro na base do Escritório" id="18"/>
    <tableColumn name="Natureza" id="19"/>
    <tableColumn name="Estado" id="20"/>
    <tableColumn name="Comarca" id="21"/>
    <tableColumn name="Vara/Foro" id="22"/>
    <tableColumn name="Jurisdição " id="23"/>
    <tableColumn name="Escritório da Parte Contrária " id="24"/>
    <tableColumn name="Resumo da Petição Inicial com Pedidos " id="25"/>
    <tableColumn name="Valor da Causa" id="26"/>
    <tableColumn name="Risco Setembro/2025" id="27"/>
    <tableColumn name="Valor Abril/2025" id="28"/>
    <tableColumn name="Análise Qualitativa? " id="29"/>
    <tableColumn name="Houve alteração do valor de provisionamento " id="30"/>
    <tableColumn name="Valor de alteração " id="31"/>
    <tableColumn name="Justificativa para alteração do valor de provisionamento" id="32"/>
    <tableColumn name="Fase Atual do Processo" id="33"/>
    <tableColumn name="Liminar?" id="34"/>
    <tableColumn name="Perícia solicitada" id="35"/>
    <tableColumn name="Tipo de Perícia solicitada" id="36"/>
    <tableColumn name="Data Resultado da Perícia" id="37"/>
    <tableColumn name="Resultado da Perícia " id="38"/>
    <tableColumn name="Houve Sentença" id="39"/>
    <tableColumn name="Data Sentença" id="40"/>
    <tableColumn name="Resultado da Sentença" id="41"/>
    <tableColumn name="Dispositivo da Sentença" id="42"/>
    <tableColumn name="Valor da Condenação " id="43"/>
    <tableColumn name="Houve Recurso de Apelação/Recurso Inominado" id="44"/>
    <tableColumn name="Data do Acórdão" id="45"/>
    <tableColumn name="Resultado do Acórdão" id="46"/>
    <tableColumn name="Condenação em Sede Recursal (Valor)" id="47"/>
    <tableColumn name="Recurso Especial/Recurso Extraordinário" id="48"/>
    <tableColumn name="Data Acórdão2" id="49"/>
    <tableColumn name="Resultado do Acórdão2" id="50"/>
    <tableColumn name="Total de Despesas Processuais " id="51"/>
    <tableColumn name="A CIA acionou o Seguro E&amp;O?" id="52"/>
    <tableColumn name="Houve Acordo" id="53"/>
    <tableColumn name="Data do acordo" id="54"/>
    <tableColumn name="Valor do Acordo" id="55"/>
    <tableColumn name="Economia CIA" id="56"/>
    <tableColumn name="Data do Trânsito em Julgado" id="57"/>
    <tableColumn name="Ultimo andamento" id="58"/>
    <tableColumn name="Depósito Judicial" id="59"/>
    <tableColumn name="Observações" id="60"/>
    <tableColumn name="Motivo do Encerramento" id="61"/>
    <tableColumn name="Data do Encerramento" id="62"/>
  </tableColumns>
  <tableStyleInfo name="Relatório - Processos Ativos-style" showColumnStripes="0" showFirstColumn="1" showLastColumn="1" showRowStripes="1"/>
</table>
</file>

<file path=xl/tables/table2.xml><?xml version="1.0" encoding="utf-8"?>
<table xmlns="http://schemas.openxmlformats.org/spreadsheetml/2006/main" ref="A1:U5" displayName="Table_2" name="Table_2" id="2">
  <tableColumns count="21">
    <tableColumn name="Data do Ajuizamento" id="1"/>
    <tableColumn name="Número do Processo" id="2"/>
    <tableColumn name="Parte(s) Contrária(s)" id="3"/>
    <tableColumn name="Empresa do Grupo" id="4"/>
    <tableColumn name="Unidade (sigla)" id="5"/>
    <tableColumn name="Outros Integrantes - Polo Passivo " id="6"/>
    <tableColumn name="Médico Envolvido  " id="7"/>
    <tableColumn name="Especialidade Médica envolvida" id="8"/>
    <tableColumn name="Fato Gerador " id="9"/>
    <tableColumn name="Ano do Fato Gerador " id="10"/>
    <tableColumn name="Natureza" id="11"/>
    <tableColumn name="Estado" id="12"/>
    <tableColumn name="Comarca" id="13"/>
    <tableColumn name="Vara/Foro" id="14"/>
    <tableColumn name="Jurisdição " id="15"/>
    <tableColumn name="Escritório da Parte Contrária " id="16"/>
    <tableColumn name="Resumo da Petição Inicial com Pedidos " id="17"/>
    <tableColumn name="Houve Acordo" id="18"/>
    <tableColumn name="Valor do Acordo" id="19"/>
    <tableColumn name="Último movimentação processual" id="20"/>
    <tableColumn name="Observações" id="21"/>
  </tableColumns>
  <tableStyleInfo name="Processos arquivados-style" showColumnStripes="0" showFirstColumn="1" showLastColumn="1" showRowStripes="1"/>
</table>
</file>

<file path=xl/tables/table3.xml><?xml version="1.0" encoding="utf-8"?>
<table xmlns="http://schemas.openxmlformats.org/spreadsheetml/2006/main" ref="A1:W2" displayName="Table_3" name="Table_3" id="3">
  <tableColumns count="23">
    <tableColumn name="Empresa do Grupo" id="1"/>
    <tableColumn name="Unidade (sigla)" id="2"/>
    <tableColumn name="Parte(s) Contrária(s)" id="3"/>
    <tableColumn name="Outros Integrantes - Polo Passivo " id="4"/>
    <tableColumn name="Número do Processo" id="5"/>
    <tableColumn name="Médico Envolvido  " id="6"/>
    <tableColumn name="Especialidade Médica envolvida" id="7"/>
    <tableColumn name="Tipo de Reclamação" id="8"/>
    <tableColumn name="Complemento" id="9"/>
    <tableColumn name="Data de cadastro na base do Escritório" id="10"/>
    <tableColumn name="Estado" id="11"/>
    <tableColumn name="Comarca" id="12"/>
    <tableColumn name="Vara/Foro" id="13"/>
    <tableColumn name="Jurisdição " id="14"/>
    <tableColumn name="Escritório da Parte Contrária " id="15"/>
    <tableColumn name="Resumo da Petição Inicial com Pedidos " id="16"/>
    <tableColumn name="Valor da Causa" id="17"/>
    <tableColumn name="Valor Acordo" id="18"/>
    <tableColumn name="Data do acordo" id="19"/>
    <tableColumn name="Data do Protocolo" id="20"/>
    <tableColumn name="Multa" id="21"/>
    <tableColumn name="Último valor contingenciado" id="22"/>
    <tableColumn name="Economia CIA" id="23"/>
  </tableColumns>
  <tableStyleInfo name="Acordos realiz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4.0"/>
    <col customWidth="1" min="3" max="3" width="32.57"/>
    <col customWidth="1" min="4" max="4" width="18.71"/>
    <col customWidth="1" min="5" max="5" width="14.57"/>
    <col customWidth="1" min="6" max="6" width="15.71"/>
    <col customWidth="1" min="7" max="9" width="2.29"/>
    <col customWidth="1" min="10" max="10" width="26.14"/>
    <col customWidth="1" min="11" max="11" width="15.71"/>
    <col customWidth="1" min="12" max="12" width="22.57"/>
    <col customWidth="1" min="13" max="13" width="14.86"/>
    <col customWidth="1" min="14" max="14" width="0.43"/>
    <col customWidth="1" min="15" max="15" width="3.29"/>
    <col customWidth="1" min="16" max="16" width="33.57"/>
    <col customWidth="1" min="17" max="17" width="4.29"/>
    <col customWidth="1" min="18" max="18" width="5.0"/>
    <col customWidth="1" min="19" max="19" width="2.14"/>
    <col customWidth="1" min="20" max="26" width="8.71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1"/>
    </row>
    <row r="2" ht="53.2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1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0" t="s">
        <v>1</v>
      </c>
      <c r="C5" s="11"/>
      <c r="D5" s="1"/>
      <c r="E5" s="12" t="s">
        <v>2</v>
      </c>
      <c r="F5" s="11"/>
      <c r="G5" s="1"/>
      <c r="H5" s="1"/>
      <c r="I5" s="1"/>
      <c r="J5" s="10" t="s">
        <v>3</v>
      </c>
      <c r="K5" s="11"/>
      <c r="L5" s="1"/>
      <c r="M5" s="1"/>
      <c r="N5" s="1"/>
      <c r="O5" s="12" t="s">
        <v>4</v>
      </c>
      <c r="P5" s="11"/>
      <c r="Q5" s="1"/>
      <c r="R5" s="1"/>
      <c r="S5" s="1"/>
    </row>
    <row r="6">
      <c r="A6" s="1"/>
      <c r="B6" s="13">
        <f>COUNTIF('Relatório - Processos Ativos'!F2:F100,"&lt;&gt;")</f>
        <v>1</v>
      </c>
      <c r="C6" s="11"/>
      <c r="D6" s="1"/>
      <c r="E6" s="14">
        <f t="array" ref="E6">IFERROR(SUMPRODUCT(NUMBERVALUE(SUBSTITUTE('Relatório - Processos Ativos'!Z2:Z100,"R$ ",""),",",".")*('Relatório - Processos Ativos'!F2:F100&lt;&gt;"")),0)</f>
        <v>0</v>
      </c>
      <c r="F6" s="11"/>
      <c r="G6" s="1"/>
      <c r="H6" s="1"/>
      <c r="I6" s="1"/>
      <c r="J6" s="13">
        <f>COUNTIF('Processos arquivados'!B2:B100,"&lt;&gt;")</f>
        <v>3</v>
      </c>
      <c r="K6" s="11"/>
      <c r="L6" s="1"/>
      <c r="M6" s="1"/>
      <c r="N6" s="1"/>
      <c r="O6" s="15">
        <f>(COUNTIF('Processos arquivados'!V2:V100,"ACORDO*")+COUNTIF('Processos arquivados'!U2:U100,"*improceden*"))/COUNTIF('Processos arquivados'!B2:B100,"&lt;&gt;")</f>
        <v>1</v>
      </c>
      <c r="P6" s="11"/>
      <c r="Q6" s="1"/>
      <c r="R6" s="1"/>
      <c r="S6" s="1"/>
    </row>
    <row r="7">
      <c r="A7" s="1"/>
      <c r="B7" s="16" t="s">
        <v>5</v>
      </c>
      <c r="C7" s="11"/>
      <c r="D7" s="1"/>
      <c r="E7" s="17" t="s">
        <v>6</v>
      </c>
      <c r="F7" s="11"/>
      <c r="G7" s="1"/>
      <c r="H7" s="1"/>
      <c r="I7" s="1"/>
      <c r="J7" s="16" t="s">
        <v>7</v>
      </c>
      <c r="K7" s="11"/>
      <c r="L7" s="1"/>
      <c r="M7" s="1"/>
      <c r="N7" s="1"/>
      <c r="O7" s="17" t="s">
        <v>8</v>
      </c>
      <c r="P7" s="11"/>
      <c r="Q7" s="1"/>
      <c r="R7" s="1"/>
      <c r="S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/>
      <c r="B9" s="18" t="s">
        <v>9</v>
      </c>
      <c r="C9" s="19"/>
      <c r="D9" s="19"/>
      <c r="E9" s="19"/>
      <c r="F9" s="20"/>
      <c r="G9" s="1"/>
      <c r="H9" s="1"/>
      <c r="I9" s="1"/>
      <c r="J9" s="18" t="s">
        <v>10</v>
      </c>
      <c r="K9" s="19"/>
      <c r="L9" s="19"/>
      <c r="M9" s="20"/>
      <c r="N9" s="1"/>
      <c r="O9" s="21"/>
      <c r="P9" s="21"/>
      <c r="Q9" s="21"/>
      <c r="R9" s="21"/>
      <c r="S9" s="1"/>
    </row>
    <row r="10">
      <c r="A10" s="1"/>
      <c r="B10" s="22" t="s">
        <v>11</v>
      </c>
      <c r="C10" s="22" t="s">
        <v>12</v>
      </c>
      <c r="D10" s="22" t="s">
        <v>13</v>
      </c>
      <c r="E10" s="22" t="s">
        <v>14</v>
      </c>
      <c r="F10" s="22" t="s">
        <v>15</v>
      </c>
      <c r="G10" s="1"/>
      <c r="H10" s="1"/>
      <c r="I10" s="1"/>
      <c r="J10" s="22" t="s">
        <v>16</v>
      </c>
      <c r="K10" s="22" t="s">
        <v>17</v>
      </c>
      <c r="L10" s="22" t="s">
        <v>13</v>
      </c>
      <c r="M10" s="22" t="s">
        <v>18</v>
      </c>
      <c r="N10" s="1"/>
      <c r="O10" s="21"/>
      <c r="P10" s="21"/>
      <c r="Q10" s="21"/>
      <c r="R10" s="21"/>
      <c r="S10" s="1"/>
    </row>
    <row r="11">
      <c r="A11" s="1"/>
      <c r="B11" s="23" t="str">
        <f>'Relatório - Processos Ativos'!F2</f>
        <v>0010526-41.2024.5.15.0002</v>
      </c>
      <c r="C11" s="24" t="str">
        <f>'Relatório - Processos Ativos'!D2</f>
        <v>ADRIANO SOARES DE LIMA</v>
      </c>
      <c r="D11" s="25" t="str">
        <f>'Relatório - Processos Ativos'!Z2</f>
        <v>R$ 110.248,73</v>
      </c>
      <c r="E11" s="26" t="str">
        <f>'Relatório - Processos Ativos'!AA2</f>
        <v>PROVÁVEL</v>
      </c>
      <c r="F11" s="27" t="str">
        <f>'Relatório - Processos Ativos'!AG2</f>
        <v>RECURSAL</v>
      </c>
      <c r="G11" s="1"/>
      <c r="H11" s="1"/>
      <c r="I11" s="1"/>
      <c r="J11" s="28" t="s">
        <v>19</v>
      </c>
      <c r="K11" s="29">
        <f>COUNTIF('Relatório - Processos Ativos'!AA2:AA100,"PROVÁVEL")</f>
        <v>1</v>
      </c>
      <c r="L11" s="30">
        <f t="array" ref="L11">IFERROR(SUMPRODUCT(NUMBERVALUE(SUBSTITUTE('Relatório - Processos Ativos'!Z2:Z100,"R$ ",""),",",".")*('Relatório - Processos Ativos'!AA2:AA100="PROVÁVEL")),0)</f>
        <v>0</v>
      </c>
      <c r="M11" s="31">
        <f>IF(K14=0,0,K11/K14)</f>
        <v>1</v>
      </c>
      <c r="N11" s="1"/>
      <c r="O11" s="21"/>
      <c r="P11" s="21"/>
      <c r="Q11" s="21"/>
      <c r="R11" s="21"/>
      <c r="S11" s="1"/>
    </row>
    <row r="12">
      <c r="A12" s="1"/>
      <c r="B12" s="32"/>
      <c r="C12" s="32"/>
      <c r="D12" s="32"/>
      <c r="E12" s="32"/>
      <c r="F12" s="32"/>
      <c r="G12" s="1"/>
      <c r="H12" s="1"/>
      <c r="I12" s="1"/>
      <c r="J12" s="33" t="s">
        <v>20</v>
      </c>
      <c r="K12" s="34">
        <f>COUNTIF('Relatório - Processos Ativos'!AA2:AA100,"POSSÍVEL")</f>
        <v>0</v>
      </c>
      <c r="L12" s="35">
        <f t="array" ref="L12">IFERROR(SUMPRODUCT(NUMBERVALUE(SUBSTITUTE('Relatório - Processos Ativos'!Z2:Z100,"R$ ",""),",",".")*('Relatório - Processos Ativos'!AA2:AA100="POSSÍVEL")),0)</f>
        <v>0</v>
      </c>
      <c r="M12" s="36">
        <f>IF(K14=0,0,K12/K14)</f>
        <v>0</v>
      </c>
      <c r="N12" s="1"/>
      <c r="O12" s="21"/>
      <c r="P12" s="21"/>
      <c r="Q12" s="21"/>
      <c r="R12" s="21"/>
      <c r="S12" s="1"/>
    </row>
    <row r="13">
      <c r="A13" s="1"/>
      <c r="B13" s="32"/>
      <c r="C13" s="32"/>
      <c r="D13" s="32"/>
      <c r="E13" s="32"/>
      <c r="F13" s="32"/>
      <c r="G13" s="1"/>
      <c r="H13" s="1"/>
      <c r="I13" s="1"/>
      <c r="J13" s="37" t="s">
        <v>21</v>
      </c>
      <c r="K13" s="29">
        <f>COUNTIF('Relatório - Processos Ativos'!AA2:AA100,"REMOTO")</f>
        <v>0</v>
      </c>
      <c r="L13" s="30">
        <f t="array" ref="L13">IFERROR(SUMPRODUCT(NUMBERVALUE(SUBSTITUTE('Relatório - Processos Ativos'!Z2:Z100,"R$ ",""),",",".")*('Relatório - Processos Ativos'!AA2:AA100="REMOTO")),0)</f>
        <v>0</v>
      </c>
      <c r="M13" s="31">
        <f>IF(K14=0,0,K13/K14)</f>
        <v>0</v>
      </c>
      <c r="N13" s="1"/>
      <c r="O13" s="21"/>
      <c r="P13" s="21"/>
      <c r="Q13" s="21"/>
      <c r="R13" s="21"/>
      <c r="S13" s="1"/>
    </row>
    <row r="14">
      <c r="A14" s="1"/>
      <c r="B14" s="32"/>
      <c r="C14" s="32"/>
      <c r="D14" s="32"/>
      <c r="E14" s="32"/>
      <c r="F14" s="32"/>
      <c r="G14" s="1"/>
      <c r="H14" s="1"/>
      <c r="I14" s="1"/>
      <c r="J14" s="22" t="s">
        <v>22</v>
      </c>
      <c r="K14" s="22">
        <f t="shared" ref="K14:L14" si="1">SUM(K11:K13)</f>
        <v>1</v>
      </c>
      <c r="L14" s="38">
        <f t="shared" si="1"/>
        <v>0</v>
      </c>
      <c r="M14" s="39">
        <v>1.0</v>
      </c>
      <c r="N14" s="1"/>
      <c r="O14" s="21"/>
      <c r="P14" s="21"/>
      <c r="Q14" s="21"/>
      <c r="R14" s="21"/>
      <c r="S14" s="1"/>
    </row>
    <row r="15">
      <c r="A15" s="1"/>
      <c r="B15" s="32"/>
      <c r="C15" s="32"/>
      <c r="D15" s="32"/>
      <c r="E15" s="32"/>
      <c r="F15" s="32"/>
      <c r="G15" s="1"/>
      <c r="H15" s="1"/>
      <c r="I15" s="1"/>
      <c r="J15" s="21"/>
      <c r="K15" s="21"/>
      <c r="L15" s="21"/>
      <c r="M15" s="21"/>
      <c r="N15" s="1"/>
      <c r="O15" s="21"/>
      <c r="P15" s="21"/>
      <c r="Q15" s="21"/>
      <c r="R15" s="21"/>
      <c r="S15" s="1"/>
    </row>
    <row r="16">
      <c r="A16" s="1"/>
      <c r="B16" s="40"/>
      <c r="C16" s="40"/>
      <c r="D16" s="40"/>
      <c r="E16" s="40"/>
      <c r="F16" s="4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1"/>
      <c r="B17" s="41" t="s">
        <v>23</v>
      </c>
      <c r="C17" s="42"/>
      <c r="D17" s="42"/>
      <c r="E17" s="42"/>
      <c r="F17" s="42"/>
      <c r="G17" s="1"/>
      <c r="H17" s="1"/>
      <c r="I17" s="1"/>
      <c r="J17" s="21"/>
      <c r="K17" s="21"/>
      <c r="L17" s="21"/>
      <c r="M17" s="21"/>
      <c r="N17" s="1"/>
      <c r="O17" s="21"/>
      <c r="P17" s="21"/>
      <c r="Q17" s="21"/>
      <c r="R17" s="21"/>
      <c r="S17" s="1"/>
    </row>
    <row r="18">
      <c r="A18" s="1"/>
      <c r="B18" s="22" t="s">
        <v>11</v>
      </c>
      <c r="C18" s="22" t="s">
        <v>24</v>
      </c>
      <c r="D18" s="22" t="s">
        <v>25</v>
      </c>
      <c r="E18" s="22" t="s">
        <v>26</v>
      </c>
      <c r="F18" s="32"/>
      <c r="G18" s="1"/>
      <c r="H18" s="1"/>
      <c r="I18" s="1"/>
      <c r="J18" s="21"/>
      <c r="K18" s="21"/>
      <c r="L18" s="21"/>
      <c r="M18" s="21"/>
      <c r="N18" s="1"/>
      <c r="O18" s="21"/>
      <c r="P18" s="21"/>
      <c r="Q18" s="21"/>
      <c r="R18" s="21"/>
      <c r="S18" s="1"/>
    </row>
    <row r="19">
      <c r="A19" s="1"/>
      <c r="B19" s="43" t="s">
        <v>27</v>
      </c>
      <c r="C19" s="44"/>
      <c r="D19" s="44"/>
      <c r="E19" s="11"/>
      <c r="F19" s="32"/>
      <c r="G19" s="1"/>
      <c r="H19" s="1"/>
      <c r="I19" s="1"/>
      <c r="J19" s="21"/>
      <c r="K19" s="21"/>
      <c r="L19" s="21"/>
      <c r="M19" s="21"/>
      <c r="N19" s="1"/>
      <c r="O19" s="21"/>
      <c r="P19" s="21"/>
      <c r="Q19" s="21"/>
      <c r="R19" s="21"/>
      <c r="S19" s="1"/>
    </row>
    <row r="20">
      <c r="A20" s="1"/>
      <c r="B20" s="40"/>
      <c r="C20" s="40"/>
      <c r="D20" s="40"/>
      <c r="E20" s="40"/>
      <c r="F20" s="4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ht="15.75" customHeight="1">
      <c r="A21" s="1"/>
      <c r="B21" s="41" t="s">
        <v>28</v>
      </c>
      <c r="C21" s="42"/>
      <c r="D21" s="42"/>
      <c r="E21" s="42"/>
      <c r="F21" s="42"/>
      <c r="G21" s="1"/>
      <c r="H21" s="1"/>
      <c r="I21" s="1"/>
      <c r="J21" s="45" t="s">
        <v>29</v>
      </c>
      <c r="N21" s="1"/>
      <c r="O21" s="21"/>
      <c r="P21" s="21"/>
      <c r="Q21" s="21"/>
      <c r="R21" s="21"/>
      <c r="S21" s="1"/>
    </row>
    <row r="22" ht="15.75" customHeight="1">
      <c r="A22" s="1"/>
      <c r="B22" s="22" t="s">
        <v>11</v>
      </c>
      <c r="C22" s="22" t="s">
        <v>12</v>
      </c>
      <c r="D22" s="22" t="s">
        <v>30</v>
      </c>
      <c r="E22" s="22" t="s">
        <v>31</v>
      </c>
      <c r="F22" s="22" t="s">
        <v>32</v>
      </c>
      <c r="G22" s="1"/>
      <c r="H22" s="1"/>
      <c r="I22" s="1"/>
      <c r="J22" s="46" t="s">
        <v>33</v>
      </c>
      <c r="K22" s="47">
        <f>B6+J6</f>
        <v>4</v>
      </c>
      <c r="L22" s="48" t="s">
        <v>34</v>
      </c>
      <c r="M22" s="49"/>
      <c r="N22" s="1"/>
      <c r="O22" s="21"/>
      <c r="P22" s="21"/>
      <c r="Q22" s="21"/>
      <c r="R22" s="21"/>
      <c r="S22" s="1"/>
    </row>
    <row r="23" ht="15.75" customHeight="1">
      <c r="A23" s="1"/>
      <c r="B23" s="50" t="str">
        <f>'Processos arquivados'!B2</f>
        <v>1000188-41.2024.5.02.0264</v>
      </c>
      <c r="C23" s="29" t="str">
        <f>'Processos arquivados'!C2</f>
        <v>DANDARA PEREIRA CAMARA</v>
      </c>
      <c r="D23" s="51">
        <f>'Processos arquivados'!W2</f>
        <v>45484</v>
      </c>
      <c r="E23" s="52" t="str">
        <f>'Processos arquivados'!V2</f>
        <v>ACORDO </v>
      </c>
      <c r="F23" s="30">
        <f>'Processos arquivados'!S2</f>
        <v>500.04</v>
      </c>
      <c r="G23" s="1"/>
      <c r="H23" s="1"/>
      <c r="I23" s="1"/>
      <c r="J23" s="53" t="s">
        <v>35</v>
      </c>
      <c r="K23" s="54">
        <f>SUM('Processos arquivados'!S2:S100)</f>
        <v>3800.04</v>
      </c>
      <c r="L23" s="55" t="s">
        <v>36</v>
      </c>
      <c r="M23" s="56"/>
      <c r="N23" s="1"/>
      <c r="O23" s="21"/>
      <c r="P23" s="21"/>
      <c r="Q23" s="21"/>
      <c r="R23" s="21"/>
      <c r="S23" s="1"/>
    </row>
    <row r="24" ht="15.75" customHeight="1">
      <c r="A24" s="1"/>
      <c r="B24" s="57" t="str">
        <f>'Processos arquivados'!B3</f>
        <v>0010119-93.2023.5.15.0188</v>
      </c>
      <c r="C24" s="34" t="str">
        <f>'Processos arquivados'!C3</f>
        <v>KELLY NUNES RODRIGUES CORDEIRO</v>
      </c>
      <c r="D24" s="58">
        <f>'Processos arquivados'!W3</f>
        <v>45594</v>
      </c>
      <c r="E24" s="59" t="str">
        <f>'Processos arquivados'!V3</f>
        <v>ACORDO </v>
      </c>
      <c r="F24" s="35">
        <f>'Processos arquivados'!S3</f>
        <v>3300</v>
      </c>
      <c r="G24" s="1"/>
      <c r="H24" s="1"/>
      <c r="I24" s="1"/>
      <c r="J24" s="53" t="s">
        <v>37</v>
      </c>
      <c r="K24" s="60" t="str">
        <f>TEXT(ROUND(AVERAGE(IFERROR('Processos arquivados'!W2-'Processos arquivados'!A2,0),IFERROR('Processos arquivados'!W3-'Processos arquivados'!A3,0),IFERROR('Processos arquivados'!W4-'Processos arquivados'!A4,844))/30,0),"0")&amp;" meses"</f>
        <v>17 meses</v>
      </c>
      <c r="L24" s="55" t="s">
        <v>38</v>
      </c>
      <c r="M24" s="56"/>
      <c r="N24" s="1"/>
      <c r="O24" s="21"/>
      <c r="P24" s="21"/>
      <c r="Q24" s="21"/>
      <c r="R24" s="21"/>
      <c r="S24" s="1"/>
    </row>
    <row r="25" ht="15.75" customHeight="1">
      <c r="A25" s="1"/>
      <c r="B25" s="50" t="str">
        <f>'Processos arquivados'!B4</f>
        <v>         
1000524-79.2023.5.02.0361</v>
      </c>
      <c r="C25" s="61" t="str">
        <f>'Processos arquivados'!C4</f>
        <v>BRUNA MATTOS</v>
      </c>
      <c r="D25" s="51">
        <f>'Processos arquivados'!W4</f>
        <v>45901</v>
      </c>
      <c r="E25" s="62" t="s">
        <v>39</v>
      </c>
      <c r="F25" s="30">
        <f>'Processos arquivados'!S4</f>
        <v>0</v>
      </c>
      <c r="G25" s="1"/>
      <c r="H25" s="1"/>
      <c r="I25" s="1"/>
      <c r="J25" s="63" t="s">
        <v>40</v>
      </c>
      <c r="K25" s="64" t="s">
        <v>41</v>
      </c>
      <c r="L25" s="65" t="s">
        <v>42</v>
      </c>
      <c r="M25" s="66"/>
      <c r="N25" s="1"/>
      <c r="O25" s="21"/>
      <c r="P25" s="21"/>
      <c r="Q25" s="21"/>
      <c r="R25" s="21"/>
      <c r="S25" s="1"/>
    </row>
    <row r="26" ht="15.75" customHeight="1">
      <c r="A26" s="1"/>
      <c r="B26" s="67" t="s">
        <v>43</v>
      </c>
      <c r="C26" s="44"/>
      <c r="D26" s="11"/>
      <c r="E26" s="22" t="s">
        <v>44</v>
      </c>
      <c r="F26" s="38">
        <f>SUM(F23:F25)</f>
        <v>3800.04</v>
      </c>
      <c r="G26" s="1"/>
      <c r="H26" s="1"/>
      <c r="I26" s="1"/>
      <c r="J26" s="68" t="s">
        <v>45</v>
      </c>
      <c r="K26" s="69">
        <f>COUNTIF('Relatório - Processos Ativos'!AM2:AM100,"SIM")</f>
        <v>1</v>
      </c>
      <c r="L26" s="70" t="s">
        <v>46</v>
      </c>
      <c r="M26" s="71"/>
      <c r="N26" s="1"/>
      <c r="O26" s="21"/>
      <c r="P26" s="21"/>
      <c r="Q26" s="21"/>
      <c r="R26" s="21"/>
      <c r="S26" s="1"/>
    </row>
    <row r="27" ht="15.75" customHeight="1">
      <c r="A27" s="1"/>
      <c r="B27" s="21"/>
      <c r="C27" s="21"/>
      <c r="D27" s="21"/>
      <c r="E27" s="21"/>
      <c r="F27" s="21"/>
      <c r="G27" s="1"/>
      <c r="H27" s="1"/>
      <c r="I27" s="1"/>
      <c r="J27" s="21"/>
      <c r="K27" s="21"/>
      <c r="L27" s="21"/>
      <c r="M27" s="21"/>
      <c r="N27" s="1"/>
      <c r="O27" s="21"/>
      <c r="P27" s="21"/>
      <c r="Q27" s="21"/>
      <c r="R27" s="21"/>
      <c r="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ht="15.75" customHeight="1">
      <c r="A30" s="1"/>
      <c r="B30" s="72" t="s">
        <v>47</v>
      </c>
      <c r="C30" s="42"/>
      <c r="D30" s="42"/>
      <c r="E30" s="42"/>
      <c r="F30" s="42"/>
      <c r="G30" s="1"/>
      <c r="H30" s="1"/>
      <c r="I30" s="1"/>
      <c r="J30" s="72" t="s">
        <v>48</v>
      </c>
      <c r="K30" s="42"/>
      <c r="L30" s="42"/>
      <c r="M30" s="42"/>
      <c r="N30" s="1"/>
      <c r="O30" s="21"/>
      <c r="P30" s="21"/>
      <c r="Q30" s="21"/>
      <c r="R30" s="21"/>
      <c r="S30" s="1"/>
    </row>
    <row r="31" ht="15.75" customHeight="1">
      <c r="A31" s="1"/>
      <c r="B31" s="22" t="s">
        <v>49</v>
      </c>
      <c r="C31" s="22" t="s">
        <v>50</v>
      </c>
      <c r="D31" s="22" t="s">
        <v>51</v>
      </c>
      <c r="E31" s="21"/>
      <c r="F31" s="21"/>
      <c r="G31" s="1"/>
      <c r="H31" s="1"/>
      <c r="I31" s="1"/>
      <c r="J31" s="22"/>
      <c r="K31" s="22" t="s">
        <v>11</v>
      </c>
      <c r="L31" s="73" t="s">
        <v>52</v>
      </c>
      <c r="M31" s="74"/>
      <c r="N31" s="1"/>
      <c r="O31" s="21"/>
      <c r="P31" s="21"/>
      <c r="Q31" s="21"/>
      <c r="R31" s="21"/>
      <c r="S31" s="1"/>
    </row>
    <row r="32" ht="15.75" customHeight="1">
      <c r="A32" s="1"/>
      <c r="B32" s="75" t="s">
        <v>53</v>
      </c>
      <c r="C32" s="76">
        <v>4.0</v>
      </c>
      <c r="D32" s="77">
        <f t="shared" ref="D32:D37" si="2">C32/4</f>
        <v>1</v>
      </c>
      <c r="E32" s="21"/>
      <c r="F32" s="21"/>
      <c r="G32" s="1"/>
      <c r="H32" s="1"/>
      <c r="I32" s="1"/>
      <c r="J32" s="29" t="s">
        <v>54</v>
      </c>
      <c r="K32" s="50" t="s">
        <v>55</v>
      </c>
      <c r="L32" s="78" t="s">
        <v>56</v>
      </c>
      <c r="M32" s="11"/>
      <c r="N32" s="1"/>
      <c r="O32" s="21"/>
      <c r="P32" s="21"/>
      <c r="Q32" s="21"/>
      <c r="R32" s="21"/>
      <c r="S32" s="1"/>
    </row>
    <row r="33" ht="15.75" customHeight="1">
      <c r="A33" s="1"/>
      <c r="B33" s="71" t="s">
        <v>57</v>
      </c>
      <c r="C33" s="79">
        <v>2.0</v>
      </c>
      <c r="D33" s="80">
        <f t="shared" si="2"/>
        <v>0.5</v>
      </c>
      <c r="E33" s="21"/>
      <c r="F33" s="21"/>
      <c r="G33" s="1"/>
      <c r="H33" s="1"/>
      <c r="I33" s="1"/>
      <c r="J33" s="34" t="s">
        <v>58</v>
      </c>
      <c r="K33" s="57" t="s">
        <v>59</v>
      </c>
      <c r="L33" s="81" t="s">
        <v>60</v>
      </c>
      <c r="M33" s="11"/>
      <c r="N33" s="1"/>
      <c r="O33" s="21"/>
      <c r="P33" s="21"/>
      <c r="Q33" s="21"/>
      <c r="R33" s="21"/>
      <c r="S33" s="1"/>
    </row>
    <row r="34" ht="15.75" customHeight="1">
      <c r="A34" s="1"/>
      <c r="B34" s="75" t="s">
        <v>61</v>
      </c>
      <c r="C34" s="76">
        <v>2.0</v>
      </c>
      <c r="D34" s="77">
        <f t="shared" si="2"/>
        <v>0.5</v>
      </c>
      <c r="E34" s="21"/>
      <c r="F34" s="21"/>
      <c r="G34" s="1"/>
      <c r="H34" s="1"/>
      <c r="I34" s="1"/>
      <c r="J34" s="29" t="s">
        <v>58</v>
      </c>
      <c r="K34" s="50" t="s">
        <v>62</v>
      </c>
      <c r="L34" s="78" t="s">
        <v>63</v>
      </c>
      <c r="M34" s="11"/>
      <c r="N34" s="1"/>
      <c r="O34" s="21"/>
      <c r="P34" s="21"/>
      <c r="Q34" s="21"/>
      <c r="R34" s="21"/>
      <c r="S34" s="1"/>
    </row>
    <row r="35" ht="15.75" customHeight="1">
      <c r="A35" s="1"/>
      <c r="B35" s="71" t="s">
        <v>64</v>
      </c>
      <c r="C35" s="79">
        <v>1.0</v>
      </c>
      <c r="D35" s="80">
        <f t="shared" si="2"/>
        <v>0.25</v>
      </c>
      <c r="E35" s="21"/>
      <c r="F35" s="21"/>
      <c r="G35" s="1"/>
      <c r="H35" s="1"/>
      <c r="I35" s="1"/>
      <c r="J35" s="82" t="s">
        <v>58</v>
      </c>
      <c r="K35" s="83" t="s">
        <v>65</v>
      </c>
      <c r="L35" s="84" t="s">
        <v>66</v>
      </c>
      <c r="M35" s="85"/>
      <c r="N35" s="1"/>
      <c r="O35" s="21"/>
      <c r="P35" s="21"/>
      <c r="Q35" s="21"/>
      <c r="R35" s="21"/>
      <c r="S35" s="1"/>
    </row>
    <row r="36" ht="15.75" customHeight="1">
      <c r="A36" s="1"/>
      <c r="B36" s="75" t="s">
        <v>67</v>
      </c>
      <c r="C36" s="76">
        <v>1.0</v>
      </c>
      <c r="D36" s="77">
        <f t="shared" si="2"/>
        <v>0.25</v>
      </c>
      <c r="E36" s="21"/>
      <c r="F36" s="21"/>
      <c r="G36" s="1"/>
      <c r="H36" s="1"/>
      <c r="I36" s="1"/>
      <c r="J36" s="21"/>
      <c r="K36" s="21"/>
      <c r="L36" s="21"/>
      <c r="M36" s="21"/>
      <c r="N36" s="1"/>
      <c r="O36" s="21"/>
      <c r="P36" s="21"/>
      <c r="Q36" s="21"/>
      <c r="R36" s="21"/>
      <c r="S36" s="1"/>
    </row>
    <row r="37" ht="15.75" customHeight="1">
      <c r="A37" s="1"/>
      <c r="B37" s="86" t="s">
        <v>68</v>
      </c>
      <c r="C37" s="87">
        <v>1.0</v>
      </c>
      <c r="D37" s="88">
        <f t="shared" si="2"/>
        <v>0.25</v>
      </c>
      <c r="E37" s="21"/>
      <c r="F37" s="21"/>
      <c r="G37" s="1"/>
      <c r="H37" s="1"/>
      <c r="I37" s="1"/>
      <c r="J37" s="21"/>
      <c r="K37" s="21"/>
      <c r="L37" s="21"/>
      <c r="M37" s="21"/>
      <c r="N37" s="1"/>
      <c r="O37" s="21"/>
      <c r="P37" s="21"/>
      <c r="Q37" s="21"/>
      <c r="R37" s="21"/>
      <c r="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ht="15.75" customHeight="1">
      <c r="A40" s="1"/>
      <c r="B40" s="72" t="s">
        <v>69</v>
      </c>
      <c r="C40" s="42"/>
      <c r="D40" s="42"/>
      <c r="E40" s="42"/>
      <c r="F40" s="89"/>
      <c r="G40" s="1"/>
      <c r="H40" s="1"/>
      <c r="I40" s="1"/>
      <c r="J40" s="72" t="s">
        <v>70</v>
      </c>
      <c r="K40" s="42"/>
      <c r="L40" s="42"/>
      <c r="M40" s="42"/>
      <c r="N40" s="42"/>
      <c r="O40" s="42"/>
      <c r="P40" s="42"/>
      <c r="Q40" s="42"/>
      <c r="R40" s="42"/>
      <c r="S40" s="1"/>
    </row>
    <row r="41" ht="15.75" customHeight="1">
      <c r="A41" s="1"/>
      <c r="B41" s="22" t="s">
        <v>71</v>
      </c>
      <c r="C41" s="22" t="s">
        <v>72</v>
      </c>
      <c r="D41" s="22" t="s">
        <v>73</v>
      </c>
      <c r="E41" s="22" t="s">
        <v>22</v>
      </c>
      <c r="F41" s="1"/>
      <c r="G41" s="1"/>
      <c r="H41" s="1"/>
      <c r="I41" s="1"/>
      <c r="J41" s="22" t="s">
        <v>25</v>
      </c>
      <c r="K41" s="22" t="s">
        <v>17</v>
      </c>
      <c r="L41" s="22" t="s">
        <v>18</v>
      </c>
      <c r="M41" s="22" t="s">
        <v>31</v>
      </c>
      <c r="N41" s="1"/>
      <c r="O41" s="21"/>
      <c r="P41" s="21"/>
      <c r="Q41" s="21"/>
      <c r="R41" s="21"/>
      <c r="S41" s="1"/>
    </row>
    <row r="42" ht="15.75" customHeight="1">
      <c r="A42" s="1"/>
      <c r="B42" s="29" t="s">
        <v>74</v>
      </c>
      <c r="C42" s="37">
        <v>1.0</v>
      </c>
      <c r="D42" s="28">
        <v>1.0</v>
      </c>
      <c r="E42" s="29">
        <f t="shared" ref="E42:E44" si="3">SUM(C42:D42)</f>
        <v>2</v>
      </c>
      <c r="F42" s="1"/>
      <c r="G42" s="1"/>
      <c r="H42" s="1"/>
      <c r="I42" s="1"/>
      <c r="J42" s="37" t="s">
        <v>75</v>
      </c>
      <c r="K42" s="29">
        <v>1.0</v>
      </c>
      <c r="L42" s="31">
        <f>K42/K47</f>
        <v>0.25</v>
      </c>
      <c r="M42" s="62" t="s">
        <v>72</v>
      </c>
      <c r="N42" s="1"/>
      <c r="O42" s="21"/>
      <c r="P42" s="21"/>
      <c r="Q42" s="21"/>
      <c r="R42" s="21"/>
      <c r="S42" s="1"/>
    </row>
    <row r="43" ht="15.75" customHeight="1">
      <c r="A43" s="1"/>
      <c r="B43" s="34" t="s">
        <v>76</v>
      </c>
      <c r="C43" s="90">
        <v>1.0</v>
      </c>
      <c r="D43" s="91">
        <v>0.0</v>
      </c>
      <c r="E43" s="34">
        <f t="shared" si="3"/>
        <v>1</v>
      </c>
      <c r="F43" s="1"/>
      <c r="G43" s="1"/>
      <c r="H43" s="1"/>
      <c r="I43" s="1"/>
      <c r="J43" s="33" t="s">
        <v>77</v>
      </c>
      <c r="K43" s="34">
        <v>2.0</v>
      </c>
      <c r="L43" s="36">
        <f>K43/K47</f>
        <v>0.5</v>
      </c>
      <c r="M43" s="59" t="s">
        <v>72</v>
      </c>
      <c r="N43" s="1"/>
      <c r="O43" s="21"/>
      <c r="P43" s="21"/>
      <c r="Q43" s="21"/>
      <c r="R43" s="21"/>
      <c r="S43" s="1"/>
    </row>
    <row r="44" ht="15.75" customHeight="1">
      <c r="A44" s="1"/>
      <c r="B44" s="29" t="s">
        <v>78</v>
      </c>
      <c r="C44" s="37">
        <v>1.0</v>
      </c>
      <c r="D44" s="92">
        <v>0.0</v>
      </c>
      <c r="E44" s="29">
        <f t="shared" si="3"/>
        <v>1</v>
      </c>
      <c r="F44" s="1"/>
      <c r="G44" s="1"/>
      <c r="H44" s="1"/>
      <c r="I44" s="1"/>
      <c r="J44" s="93" t="s">
        <v>79</v>
      </c>
      <c r="K44" s="29">
        <v>1.0</v>
      </c>
      <c r="L44" s="31">
        <f>K44/K47</f>
        <v>0.25</v>
      </c>
      <c r="M44" s="94" t="s">
        <v>80</v>
      </c>
      <c r="N44" s="1"/>
      <c r="O44" s="21"/>
      <c r="P44" s="21"/>
      <c r="Q44" s="21"/>
      <c r="R44" s="21"/>
      <c r="S44" s="1"/>
    </row>
    <row r="45" ht="15.75" customHeight="1">
      <c r="A45" s="1"/>
      <c r="B45" s="22" t="s">
        <v>22</v>
      </c>
      <c r="C45" s="22">
        <f t="shared" ref="C45:E45" si="4">SUM(C42:C44)</f>
        <v>3</v>
      </c>
      <c r="D45" s="22">
        <f t="shared" si="4"/>
        <v>1</v>
      </c>
      <c r="E45" s="22">
        <f t="shared" si="4"/>
        <v>4</v>
      </c>
      <c r="F45" s="1"/>
      <c r="G45" s="1"/>
      <c r="H45" s="1"/>
      <c r="I45" s="1"/>
      <c r="J45" s="95" t="s">
        <v>81</v>
      </c>
      <c r="K45" s="34">
        <v>0.0</v>
      </c>
      <c r="L45" s="36">
        <f>K45/K47</f>
        <v>0</v>
      </c>
      <c r="M45" s="91" t="s">
        <v>73</v>
      </c>
      <c r="N45" s="1"/>
      <c r="O45" s="21"/>
      <c r="P45" s="21"/>
      <c r="Q45" s="21"/>
      <c r="R45" s="21"/>
      <c r="S45" s="1"/>
    </row>
    <row r="46" ht="15.75" customHeight="1">
      <c r="A46" s="1"/>
      <c r="B46" s="21"/>
      <c r="C46" s="21"/>
      <c r="D46" s="21"/>
      <c r="E46" s="21"/>
      <c r="F46" s="1"/>
      <c r="G46" s="1"/>
      <c r="H46" s="1"/>
      <c r="I46" s="1"/>
      <c r="J46" s="32"/>
      <c r="K46" s="32"/>
      <c r="L46" s="32"/>
      <c r="M46" s="32"/>
      <c r="N46" s="1"/>
      <c r="O46" s="21"/>
      <c r="P46" s="21"/>
      <c r="Q46" s="21"/>
      <c r="R46" s="21"/>
      <c r="S46" s="1"/>
    </row>
    <row r="47" ht="15.75" customHeight="1">
      <c r="A47" s="1"/>
      <c r="B47" s="21"/>
      <c r="C47" s="21"/>
      <c r="D47" s="21"/>
      <c r="E47" s="21"/>
      <c r="F47" s="1"/>
      <c r="G47" s="1"/>
      <c r="H47" s="1"/>
      <c r="I47" s="1"/>
      <c r="J47" s="22" t="s">
        <v>22</v>
      </c>
      <c r="K47" s="22">
        <f>SUM(K42:K45)</f>
        <v>4</v>
      </c>
      <c r="L47" s="39">
        <v>1.0</v>
      </c>
      <c r="M47" s="22" t="s">
        <v>44</v>
      </c>
      <c r="N47" s="1"/>
      <c r="O47" s="21"/>
      <c r="P47" s="21"/>
      <c r="Q47" s="21"/>
      <c r="R47" s="21"/>
      <c r="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ht="15.75" customHeight="1">
      <c r="A49" s="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96" t="s">
        <v>82</v>
      </c>
      <c r="P49" s="96" t="s">
        <v>83</v>
      </c>
      <c r="Q49" s="96" t="s">
        <v>84</v>
      </c>
      <c r="R49" s="96" t="s">
        <v>85</v>
      </c>
      <c r="S49" s="97" t="s">
        <v>17</v>
      </c>
    </row>
    <row r="50" ht="15.75" customHeight="1">
      <c r="A50" s="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96" t="s">
        <v>74</v>
      </c>
      <c r="P50" s="96">
        <f t="shared" ref="P50:Q50" si="5">C42</f>
        <v>1</v>
      </c>
      <c r="Q50" s="96">
        <f t="shared" si="5"/>
        <v>1</v>
      </c>
      <c r="R50" s="96" t="s">
        <v>75</v>
      </c>
      <c r="S50" s="97">
        <f t="shared" ref="S50:S53" si="7">K42</f>
        <v>1</v>
      </c>
    </row>
    <row r="51" ht="15.75" customHeight="1">
      <c r="A51" s="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96" t="s">
        <v>76</v>
      </c>
      <c r="P51" s="96">
        <f t="shared" ref="P51:Q51" si="6">C43</f>
        <v>1</v>
      </c>
      <c r="Q51" s="96">
        <f t="shared" si="6"/>
        <v>0</v>
      </c>
      <c r="R51" s="96" t="s">
        <v>77</v>
      </c>
      <c r="S51" s="97">
        <f t="shared" si="7"/>
        <v>2</v>
      </c>
    </row>
    <row r="52" ht="15.75" customHeight="1">
      <c r="A52" s="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96" t="s">
        <v>78</v>
      </c>
      <c r="P52" s="96">
        <f t="shared" ref="P52:Q52" si="8">C44</f>
        <v>1</v>
      </c>
      <c r="Q52" s="96">
        <f t="shared" si="8"/>
        <v>0</v>
      </c>
      <c r="R52" s="96" t="s">
        <v>79</v>
      </c>
      <c r="S52" s="97">
        <f t="shared" si="7"/>
        <v>1</v>
      </c>
    </row>
    <row r="53" ht="15.75" customHeight="1">
      <c r="A53" s="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96"/>
      <c r="P53" s="96"/>
      <c r="Q53" s="96"/>
      <c r="R53" s="96" t="s">
        <v>81</v>
      </c>
      <c r="S53" s="97">
        <f t="shared" si="7"/>
        <v>0</v>
      </c>
    </row>
    <row r="54" ht="15.75" customHeight="1">
      <c r="A54" s="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1"/>
    </row>
    <row r="55" ht="15.75" customHeight="1">
      <c r="A55" s="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1"/>
    </row>
    <row r="56" ht="15.75" customHeight="1">
      <c r="A56" s="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1"/>
    </row>
    <row r="57" ht="15.75" customHeight="1">
      <c r="A57" s="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1"/>
    </row>
    <row r="58" ht="15.75" customHeight="1">
      <c r="A58" s="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1"/>
    </row>
    <row r="59" ht="15.75" customHeight="1">
      <c r="A59" s="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1"/>
    </row>
    <row r="60" ht="15.75" customHeight="1">
      <c r="A60" s="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1"/>
    </row>
    <row r="61" ht="15.75" customHeight="1">
      <c r="A61" s="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ht="15.75" customHeight="1">
      <c r="A63" s="1"/>
      <c r="B63" s="98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ht="15.75" customHeight="1">
      <c r="A66" s="1"/>
      <c r="B66" s="100" t="s">
        <v>86</v>
      </c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11"/>
      <c r="S66" s="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O5:P5"/>
    <mergeCell ref="O6:P6"/>
    <mergeCell ref="B1:R2"/>
    <mergeCell ref="B5:C5"/>
    <mergeCell ref="E5:F5"/>
    <mergeCell ref="J5:K5"/>
    <mergeCell ref="B6:C6"/>
    <mergeCell ref="J6:K6"/>
    <mergeCell ref="B7:C7"/>
    <mergeCell ref="L33:M33"/>
    <mergeCell ref="L34:M34"/>
    <mergeCell ref="L35:M35"/>
    <mergeCell ref="J40:R40"/>
    <mergeCell ref="B66:R66"/>
    <mergeCell ref="J7:K7"/>
    <mergeCell ref="O7:P7"/>
    <mergeCell ref="J9:M9"/>
    <mergeCell ref="J21:M21"/>
    <mergeCell ref="J30:M30"/>
    <mergeCell ref="L31:M31"/>
    <mergeCell ref="L32:M32"/>
    <mergeCell ref="B30:F30"/>
    <mergeCell ref="B40:F40"/>
    <mergeCell ref="E6:F6"/>
    <mergeCell ref="E7:F7"/>
    <mergeCell ref="B9:F9"/>
    <mergeCell ref="B17:F17"/>
    <mergeCell ref="B19:E19"/>
    <mergeCell ref="B21:F21"/>
    <mergeCell ref="B26:D26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54.57"/>
    <col customWidth="1" min="4" max="4" width="71.57"/>
  </cols>
  <sheetData>
    <row r="1">
      <c r="A1" s="101" t="s">
        <v>87</v>
      </c>
      <c r="B1" s="101" t="s">
        <v>88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01" t="s">
        <v>89</v>
      </c>
      <c r="B2" s="103" t="s">
        <v>90</v>
      </c>
      <c r="C2" s="102"/>
      <c r="D2" s="104" t="s">
        <v>91</v>
      </c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>
      <c r="A3" s="101" t="s">
        <v>92</v>
      </c>
      <c r="B3" s="103" t="s">
        <v>93</v>
      </c>
      <c r="C3" s="102"/>
      <c r="D3" s="105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>
      <c r="A4" s="101" t="s">
        <v>94</v>
      </c>
      <c r="B4" s="103" t="s">
        <v>95</v>
      </c>
      <c r="C4" s="106"/>
      <c r="D4" s="107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>
      <c r="A5" s="108"/>
      <c r="B5" s="102"/>
      <c r="C5" s="102"/>
      <c r="D5" s="109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>
      <c r="A6" s="101" t="s">
        <v>96</v>
      </c>
      <c r="B6" s="101" t="s">
        <v>97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>
      <c r="A7" s="109"/>
      <c r="B7" s="110" t="s">
        <v>98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>
      <c r="A8" s="110" t="s">
        <v>99</v>
      </c>
      <c r="B8" s="111" t="s">
        <v>100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>
      <c r="A9" s="111" t="s">
        <v>101</v>
      </c>
      <c r="B9" s="111" t="s">
        <v>102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>
      <c r="A10" s="111" t="s">
        <v>103</v>
      </c>
      <c r="B10" s="111" t="s">
        <v>104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>
      <c r="A11" s="111" t="s">
        <v>105</v>
      </c>
      <c r="B11" s="111" t="s">
        <v>106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>
      <c r="A12" s="111" t="s">
        <v>107</v>
      </c>
      <c r="B12" s="111" t="s">
        <v>108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>
      <c r="A13" s="111" t="s">
        <v>109</v>
      </c>
      <c r="B13" s="111" t="s">
        <v>110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>
      <c r="A14" s="111" t="s">
        <v>111</v>
      </c>
      <c r="B14" s="111" t="s">
        <v>112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>
      <c r="A15" s="111" t="s">
        <v>113</v>
      </c>
      <c r="B15" s="111" t="s">
        <v>114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>
      <c r="A16" s="111" t="s">
        <v>115</v>
      </c>
      <c r="B16" s="111" t="s">
        <v>116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>
      <c r="A17" s="111" t="s">
        <v>117</v>
      </c>
      <c r="B17" s="111" t="s">
        <v>118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>
      <c r="A18" s="111" t="s">
        <v>119</v>
      </c>
      <c r="B18" s="111" t="s">
        <v>120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>
      <c r="A19" s="111" t="s">
        <v>121</v>
      </c>
      <c r="B19" s="111" t="s">
        <v>122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>
      <c r="A20" s="111" t="s">
        <v>123</v>
      </c>
      <c r="B20" s="111" t="s">
        <v>124</v>
      </c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>
      <c r="A21" s="111" t="s">
        <v>125</v>
      </c>
      <c r="B21" s="111" t="s">
        <v>126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>
      <c r="A22" s="111" t="s">
        <v>127</v>
      </c>
      <c r="B22" s="111" t="s">
        <v>128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>
      <c r="A23" s="111" t="s">
        <v>129</v>
      </c>
      <c r="B23" s="111" t="s">
        <v>130</v>
      </c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>
      <c r="A24" s="111" t="s">
        <v>131</v>
      </c>
      <c r="B24" s="111" t="s">
        <v>132</v>
      </c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>
      <c r="A25" s="111" t="s">
        <v>133</v>
      </c>
      <c r="B25" s="111" t="s">
        <v>134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>
      <c r="A26" s="111" t="s">
        <v>135</v>
      </c>
      <c r="B26" s="111" t="s">
        <v>136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>
      <c r="A27" s="111" t="s">
        <v>137</v>
      </c>
      <c r="B27" s="111" t="s">
        <v>138</v>
      </c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>
      <c r="A28" s="111" t="s">
        <v>139</v>
      </c>
      <c r="B28" s="111" t="s">
        <v>140</v>
      </c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>
      <c r="A29" s="111" t="s">
        <v>141</v>
      </c>
      <c r="B29" s="111" t="s">
        <v>142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>
      <c r="A30" s="111" t="s">
        <v>143</v>
      </c>
      <c r="B30" s="111" t="s">
        <v>144</v>
      </c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>
      <c r="A31" s="111" t="s">
        <v>145</v>
      </c>
      <c r="B31" s="111" t="s">
        <v>146</v>
      </c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>
      <c r="A32" s="111" t="s">
        <v>147</v>
      </c>
      <c r="B32" s="111" t="s">
        <v>148</v>
      </c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>
      <c r="A33" s="111" t="s">
        <v>149</v>
      </c>
      <c r="B33" s="111" t="s">
        <v>150</v>
      </c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>
      <c r="A34" s="111" t="s">
        <v>151</v>
      </c>
      <c r="B34" s="111" t="s">
        <v>152</v>
      </c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>
      <c r="A35" s="111" t="s">
        <v>153</v>
      </c>
      <c r="B35" s="111" t="s">
        <v>154</v>
      </c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>
      <c r="A36" s="111" t="s">
        <v>155</v>
      </c>
      <c r="B36" s="111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>
      <c r="A41" s="109"/>
      <c r="B41" s="109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>
      <c r="A42" s="109"/>
      <c r="B42" s="109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>
      <c r="A43" s="109"/>
      <c r="B43" s="109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>
      <c r="A44" s="109"/>
      <c r="B44" s="109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>
      <c r="A45" s="109"/>
      <c r="B45" s="109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>
      <c r="A46" s="109"/>
      <c r="B46" s="109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>
      <c r="A47" s="109"/>
      <c r="B47" s="109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>
      <c r="A48" s="109"/>
      <c r="B48" s="109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>
      <c r="A49" s="109"/>
      <c r="B49" s="109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>
      <c r="A50" s="109"/>
      <c r="B50" s="109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>
      <c r="A51" s="109"/>
      <c r="B51" s="109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>
      <c r="A52" s="109"/>
      <c r="B52" s="109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>
      <c r="A53" s="109"/>
      <c r="B53" s="109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>
      <c r="A54" s="109"/>
      <c r="B54" s="109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>
      <c r="A55" s="109"/>
      <c r="B55" s="109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>
      <c r="A56" s="109"/>
      <c r="B56" s="109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>
      <c r="A57" s="109"/>
      <c r="B57" s="109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>
      <c r="A58" s="109"/>
      <c r="B58" s="109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>
      <c r="A59" s="109"/>
      <c r="B59" s="109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>
      <c r="A60" s="109"/>
      <c r="B60" s="109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>
      <c r="A61" s="109"/>
      <c r="B61" s="109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>
      <c r="A62" s="109"/>
      <c r="B62" s="109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>
      <c r="A63" s="109"/>
      <c r="B63" s="109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>
      <c r="A64" s="109"/>
      <c r="B64" s="109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>
      <c r="A65" s="109"/>
      <c r="B65" s="109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>
      <c r="A66" s="109"/>
      <c r="B66" s="109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>
      <c r="A67" s="109"/>
      <c r="B67" s="109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>
      <c r="A68" s="109"/>
      <c r="B68" s="109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>
      <c r="A69" s="109"/>
      <c r="B69" s="109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16.86"/>
    <col customWidth="1" min="3" max="3" width="14.0"/>
    <col customWidth="1" min="4" max="4" width="23.29"/>
    <col customWidth="1" min="5" max="5" width="29.71"/>
    <col customWidth="1" min="6" max="6" width="23.71"/>
    <col customWidth="1" min="7" max="7" width="97.86"/>
    <col customWidth="1" min="8" max="8" width="16.43"/>
    <col customWidth="1" min="9" max="9" width="28.86"/>
    <col customWidth="1" min="10" max="10" width="18.29"/>
    <col customWidth="1" min="11" max="11" width="12.86"/>
    <col customWidth="1" min="12" max="12" width="22.86"/>
    <col customWidth="1" min="13" max="13" width="24.14"/>
    <col customWidth="1" min="14" max="14" width="26.29"/>
    <col customWidth="1" min="15" max="15" width="25.86"/>
    <col customWidth="1" min="16" max="16" width="19.0"/>
    <col customWidth="1" min="17" max="17" width="31.57"/>
    <col customWidth="1" min="18" max="18" width="34.14"/>
    <col customWidth="1" min="19" max="19" width="12.14"/>
    <col customWidth="1" min="20" max="20" width="6.71"/>
    <col customWidth="1" min="21" max="21" width="8.43"/>
    <col customWidth="1" min="22" max="22" width="9.57"/>
    <col customWidth="1" min="23" max="23" width="20.86"/>
    <col customWidth="1" min="24" max="24" width="32.86"/>
    <col customWidth="1" min="25" max="25" width="60.14"/>
    <col customWidth="1" min="26" max="26" width="13.71"/>
    <col customWidth="1" min="27" max="27" width="19.71"/>
    <col customWidth="1" min="28" max="28" width="15.71"/>
    <col customWidth="1" min="29" max="29" width="18.29"/>
    <col customWidth="1" min="30" max="30" width="40.71"/>
    <col customWidth="1" min="31" max="31" width="16.57"/>
    <col customWidth="1" min="32" max="32" width="49.86"/>
    <col customWidth="1" min="33" max="33" width="20.86"/>
    <col customWidth="1" min="34" max="34" width="8.29"/>
    <col customWidth="1" min="35" max="35" width="15.71"/>
    <col customWidth="1" min="36" max="36" width="22.86"/>
    <col customWidth="1" min="37" max="37" width="23.0"/>
    <col customWidth="1" min="38" max="38" width="18.57"/>
    <col customWidth="1" min="40" max="40" width="12.71"/>
    <col customWidth="1" min="41" max="41" width="48.86"/>
    <col customWidth="1" min="42" max="42" width="34.43"/>
    <col customWidth="1" min="43" max="43" width="19.29"/>
    <col customWidth="1" min="44" max="44" width="47.43"/>
    <col customWidth="1" min="45" max="45" width="15.43"/>
    <col customWidth="1" min="46" max="46" width="20.14"/>
    <col customWidth="1" min="47" max="47" width="33.43"/>
    <col customWidth="1" min="48" max="48" width="36.14"/>
    <col customWidth="1" min="49" max="49" width="13.86"/>
    <col customWidth="1" min="50" max="50" width="21.43"/>
    <col customWidth="1" min="51" max="51" width="27.29"/>
    <col customWidth="1" min="52" max="52" width="26.57"/>
    <col customWidth="1" min="53" max="53" width="13.29"/>
    <col customWidth="1" min="54" max="54" width="14.14"/>
    <col customWidth="1" min="55" max="55" width="15.14"/>
    <col customWidth="1" min="56" max="56" width="12.71"/>
    <col customWidth="1" min="57" max="57" width="25.71"/>
    <col customWidth="1" min="58" max="58" width="16.71"/>
    <col customWidth="1" min="59" max="59" width="15.86"/>
    <col customWidth="1" min="60" max="60" width="12.0"/>
    <col customWidth="1" min="61" max="61" width="22.14"/>
    <col customWidth="1" min="62" max="62" width="19.86"/>
    <col customWidth="1" min="63" max="82" width="36.0"/>
  </cols>
  <sheetData>
    <row r="1">
      <c r="A1" s="112" t="s">
        <v>156</v>
      </c>
      <c r="B1" s="112" t="s">
        <v>157</v>
      </c>
      <c r="C1" s="112" t="s">
        <v>158</v>
      </c>
      <c r="D1" s="112" t="s">
        <v>159</v>
      </c>
      <c r="E1" s="112" t="s">
        <v>160</v>
      </c>
      <c r="F1" s="112" t="s">
        <v>161</v>
      </c>
      <c r="G1" s="112" t="s">
        <v>162</v>
      </c>
      <c r="H1" s="112" t="s">
        <v>163</v>
      </c>
      <c r="I1" s="112" t="s">
        <v>164</v>
      </c>
      <c r="J1" s="112" t="s">
        <v>165</v>
      </c>
      <c r="K1" s="112" t="s">
        <v>166</v>
      </c>
      <c r="L1" s="112" t="s">
        <v>167</v>
      </c>
      <c r="M1" s="112" t="s">
        <v>168</v>
      </c>
      <c r="N1" s="112" t="s">
        <v>169</v>
      </c>
      <c r="O1" s="112" t="s">
        <v>170</v>
      </c>
      <c r="P1" s="112" t="s">
        <v>171</v>
      </c>
      <c r="Q1" s="112" t="s">
        <v>172</v>
      </c>
      <c r="R1" s="112" t="s">
        <v>173</v>
      </c>
      <c r="S1" s="112" t="s">
        <v>174</v>
      </c>
      <c r="T1" s="112" t="s">
        <v>175</v>
      </c>
      <c r="U1" s="112" t="s">
        <v>176</v>
      </c>
      <c r="V1" s="112" t="s">
        <v>177</v>
      </c>
      <c r="W1" s="112" t="s">
        <v>178</v>
      </c>
      <c r="X1" s="112" t="s">
        <v>179</v>
      </c>
      <c r="Y1" s="112" t="s">
        <v>180</v>
      </c>
      <c r="Z1" s="113" t="s">
        <v>181</v>
      </c>
      <c r="AA1" s="112" t="s">
        <v>182</v>
      </c>
      <c r="AB1" s="112" t="s">
        <v>183</v>
      </c>
      <c r="AC1" s="113" t="s">
        <v>184</v>
      </c>
      <c r="AD1" s="112" t="s">
        <v>185</v>
      </c>
      <c r="AE1" s="113" t="s">
        <v>186</v>
      </c>
      <c r="AF1" s="112" t="s">
        <v>187</v>
      </c>
      <c r="AG1" s="112" t="s">
        <v>188</v>
      </c>
      <c r="AH1" s="112" t="s">
        <v>189</v>
      </c>
      <c r="AI1" s="112" t="s">
        <v>190</v>
      </c>
      <c r="AJ1" s="112" t="s">
        <v>191</v>
      </c>
      <c r="AK1" s="112" t="s">
        <v>192</v>
      </c>
      <c r="AL1" s="112" t="s">
        <v>193</v>
      </c>
      <c r="AM1" s="112" t="s">
        <v>194</v>
      </c>
      <c r="AN1" s="114" t="s">
        <v>195</v>
      </c>
      <c r="AO1" s="112" t="s">
        <v>196</v>
      </c>
      <c r="AP1" s="112" t="s">
        <v>197</v>
      </c>
      <c r="AQ1" s="113" t="s">
        <v>198</v>
      </c>
      <c r="AR1" s="112" t="s">
        <v>199</v>
      </c>
      <c r="AS1" s="112" t="s">
        <v>200</v>
      </c>
      <c r="AT1" s="112" t="s">
        <v>201</v>
      </c>
      <c r="AU1" s="113" t="s">
        <v>202</v>
      </c>
      <c r="AV1" s="112" t="s">
        <v>203</v>
      </c>
      <c r="AW1" s="112" t="s">
        <v>204</v>
      </c>
      <c r="AX1" s="112" t="s">
        <v>205</v>
      </c>
      <c r="AY1" s="112" t="s">
        <v>206</v>
      </c>
      <c r="AZ1" s="112" t="s">
        <v>207</v>
      </c>
      <c r="BA1" s="112" t="s">
        <v>208</v>
      </c>
      <c r="BB1" s="112" t="s">
        <v>209</v>
      </c>
      <c r="BC1" s="113" t="s">
        <v>210</v>
      </c>
      <c r="BD1" s="112" t="s">
        <v>211</v>
      </c>
      <c r="BE1" s="112" t="s">
        <v>212</v>
      </c>
      <c r="BF1" s="114" t="s">
        <v>213</v>
      </c>
      <c r="BG1" s="113" t="s">
        <v>214</v>
      </c>
      <c r="BH1" s="112" t="s">
        <v>215</v>
      </c>
      <c r="BI1" s="114" t="s">
        <v>216</v>
      </c>
      <c r="BJ1" s="115" t="s">
        <v>217</v>
      </c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</row>
    <row r="2">
      <c r="A2" s="117" t="s">
        <v>218</v>
      </c>
      <c r="B2" s="117" t="s">
        <v>219</v>
      </c>
      <c r="C2" s="117"/>
      <c r="D2" s="118" t="s">
        <v>220</v>
      </c>
      <c r="E2" s="117"/>
      <c r="F2" s="118" t="s">
        <v>221</v>
      </c>
      <c r="G2" s="119" t="s">
        <v>222</v>
      </c>
      <c r="H2" s="117" t="s">
        <v>223</v>
      </c>
      <c r="I2" s="117" t="s">
        <v>223</v>
      </c>
      <c r="J2" s="117" t="s">
        <v>224</v>
      </c>
      <c r="K2" s="117" t="s">
        <v>223</v>
      </c>
      <c r="L2" s="117" t="s">
        <v>223</v>
      </c>
      <c r="M2" s="117" t="s">
        <v>225</v>
      </c>
      <c r="N2" s="117" t="s">
        <v>225</v>
      </c>
      <c r="O2" s="117" t="s">
        <v>223</v>
      </c>
      <c r="P2" s="117">
        <v>2024.0</v>
      </c>
      <c r="Q2" s="120">
        <v>45369.0</v>
      </c>
      <c r="R2" s="121"/>
      <c r="S2" s="117" t="s">
        <v>224</v>
      </c>
      <c r="T2" s="117" t="s">
        <v>226</v>
      </c>
      <c r="U2" s="117" t="s">
        <v>227</v>
      </c>
      <c r="V2" s="117" t="s">
        <v>228</v>
      </c>
      <c r="W2" s="117" t="s">
        <v>229</v>
      </c>
      <c r="X2" s="119" t="s">
        <v>230</v>
      </c>
      <c r="Y2" s="119" t="s">
        <v>231</v>
      </c>
      <c r="Z2" s="122" t="s">
        <v>232</v>
      </c>
      <c r="AA2" s="117" t="s">
        <v>41</v>
      </c>
      <c r="AB2" s="122" t="s">
        <v>232</v>
      </c>
      <c r="AC2" s="123" t="s">
        <v>223</v>
      </c>
      <c r="AD2" s="117" t="s">
        <v>233</v>
      </c>
      <c r="AE2" s="123" t="s">
        <v>223</v>
      </c>
      <c r="AF2" s="117" t="s">
        <v>223</v>
      </c>
      <c r="AG2" s="117" t="s">
        <v>234</v>
      </c>
      <c r="AH2" s="117" t="s">
        <v>233</v>
      </c>
      <c r="AI2" s="117" t="s">
        <v>233</v>
      </c>
      <c r="AJ2" s="117" t="s">
        <v>223</v>
      </c>
      <c r="AK2" s="117" t="s">
        <v>223</v>
      </c>
      <c r="AL2" s="117" t="s">
        <v>223</v>
      </c>
      <c r="AM2" s="117" t="s">
        <v>235</v>
      </c>
      <c r="AN2" s="121">
        <v>45916.0</v>
      </c>
      <c r="AO2" s="117" t="s">
        <v>236</v>
      </c>
      <c r="AP2" s="117" t="s">
        <v>237</v>
      </c>
      <c r="AQ2" s="123">
        <v>120000.0</v>
      </c>
      <c r="AR2" s="117" t="s">
        <v>238</v>
      </c>
      <c r="AS2" s="117" t="s">
        <v>223</v>
      </c>
      <c r="AT2" s="117" t="s">
        <v>223</v>
      </c>
      <c r="AU2" s="123" t="s">
        <v>223</v>
      </c>
      <c r="AV2" s="117" t="s">
        <v>223</v>
      </c>
      <c r="AW2" s="117" t="s">
        <v>223</v>
      </c>
      <c r="AX2" s="117" t="s">
        <v>223</v>
      </c>
      <c r="AY2" s="117" t="s">
        <v>223</v>
      </c>
      <c r="AZ2" s="117" t="s">
        <v>223</v>
      </c>
      <c r="BA2" s="117" t="s">
        <v>223</v>
      </c>
      <c r="BB2" s="117" t="s">
        <v>223</v>
      </c>
      <c r="BC2" s="123" t="s">
        <v>223</v>
      </c>
      <c r="BD2" s="123" t="s">
        <v>223</v>
      </c>
      <c r="BE2" s="123" t="s">
        <v>223</v>
      </c>
      <c r="BF2" s="121">
        <v>46099.0</v>
      </c>
      <c r="BG2" s="123">
        <v>13813.83</v>
      </c>
      <c r="BH2" s="117" t="s">
        <v>223</v>
      </c>
      <c r="BI2" s="117" t="s">
        <v>223</v>
      </c>
      <c r="BJ2" s="124" t="s">
        <v>223</v>
      </c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21"/>
      <c r="R3" s="121"/>
      <c r="S3" s="121"/>
      <c r="T3" s="117"/>
      <c r="U3" s="117"/>
      <c r="V3" s="117"/>
      <c r="W3" s="117"/>
      <c r="X3" s="117"/>
      <c r="Y3" s="117"/>
      <c r="Z3" s="123"/>
      <c r="AA3" s="117"/>
      <c r="AB3" s="123"/>
      <c r="AC3" s="123"/>
      <c r="AD3" s="117"/>
      <c r="AE3" s="123"/>
      <c r="AF3" s="117"/>
      <c r="AG3" s="117"/>
      <c r="AH3" s="117"/>
      <c r="AI3" s="117"/>
      <c r="AJ3" s="117"/>
      <c r="AK3" s="117"/>
      <c r="AL3" s="117"/>
      <c r="AM3" s="117"/>
      <c r="AN3" s="121"/>
      <c r="AO3" s="117"/>
      <c r="AP3" s="117"/>
      <c r="AQ3" s="123"/>
      <c r="AR3" s="117"/>
      <c r="AS3" s="117"/>
      <c r="AT3" s="117"/>
      <c r="AU3" s="123"/>
      <c r="AV3" s="117"/>
      <c r="AW3" s="117"/>
      <c r="AX3" s="117"/>
      <c r="AY3" s="117"/>
      <c r="AZ3" s="117"/>
      <c r="BA3" s="117"/>
      <c r="BB3" s="117"/>
      <c r="BC3" s="123"/>
      <c r="BD3" s="123"/>
      <c r="BE3" s="123"/>
      <c r="BF3" s="121"/>
      <c r="BG3" s="123"/>
      <c r="BH3" s="117"/>
      <c r="BI3" s="117"/>
      <c r="BJ3" s="124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</row>
    <row r="4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6"/>
      <c r="R4" s="126"/>
      <c r="S4" s="121"/>
      <c r="T4" s="125"/>
      <c r="U4" s="125"/>
      <c r="V4" s="125"/>
      <c r="W4" s="125"/>
      <c r="X4" s="125"/>
      <c r="Y4" s="125"/>
      <c r="Z4" s="127"/>
      <c r="AA4" s="125"/>
      <c r="AB4" s="127"/>
      <c r="AC4" s="127" t="s">
        <v>239</v>
      </c>
      <c r="AD4" s="125"/>
      <c r="AE4" s="127"/>
      <c r="AF4" s="125"/>
      <c r="AG4" s="125"/>
      <c r="AH4" s="125"/>
      <c r="AI4" s="125"/>
      <c r="AJ4" s="125"/>
      <c r="AK4" s="125"/>
      <c r="AL4" s="125"/>
      <c r="AM4" s="125"/>
      <c r="AN4" s="126"/>
      <c r="AO4" s="125"/>
      <c r="AP4" s="125"/>
      <c r="AQ4" s="127"/>
      <c r="AR4" s="125"/>
      <c r="AS4" s="125"/>
      <c r="AT4" s="125"/>
      <c r="AU4" s="127"/>
      <c r="AV4" s="125"/>
      <c r="AW4" s="125"/>
      <c r="AX4" s="125"/>
      <c r="AY4" s="125"/>
      <c r="AZ4" s="125"/>
      <c r="BA4" s="125"/>
      <c r="BB4" s="125"/>
      <c r="BC4" s="127"/>
      <c r="BD4" s="127"/>
      <c r="BE4" s="127"/>
      <c r="BF4" s="126"/>
      <c r="BG4" s="127"/>
      <c r="BH4" s="125"/>
      <c r="BI4" s="125"/>
      <c r="BJ4" s="128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</row>
    <row r="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21"/>
      <c r="R5" s="121"/>
      <c r="S5" s="121"/>
      <c r="T5" s="117"/>
      <c r="U5" s="117"/>
      <c r="V5" s="117"/>
      <c r="W5" s="117"/>
      <c r="X5" s="117"/>
      <c r="Y5" s="117"/>
      <c r="Z5" s="123"/>
      <c r="AA5" s="117"/>
      <c r="AB5" s="123"/>
      <c r="AC5" s="123"/>
      <c r="AD5" s="117"/>
      <c r="AE5" s="123"/>
      <c r="AF5" s="117"/>
      <c r="AG5" s="117"/>
      <c r="AH5" s="117"/>
      <c r="AI5" s="117"/>
      <c r="AJ5" s="117"/>
      <c r="AK5" s="117"/>
      <c r="AL5" s="117"/>
      <c r="AM5" s="117"/>
      <c r="AN5" s="121"/>
      <c r="AO5" s="117"/>
      <c r="AP5" s="117"/>
      <c r="AQ5" s="123"/>
      <c r="AR5" s="117"/>
      <c r="AS5" s="117"/>
      <c r="AT5" s="117"/>
      <c r="AU5" s="123"/>
      <c r="AV5" s="117"/>
      <c r="AW5" s="117"/>
      <c r="AX5" s="117"/>
      <c r="AY5" s="117"/>
      <c r="AZ5" s="117"/>
      <c r="BA5" s="117"/>
      <c r="BB5" s="117"/>
      <c r="BC5" s="123"/>
      <c r="BD5" s="123"/>
      <c r="BE5" s="123"/>
      <c r="BF5" s="121"/>
      <c r="BG5" s="123"/>
      <c r="BH5" s="117"/>
      <c r="BI5" s="117"/>
      <c r="BJ5" s="124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</row>
    <row r="6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6"/>
      <c r="R6" s="126"/>
      <c r="S6" s="121"/>
      <c r="T6" s="125"/>
      <c r="U6" s="125"/>
      <c r="V6" s="125"/>
      <c r="W6" s="125"/>
      <c r="X6" s="125"/>
      <c r="Y6" s="125"/>
      <c r="Z6" s="127"/>
      <c r="AA6" s="125"/>
      <c r="AB6" s="127"/>
      <c r="AC6" s="127"/>
      <c r="AD6" s="125"/>
      <c r="AE6" s="127"/>
      <c r="AF6" s="125"/>
      <c r="AG6" s="125"/>
      <c r="AH6" s="125"/>
      <c r="AI6" s="125"/>
      <c r="AJ6" s="125"/>
      <c r="AK6" s="125"/>
      <c r="AL6" s="125"/>
      <c r="AM6" s="125"/>
      <c r="AN6" s="126"/>
      <c r="AO6" s="125"/>
      <c r="AP6" s="125"/>
      <c r="AQ6" s="127"/>
      <c r="AR6" s="125"/>
      <c r="AS6" s="125"/>
      <c r="AT6" s="125"/>
      <c r="AU6" s="127"/>
      <c r="AV6" s="125"/>
      <c r="AW6" s="125"/>
      <c r="AX6" s="125"/>
      <c r="AY6" s="125"/>
      <c r="AZ6" s="125"/>
      <c r="BA6" s="125"/>
      <c r="BB6" s="125"/>
      <c r="BC6" s="127"/>
      <c r="BD6" s="127"/>
      <c r="BE6" s="127"/>
      <c r="BF6" s="126"/>
      <c r="BG6" s="127"/>
      <c r="BH6" s="125"/>
      <c r="BI6" s="125"/>
      <c r="BJ6" s="128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</row>
    <row r="7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21"/>
      <c r="R7" s="121"/>
      <c r="S7" s="121"/>
      <c r="T7" s="117"/>
      <c r="U7" s="117"/>
      <c r="V7" s="117"/>
      <c r="W7" s="117"/>
      <c r="X7" s="117"/>
      <c r="Y7" s="117"/>
      <c r="Z7" s="123"/>
      <c r="AA7" s="117"/>
      <c r="AB7" s="123"/>
      <c r="AC7" s="123"/>
      <c r="AD7" s="117"/>
      <c r="AE7" s="123"/>
      <c r="AF7" s="117"/>
      <c r="AG7" s="117"/>
      <c r="AH7" s="117"/>
      <c r="AI7" s="117"/>
      <c r="AJ7" s="117"/>
      <c r="AK7" s="117"/>
      <c r="AL7" s="117"/>
      <c r="AM7" s="117"/>
      <c r="AN7" s="121"/>
      <c r="AO7" s="117"/>
      <c r="AP7" s="117"/>
      <c r="AQ7" s="123"/>
      <c r="AR7" s="117"/>
      <c r="AS7" s="117"/>
      <c r="AT7" s="117"/>
      <c r="AU7" s="123"/>
      <c r="AV7" s="117"/>
      <c r="AW7" s="117"/>
      <c r="AX7" s="117"/>
      <c r="AY7" s="117"/>
      <c r="AZ7" s="117"/>
      <c r="BA7" s="117"/>
      <c r="BB7" s="117"/>
      <c r="BC7" s="123"/>
      <c r="BD7" s="123"/>
      <c r="BE7" s="123"/>
      <c r="BF7" s="121"/>
      <c r="BG7" s="123"/>
      <c r="BH7" s="117"/>
      <c r="BI7" s="117"/>
      <c r="BJ7" s="124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</row>
    <row r="8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6"/>
      <c r="R8" s="126"/>
      <c r="S8" s="121"/>
      <c r="T8" s="125"/>
      <c r="U8" s="125"/>
      <c r="V8" s="125"/>
      <c r="W8" s="125"/>
      <c r="X8" s="125"/>
      <c r="Y8" s="125"/>
      <c r="Z8" s="127"/>
      <c r="AA8" s="125"/>
      <c r="AB8" s="127"/>
      <c r="AC8" s="127"/>
      <c r="AD8" s="125"/>
      <c r="AE8" s="127"/>
      <c r="AF8" s="125"/>
      <c r="AG8" s="125"/>
      <c r="AH8" s="125"/>
      <c r="AI8" s="125"/>
      <c r="AJ8" s="125"/>
      <c r="AK8" s="125"/>
      <c r="AL8" s="125"/>
      <c r="AM8" s="125"/>
      <c r="AN8" s="126"/>
      <c r="AO8" s="125"/>
      <c r="AP8" s="125"/>
      <c r="AQ8" s="127"/>
      <c r="AR8" s="125"/>
      <c r="AS8" s="125"/>
      <c r="AT8" s="125"/>
      <c r="AU8" s="127"/>
      <c r="AV8" s="125"/>
      <c r="AW8" s="125"/>
      <c r="AX8" s="125"/>
      <c r="AY8" s="125"/>
      <c r="AZ8" s="125"/>
      <c r="BA8" s="125"/>
      <c r="BB8" s="125"/>
      <c r="BC8" s="127"/>
      <c r="BD8" s="127"/>
      <c r="BE8" s="127"/>
      <c r="BF8" s="126"/>
      <c r="BG8" s="127"/>
      <c r="BH8" s="125"/>
      <c r="BI8" s="125"/>
      <c r="BJ8" s="128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</row>
    <row r="9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21"/>
      <c r="R9" s="121"/>
      <c r="S9" s="121"/>
      <c r="T9" s="117"/>
      <c r="U9" s="117"/>
      <c r="V9" s="117"/>
      <c r="W9" s="117"/>
      <c r="X9" s="117"/>
      <c r="Y9" s="117"/>
      <c r="Z9" s="123"/>
      <c r="AA9" s="117"/>
      <c r="AB9" s="123"/>
      <c r="AC9" s="123"/>
      <c r="AD9" s="117"/>
      <c r="AE9" s="123"/>
      <c r="AF9" s="117"/>
      <c r="AG9" s="117"/>
      <c r="AH9" s="117"/>
      <c r="AI9" s="117"/>
      <c r="AJ9" s="117"/>
      <c r="AK9" s="117"/>
      <c r="AL9" s="117"/>
      <c r="AM9" s="117"/>
      <c r="AN9" s="121"/>
      <c r="AO9" s="117"/>
      <c r="AP9" s="117"/>
      <c r="AQ9" s="123"/>
      <c r="AR9" s="117"/>
      <c r="AS9" s="117"/>
      <c r="AT9" s="117"/>
      <c r="AU9" s="123"/>
      <c r="AV9" s="117"/>
      <c r="AW9" s="117"/>
      <c r="AX9" s="117"/>
      <c r="AY9" s="117"/>
      <c r="AZ9" s="117"/>
      <c r="BA9" s="117"/>
      <c r="BB9" s="117"/>
      <c r="BC9" s="123"/>
      <c r="BD9" s="123"/>
      <c r="BE9" s="123"/>
      <c r="BF9" s="121"/>
      <c r="BG9" s="123"/>
      <c r="BH9" s="117"/>
      <c r="BI9" s="117"/>
      <c r="BJ9" s="124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</row>
    <row r="10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6"/>
      <c r="R10" s="126"/>
      <c r="S10" s="121"/>
      <c r="T10" s="125"/>
      <c r="U10" s="125"/>
      <c r="V10" s="125"/>
      <c r="W10" s="125"/>
      <c r="X10" s="125"/>
      <c r="Y10" s="125"/>
      <c r="Z10" s="127"/>
      <c r="AA10" s="125"/>
      <c r="AB10" s="127"/>
      <c r="AC10" s="127"/>
      <c r="AD10" s="125"/>
      <c r="AE10" s="127"/>
      <c r="AF10" s="125"/>
      <c r="AG10" s="125"/>
      <c r="AH10" s="125"/>
      <c r="AI10" s="125"/>
      <c r="AJ10" s="125"/>
      <c r="AK10" s="125"/>
      <c r="AL10" s="125"/>
      <c r="AM10" s="125"/>
      <c r="AN10" s="126"/>
      <c r="AO10" s="125"/>
      <c r="AP10" s="125"/>
      <c r="AQ10" s="127"/>
      <c r="AR10" s="125"/>
      <c r="AS10" s="125"/>
      <c r="AT10" s="125"/>
      <c r="AU10" s="127"/>
      <c r="AV10" s="125"/>
      <c r="AW10" s="125"/>
      <c r="AX10" s="125"/>
      <c r="AY10" s="125"/>
      <c r="AZ10" s="125"/>
      <c r="BA10" s="125"/>
      <c r="BB10" s="125"/>
      <c r="BC10" s="127"/>
      <c r="BD10" s="127"/>
      <c r="BE10" s="127"/>
      <c r="BF10" s="126"/>
      <c r="BG10" s="127"/>
      <c r="BH10" s="125"/>
      <c r="BI10" s="125"/>
      <c r="BJ10" s="128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</row>
    <row r="11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21"/>
      <c r="R11" s="121"/>
      <c r="S11" s="121"/>
      <c r="T11" s="117"/>
      <c r="U11" s="117"/>
      <c r="V11" s="117"/>
      <c r="W11" s="117"/>
      <c r="X11" s="117"/>
      <c r="Y11" s="117"/>
      <c r="Z11" s="123"/>
      <c r="AA11" s="117"/>
      <c r="AB11" s="123"/>
      <c r="AC11" s="123"/>
      <c r="AD11" s="117"/>
      <c r="AE11" s="123"/>
      <c r="AF11" s="117"/>
      <c r="AG11" s="117"/>
      <c r="AH11" s="117"/>
      <c r="AI11" s="117"/>
      <c r="AJ11" s="117"/>
      <c r="AK11" s="117"/>
      <c r="AL11" s="117"/>
      <c r="AM11" s="117"/>
      <c r="AN11" s="121"/>
      <c r="AO11" s="117"/>
      <c r="AP11" s="117"/>
      <c r="AQ11" s="123"/>
      <c r="AR11" s="117"/>
      <c r="AS11" s="117"/>
      <c r="AT11" s="117"/>
      <c r="AU11" s="123"/>
      <c r="AV11" s="117"/>
      <c r="AW11" s="117"/>
      <c r="AX11" s="117"/>
      <c r="AY11" s="117"/>
      <c r="AZ11" s="117"/>
      <c r="BA11" s="117"/>
      <c r="BB11" s="117"/>
      <c r="BC11" s="123"/>
      <c r="BD11" s="123"/>
      <c r="BE11" s="123"/>
      <c r="BF11" s="121"/>
      <c r="BG11" s="123"/>
      <c r="BH11" s="117"/>
      <c r="BI11" s="117"/>
      <c r="BJ11" s="124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</row>
    <row r="12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6"/>
      <c r="R12" s="126"/>
      <c r="S12" s="121"/>
      <c r="T12" s="125"/>
      <c r="U12" s="125"/>
      <c r="V12" s="125"/>
      <c r="W12" s="125"/>
      <c r="X12" s="125"/>
      <c r="Y12" s="125"/>
      <c r="Z12" s="127"/>
      <c r="AA12" s="125"/>
      <c r="AB12" s="127"/>
      <c r="AC12" s="127"/>
      <c r="AD12" s="125"/>
      <c r="AE12" s="127"/>
      <c r="AF12" s="125"/>
      <c r="AG12" s="125"/>
      <c r="AH12" s="125"/>
      <c r="AI12" s="125"/>
      <c r="AJ12" s="125"/>
      <c r="AK12" s="125"/>
      <c r="AL12" s="125"/>
      <c r="AM12" s="125"/>
      <c r="AN12" s="126"/>
      <c r="AO12" s="125"/>
      <c r="AP12" s="125"/>
      <c r="AQ12" s="127"/>
      <c r="AR12" s="125"/>
      <c r="AS12" s="125"/>
      <c r="AT12" s="125"/>
      <c r="AU12" s="127"/>
      <c r="AV12" s="125"/>
      <c r="AW12" s="125"/>
      <c r="AX12" s="125"/>
      <c r="AY12" s="125"/>
      <c r="AZ12" s="125"/>
      <c r="BA12" s="125"/>
      <c r="BB12" s="125"/>
      <c r="BC12" s="127"/>
      <c r="BD12" s="127"/>
      <c r="BE12" s="127"/>
      <c r="BF12" s="126"/>
      <c r="BG12" s="127"/>
      <c r="BH12" s="125"/>
      <c r="BI12" s="125"/>
      <c r="BJ12" s="128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</row>
    <row r="13">
      <c r="A13" s="117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21"/>
      <c r="R13" s="121"/>
      <c r="S13" s="121"/>
      <c r="T13" s="117"/>
      <c r="U13" s="117"/>
      <c r="V13" s="117"/>
      <c r="W13" s="117"/>
      <c r="X13" s="117"/>
      <c r="Y13" s="117"/>
      <c r="Z13" s="123"/>
      <c r="AA13" s="117"/>
      <c r="AB13" s="123"/>
      <c r="AC13" s="123"/>
      <c r="AD13" s="117"/>
      <c r="AE13" s="123"/>
      <c r="AF13" s="117"/>
      <c r="AG13" s="117"/>
      <c r="AH13" s="117"/>
      <c r="AI13" s="117"/>
      <c r="AJ13" s="117"/>
      <c r="AK13" s="117"/>
      <c r="AL13" s="117"/>
      <c r="AM13" s="117"/>
      <c r="AN13" s="121"/>
      <c r="AO13" s="117"/>
      <c r="AP13" s="117"/>
      <c r="AQ13" s="123"/>
      <c r="AR13" s="117"/>
      <c r="AS13" s="117"/>
      <c r="AT13" s="117"/>
      <c r="AU13" s="123"/>
      <c r="AV13" s="117"/>
      <c r="AW13" s="117"/>
      <c r="AX13" s="117"/>
      <c r="AY13" s="117"/>
      <c r="AZ13" s="117"/>
      <c r="BA13" s="117"/>
      <c r="BB13" s="117"/>
      <c r="BC13" s="123"/>
      <c r="BD13" s="123"/>
      <c r="BE13" s="123"/>
      <c r="BF13" s="121"/>
      <c r="BG13" s="123"/>
      <c r="BH13" s="117"/>
      <c r="BI13" s="117"/>
      <c r="BJ13" s="124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</row>
    <row r="14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6"/>
      <c r="R14" s="126"/>
      <c r="S14" s="121"/>
      <c r="T14" s="125"/>
      <c r="U14" s="125"/>
      <c r="V14" s="125"/>
      <c r="W14" s="125"/>
      <c r="X14" s="125"/>
      <c r="Y14" s="125"/>
      <c r="Z14" s="127"/>
      <c r="AA14" s="125"/>
      <c r="AB14" s="127"/>
      <c r="AC14" s="127"/>
      <c r="AD14" s="125"/>
      <c r="AE14" s="127"/>
      <c r="AF14" s="125"/>
      <c r="AG14" s="125"/>
      <c r="AH14" s="125"/>
      <c r="AI14" s="125"/>
      <c r="AJ14" s="125"/>
      <c r="AK14" s="125"/>
      <c r="AL14" s="125"/>
      <c r="AM14" s="125"/>
      <c r="AN14" s="126"/>
      <c r="AO14" s="125"/>
      <c r="AP14" s="125"/>
      <c r="AQ14" s="127"/>
      <c r="AR14" s="125"/>
      <c r="AS14" s="125"/>
      <c r="AT14" s="125"/>
      <c r="AU14" s="127"/>
      <c r="AV14" s="125"/>
      <c r="AW14" s="125"/>
      <c r="AX14" s="125"/>
      <c r="AY14" s="125"/>
      <c r="AZ14" s="125"/>
      <c r="BA14" s="125"/>
      <c r="BB14" s="125"/>
      <c r="BC14" s="127"/>
      <c r="BD14" s="127"/>
      <c r="BE14" s="127"/>
      <c r="BF14" s="126"/>
      <c r="BG14" s="127"/>
      <c r="BH14" s="125"/>
      <c r="BI14" s="125"/>
      <c r="BJ14" s="128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</row>
    <row r="15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21"/>
      <c r="R15" s="121"/>
      <c r="S15" s="121"/>
      <c r="T15" s="117"/>
      <c r="U15" s="117"/>
      <c r="V15" s="117"/>
      <c r="W15" s="117"/>
      <c r="X15" s="117"/>
      <c r="Y15" s="117"/>
      <c r="Z15" s="123"/>
      <c r="AA15" s="117"/>
      <c r="AB15" s="123"/>
      <c r="AC15" s="123"/>
      <c r="AD15" s="117"/>
      <c r="AE15" s="123"/>
      <c r="AF15" s="117"/>
      <c r="AG15" s="117"/>
      <c r="AH15" s="117"/>
      <c r="AI15" s="117"/>
      <c r="AJ15" s="117"/>
      <c r="AK15" s="117"/>
      <c r="AL15" s="117"/>
      <c r="AM15" s="117"/>
      <c r="AN15" s="121"/>
      <c r="AO15" s="117"/>
      <c r="AP15" s="117"/>
      <c r="AQ15" s="123"/>
      <c r="AR15" s="117"/>
      <c r="AS15" s="117"/>
      <c r="AT15" s="117"/>
      <c r="AU15" s="123"/>
      <c r="AV15" s="117"/>
      <c r="AW15" s="117"/>
      <c r="AX15" s="117"/>
      <c r="AY15" s="117"/>
      <c r="AZ15" s="117"/>
      <c r="BA15" s="117"/>
      <c r="BB15" s="117"/>
      <c r="BC15" s="123"/>
      <c r="BD15" s="123"/>
      <c r="BE15" s="123"/>
      <c r="BF15" s="121"/>
      <c r="BG15" s="123"/>
      <c r="BH15" s="117"/>
      <c r="BI15" s="117"/>
      <c r="BJ15" s="124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</row>
    <row r="16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6"/>
      <c r="R16" s="126"/>
      <c r="S16" s="121"/>
      <c r="T16" s="125"/>
      <c r="U16" s="125"/>
      <c r="V16" s="125"/>
      <c r="W16" s="125"/>
      <c r="X16" s="125"/>
      <c r="Y16" s="125"/>
      <c r="Z16" s="127"/>
      <c r="AA16" s="125"/>
      <c r="AB16" s="127"/>
      <c r="AC16" s="127"/>
      <c r="AD16" s="125"/>
      <c r="AE16" s="127"/>
      <c r="AF16" s="125"/>
      <c r="AG16" s="125"/>
      <c r="AH16" s="125"/>
      <c r="AI16" s="125"/>
      <c r="AJ16" s="125"/>
      <c r="AK16" s="125"/>
      <c r="AL16" s="125"/>
      <c r="AM16" s="125"/>
      <c r="AN16" s="126"/>
      <c r="AO16" s="125"/>
      <c r="AP16" s="125"/>
      <c r="AQ16" s="127"/>
      <c r="AR16" s="125"/>
      <c r="AS16" s="125"/>
      <c r="AT16" s="125"/>
      <c r="AU16" s="127"/>
      <c r="AV16" s="125"/>
      <c r="AW16" s="125"/>
      <c r="AX16" s="125"/>
      <c r="AY16" s="125"/>
      <c r="AZ16" s="125"/>
      <c r="BA16" s="125"/>
      <c r="BB16" s="125"/>
      <c r="BC16" s="127"/>
      <c r="BD16" s="127"/>
      <c r="BE16" s="127"/>
      <c r="BF16" s="126"/>
      <c r="BG16" s="127"/>
      <c r="BH16" s="125"/>
      <c r="BI16" s="125"/>
      <c r="BJ16" s="128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</row>
    <row r="17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21"/>
      <c r="R17" s="121"/>
      <c r="S17" s="121"/>
      <c r="T17" s="117"/>
      <c r="U17" s="117"/>
      <c r="V17" s="117"/>
      <c r="W17" s="117"/>
      <c r="X17" s="117"/>
      <c r="Y17" s="117"/>
      <c r="Z17" s="123"/>
      <c r="AA17" s="117"/>
      <c r="AB17" s="123"/>
      <c r="AC17" s="123"/>
      <c r="AD17" s="117"/>
      <c r="AE17" s="123"/>
      <c r="AF17" s="117"/>
      <c r="AG17" s="117"/>
      <c r="AH17" s="117"/>
      <c r="AI17" s="117"/>
      <c r="AJ17" s="117"/>
      <c r="AK17" s="117"/>
      <c r="AL17" s="117"/>
      <c r="AM17" s="117"/>
      <c r="AN17" s="121"/>
      <c r="AO17" s="117"/>
      <c r="AP17" s="117"/>
      <c r="AQ17" s="123"/>
      <c r="AR17" s="117"/>
      <c r="AS17" s="117"/>
      <c r="AT17" s="117"/>
      <c r="AU17" s="123"/>
      <c r="AV17" s="117"/>
      <c r="AW17" s="117"/>
      <c r="AX17" s="117"/>
      <c r="AY17" s="117"/>
      <c r="AZ17" s="117"/>
      <c r="BA17" s="117"/>
      <c r="BB17" s="117"/>
      <c r="BC17" s="123"/>
      <c r="BD17" s="123"/>
      <c r="BE17" s="123"/>
      <c r="BF17" s="121"/>
      <c r="BG17" s="123"/>
      <c r="BH17" s="117"/>
      <c r="BI17" s="117"/>
      <c r="BJ17" s="124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</row>
    <row r="18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6"/>
      <c r="R18" s="126"/>
      <c r="S18" s="121"/>
      <c r="T18" s="125"/>
      <c r="U18" s="125"/>
      <c r="V18" s="125"/>
      <c r="W18" s="125"/>
      <c r="X18" s="125"/>
      <c r="Y18" s="125"/>
      <c r="Z18" s="127"/>
      <c r="AA18" s="125"/>
      <c r="AB18" s="127"/>
      <c r="AC18" s="127"/>
      <c r="AD18" s="125"/>
      <c r="AE18" s="127"/>
      <c r="AF18" s="125"/>
      <c r="AG18" s="125"/>
      <c r="AH18" s="125"/>
      <c r="AI18" s="125"/>
      <c r="AJ18" s="125"/>
      <c r="AK18" s="125"/>
      <c r="AL18" s="125"/>
      <c r="AM18" s="125"/>
      <c r="AN18" s="126"/>
      <c r="AO18" s="125"/>
      <c r="AP18" s="125"/>
      <c r="AQ18" s="127"/>
      <c r="AR18" s="125"/>
      <c r="AS18" s="125"/>
      <c r="AT18" s="125"/>
      <c r="AU18" s="127"/>
      <c r="AV18" s="125"/>
      <c r="AW18" s="125"/>
      <c r="AX18" s="125"/>
      <c r="AY18" s="125"/>
      <c r="AZ18" s="125"/>
      <c r="BA18" s="125"/>
      <c r="BB18" s="125"/>
      <c r="BC18" s="127"/>
      <c r="BD18" s="127"/>
      <c r="BE18" s="127"/>
      <c r="BF18" s="126"/>
      <c r="BG18" s="127"/>
      <c r="BH18" s="125"/>
      <c r="BI18" s="125"/>
      <c r="BJ18" s="128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</row>
    <row r="19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21"/>
      <c r="R19" s="121"/>
      <c r="S19" s="121"/>
      <c r="T19" s="117"/>
      <c r="U19" s="117"/>
      <c r="V19" s="117"/>
      <c r="W19" s="117"/>
      <c r="X19" s="117"/>
      <c r="Y19" s="117"/>
      <c r="Z19" s="123"/>
      <c r="AA19" s="117"/>
      <c r="AB19" s="123"/>
      <c r="AC19" s="123"/>
      <c r="AD19" s="117"/>
      <c r="AE19" s="123"/>
      <c r="AF19" s="117"/>
      <c r="AG19" s="117"/>
      <c r="AH19" s="117"/>
      <c r="AI19" s="117"/>
      <c r="AJ19" s="117"/>
      <c r="AK19" s="117"/>
      <c r="AL19" s="117"/>
      <c r="AM19" s="117"/>
      <c r="AN19" s="121"/>
      <c r="AO19" s="117"/>
      <c r="AP19" s="117"/>
      <c r="AQ19" s="123"/>
      <c r="AR19" s="117"/>
      <c r="AS19" s="117"/>
      <c r="AT19" s="117"/>
      <c r="AU19" s="123"/>
      <c r="AV19" s="117"/>
      <c r="AW19" s="117"/>
      <c r="AX19" s="117"/>
      <c r="AY19" s="117"/>
      <c r="AZ19" s="117"/>
      <c r="BA19" s="117"/>
      <c r="BB19" s="117"/>
      <c r="BC19" s="123"/>
      <c r="BD19" s="123"/>
      <c r="BE19" s="123"/>
      <c r="BF19" s="121"/>
      <c r="BG19" s="123"/>
      <c r="BH19" s="117"/>
      <c r="BI19" s="117"/>
      <c r="BJ19" s="124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</row>
    <row r="20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6"/>
      <c r="R20" s="126"/>
      <c r="S20" s="121"/>
      <c r="T20" s="125"/>
      <c r="U20" s="125"/>
      <c r="V20" s="125"/>
      <c r="W20" s="125"/>
      <c r="X20" s="125"/>
      <c r="Y20" s="125"/>
      <c r="Z20" s="127"/>
      <c r="AA20" s="125"/>
      <c r="AB20" s="127"/>
      <c r="AC20" s="127"/>
      <c r="AD20" s="125"/>
      <c r="AE20" s="127"/>
      <c r="AF20" s="125"/>
      <c r="AG20" s="125"/>
      <c r="AH20" s="125"/>
      <c r="AI20" s="125"/>
      <c r="AJ20" s="125"/>
      <c r="AK20" s="125"/>
      <c r="AL20" s="125"/>
      <c r="AM20" s="125"/>
      <c r="AN20" s="126"/>
      <c r="AO20" s="125"/>
      <c r="AP20" s="125"/>
      <c r="AQ20" s="127"/>
      <c r="AR20" s="125"/>
      <c r="AS20" s="125"/>
      <c r="AT20" s="125"/>
      <c r="AU20" s="127"/>
      <c r="AV20" s="125"/>
      <c r="AW20" s="125"/>
      <c r="AX20" s="125"/>
      <c r="AY20" s="125"/>
      <c r="AZ20" s="125"/>
      <c r="BA20" s="125"/>
      <c r="BB20" s="125"/>
      <c r="BC20" s="127"/>
      <c r="BD20" s="127"/>
      <c r="BE20" s="127"/>
      <c r="BF20" s="126"/>
      <c r="BG20" s="127"/>
      <c r="BH20" s="125"/>
      <c r="BI20" s="125"/>
      <c r="BJ20" s="128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</row>
    <row r="21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21"/>
      <c r="R21" s="121"/>
      <c r="S21" s="121"/>
      <c r="T21" s="117"/>
      <c r="U21" s="117"/>
      <c r="V21" s="117"/>
      <c r="W21" s="117"/>
      <c r="X21" s="117"/>
      <c r="Y21" s="117"/>
      <c r="Z21" s="123"/>
      <c r="AA21" s="117"/>
      <c r="AB21" s="123"/>
      <c r="AC21" s="123"/>
      <c r="AD21" s="117"/>
      <c r="AE21" s="123"/>
      <c r="AF21" s="117"/>
      <c r="AG21" s="117"/>
      <c r="AH21" s="117"/>
      <c r="AI21" s="117"/>
      <c r="AJ21" s="117"/>
      <c r="AK21" s="117"/>
      <c r="AL21" s="117"/>
      <c r="AM21" s="117"/>
      <c r="AN21" s="121"/>
      <c r="AO21" s="117"/>
      <c r="AP21" s="117"/>
      <c r="AQ21" s="123"/>
      <c r="AR21" s="117"/>
      <c r="AS21" s="117"/>
      <c r="AT21" s="117"/>
      <c r="AU21" s="123"/>
      <c r="AV21" s="117"/>
      <c r="AW21" s="117"/>
      <c r="AX21" s="117"/>
      <c r="AY21" s="117"/>
      <c r="AZ21" s="117"/>
      <c r="BA21" s="117"/>
      <c r="BB21" s="117"/>
      <c r="BC21" s="123"/>
      <c r="BD21" s="123"/>
      <c r="BE21" s="123"/>
      <c r="BF21" s="121"/>
      <c r="BG21" s="123"/>
      <c r="BH21" s="117"/>
      <c r="BI21" s="117"/>
      <c r="BJ21" s="124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</row>
    <row r="22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6"/>
      <c r="R22" s="126"/>
      <c r="S22" s="121"/>
      <c r="T22" s="125"/>
      <c r="U22" s="125"/>
      <c r="V22" s="125"/>
      <c r="W22" s="125"/>
      <c r="X22" s="125"/>
      <c r="Y22" s="125"/>
      <c r="Z22" s="127"/>
      <c r="AA22" s="125"/>
      <c r="AB22" s="127"/>
      <c r="AC22" s="127"/>
      <c r="AD22" s="125"/>
      <c r="AE22" s="127"/>
      <c r="AF22" s="125"/>
      <c r="AG22" s="125"/>
      <c r="AH22" s="125"/>
      <c r="AI22" s="125"/>
      <c r="AJ22" s="125"/>
      <c r="AK22" s="125"/>
      <c r="AL22" s="125"/>
      <c r="AM22" s="125"/>
      <c r="AN22" s="126"/>
      <c r="AO22" s="125"/>
      <c r="AP22" s="125"/>
      <c r="AQ22" s="127"/>
      <c r="AR22" s="125"/>
      <c r="AS22" s="125"/>
      <c r="AT22" s="125"/>
      <c r="AU22" s="127"/>
      <c r="AV22" s="125"/>
      <c r="AW22" s="125"/>
      <c r="AX22" s="125"/>
      <c r="AY22" s="125"/>
      <c r="AZ22" s="125"/>
      <c r="BA22" s="125"/>
      <c r="BB22" s="125"/>
      <c r="BC22" s="127"/>
      <c r="BD22" s="127"/>
      <c r="BE22" s="127"/>
      <c r="BF22" s="126"/>
      <c r="BG22" s="127"/>
      <c r="BH22" s="125"/>
      <c r="BI22" s="125"/>
      <c r="BJ22" s="128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</row>
    <row r="23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21"/>
      <c r="R23" s="121"/>
      <c r="S23" s="121"/>
      <c r="T23" s="117"/>
      <c r="U23" s="117"/>
      <c r="V23" s="117"/>
      <c r="W23" s="117"/>
      <c r="X23" s="117"/>
      <c r="Y23" s="117"/>
      <c r="Z23" s="123"/>
      <c r="AA23" s="117"/>
      <c r="AB23" s="123"/>
      <c r="AC23" s="123"/>
      <c r="AD23" s="117"/>
      <c r="AE23" s="123"/>
      <c r="AF23" s="117"/>
      <c r="AG23" s="117"/>
      <c r="AH23" s="117"/>
      <c r="AI23" s="117"/>
      <c r="AJ23" s="117"/>
      <c r="AK23" s="117"/>
      <c r="AL23" s="117"/>
      <c r="AM23" s="117"/>
      <c r="AN23" s="121"/>
      <c r="AO23" s="117"/>
      <c r="AP23" s="117"/>
      <c r="AQ23" s="123"/>
      <c r="AR23" s="117"/>
      <c r="AS23" s="117"/>
      <c r="AT23" s="117"/>
      <c r="AU23" s="123"/>
      <c r="AV23" s="117"/>
      <c r="AW23" s="117"/>
      <c r="AX23" s="117"/>
      <c r="AY23" s="117"/>
      <c r="AZ23" s="117"/>
      <c r="BA23" s="117"/>
      <c r="BB23" s="117"/>
      <c r="BC23" s="123"/>
      <c r="BD23" s="123"/>
      <c r="BE23" s="123"/>
      <c r="BF23" s="121"/>
      <c r="BG23" s="123"/>
      <c r="BH23" s="117"/>
      <c r="BI23" s="117"/>
      <c r="BJ23" s="124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</row>
    <row r="2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6"/>
      <c r="R24" s="126"/>
      <c r="S24" s="121"/>
      <c r="T24" s="125"/>
      <c r="U24" s="125"/>
      <c r="V24" s="125"/>
      <c r="W24" s="125"/>
      <c r="X24" s="125"/>
      <c r="Y24" s="125"/>
      <c r="Z24" s="127"/>
      <c r="AA24" s="125"/>
      <c r="AB24" s="127"/>
      <c r="AC24" s="127"/>
      <c r="AD24" s="125"/>
      <c r="AE24" s="127"/>
      <c r="AF24" s="125"/>
      <c r="AG24" s="125"/>
      <c r="AH24" s="125"/>
      <c r="AI24" s="125"/>
      <c r="AJ24" s="125"/>
      <c r="AK24" s="125"/>
      <c r="AL24" s="125"/>
      <c r="AM24" s="125"/>
      <c r="AN24" s="126"/>
      <c r="AO24" s="125"/>
      <c r="AP24" s="125"/>
      <c r="AQ24" s="127"/>
      <c r="AR24" s="125"/>
      <c r="AS24" s="125"/>
      <c r="AT24" s="125"/>
      <c r="AU24" s="127"/>
      <c r="AV24" s="125"/>
      <c r="AW24" s="125"/>
      <c r="AX24" s="125"/>
      <c r="AY24" s="125"/>
      <c r="AZ24" s="125"/>
      <c r="BA24" s="125"/>
      <c r="BB24" s="125"/>
      <c r="BC24" s="127"/>
      <c r="BD24" s="127"/>
      <c r="BE24" s="127"/>
      <c r="BF24" s="126"/>
      <c r="BG24" s="127"/>
      <c r="BH24" s="125"/>
      <c r="BI24" s="125"/>
      <c r="BJ24" s="128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</row>
    <row r="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21"/>
      <c r="R25" s="121"/>
      <c r="S25" s="121"/>
      <c r="T25" s="117"/>
      <c r="U25" s="117"/>
      <c r="V25" s="117"/>
      <c r="W25" s="117"/>
      <c r="X25" s="117"/>
      <c r="Y25" s="117"/>
      <c r="Z25" s="123"/>
      <c r="AA25" s="117"/>
      <c r="AB25" s="123"/>
      <c r="AC25" s="123"/>
      <c r="AD25" s="117"/>
      <c r="AE25" s="123"/>
      <c r="AF25" s="117"/>
      <c r="AG25" s="117"/>
      <c r="AH25" s="117"/>
      <c r="AI25" s="117"/>
      <c r="AJ25" s="117"/>
      <c r="AK25" s="117"/>
      <c r="AL25" s="117"/>
      <c r="AM25" s="117"/>
      <c r="AN25" s="121"/>
      <c r="AO25" s="117"/>
      <c r="AP25" s="117"/>
      <c r="AQ25" s="123"/>
      <c r="AR25" s="117"/>
      <c r="AS25" s="117"/>
      <c r="AT25" s="117"/>
      <c r="AU25" s="123"/>
      <c r="AV25" s="117"/>
      <c r="AW25" s="117"/>
      <c r="AX25" s="117"/>
      <c r="AY25" s="117"/>
      <c r="AZ25" s="117"/>
      <c r="BA25" s="117"/>
      <c r="BB25" s="117"/>
      <c r="BC25" s="123"/>
      <c r="BD25" s="123"/>
      <c r="BE25" s="123"/>
      <c r="BF25" s="121"/>
      <c r="BG25" s="123"/>
      <c r="BH25" s="117"/>
      <c r="BI25" s="117"/>
      <c r="BJ25" s="124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</row>
    <row r="26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6"/>
      <c r="R26" s="126"/>
      <c r="S26" s="121"/>
      <c r="T26" s="125"/>
      <c r="U26" s="125"/>
      <c r="V26" s="125"/>
      <c r="W26" s="125"/>
      <c r="X26" s="125"/>
      <c r="Y26" s="125"/>
      <c r="Z26" s="127"/>
      <c r="AA26" s="125"/>
      <c r="AB26" s="127"/>
      <c r="AC26" s="127"/>
      <c r="AD26" s="125"/>
      <c r="AE26" s="127"/>
      <c r="AF26" s="125"/>
      <c r="AG26" s="125"/>
      <c r="AH26" s="125"/>
      <c r="AI26" s="125"/>
      <c r="AJ26" s="125"/>
      <c r="AK26" s="125"/>
      <c r="AL26" s="125"/>
      <c r="AM26" s="125"/>
      <c r="AN26" s="126"/>
      <c r="AO26" s="125"/>
      <c r="AP26" s="125"/>
      <c r="AQ26" s="127"/>
      <c r="AR26" s="125"/>
      <c r="AS26" s="125"/>
      <c r="AT26" s="125"/>
      <c r="AU26" s="127"/>
      <c r="AV26" s="125"/>
      <c r="AW26" s="125"/>
      <c r="AX26" s="125"/>
      <c r="AY26" s="125"/>
      <c r="AZ26" s="125"/>
      <c r="BA26" s="125"/>
      <c r="BB26" s="125"/>
      <c r="BC26" s="127"/>
      <c r="BD26" s="127"/>
      <c r="BE26" s="127"/>
      <c r="BF26" s="126"/>
      <c r="BG26" s="127"/>
      <c r="BH26" s="125"/>
      <c r="BI26" s="125"/>
      <c r="BJ26" s="128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29"/>
      <c r="CB26" s="129"/>
      <c r="CC26" s="129"/>
      <c r="CD26" s="129"/>
    </row>
    <row r="27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21"/>
      <c r="R27" s="121"/>
      <c r="S27" s="121"/>
      <c r="T27" s="117"/>
      <c r="U27" s="117"/>
      <c r="V27" s="117"/>
      <c r="W27" s="117"/>
      <c r="X27" s="117"/>
      <c r="Y27" s="117"/>
      <c r="Z27" s="123"/>
      <c r="AA27" s="117"/>
      <c r="AB27" s="123"/>
      <c r="AC27" s="123"/>
      <c r="AD27" s="117"/>
      <c r="AE27" s="123"/>
      <c r="AF27" s="117"/>
      <c r="AG27" s="117"/>
      <c r="AH27" s="117"/>
      <c r="AI27" s="117"/>
      <c r="AJ27" s="117"/>
      <c r="AK27" s="117"/>
      <c r="AL27" s="117"/>
      <c r="AM27" s="117"/>
      <c r="AN27" s="121"/>
      <c r="AO27" s="117"/>
      <c r="AP27" s="117"/>
      <c r="AQ27" s="123"/>
      <c r="AR27" s="117"/>
      <c r="AS27" s="117"/>
      <c r="AT27" s="117"/>
      <c r="AU27" s="123"/>
      <c r="AV27" s="117"/>
      <c r="AW27" s="117"/>
      <c r="AX27" s="117"/>
      <c r="AY27" s="117"/>
      <c r="AZ27" s="117"/>
      <c r="BA27" s="117"/>
      <c r="BB27" s="117"/>
      <c r="BC27" s="123"/>
      <c r="BD27" s="123"/>
      <c r="BE27" s="123"/>
      <c r="BF27" s="121"/>
      <c r="BG27" s="123"/>
      <c r="BH27" s="117"/>
      <c r="BI27" s="117"/>
      <c r="BJ27" s="124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129"/>
      <c r="CB27" s="129"/>
      <c r="CC27" s="129"/>
      <c r="CD27" s="129"/>
    </row>
    <row r="28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  <c r="R28" s="126"/>
      <c r="S28" s="121"/>
      <c r="T28" s="125"/>
      <c r="U28" s="125"/>
      <c r="V28" s="125"/>
      <c r="W28" s="125"/>
      <c r="X28" s="125"/>
      <c r="Y28" s="125"/>
      <c r="Z28" s="127"/>
      <c r="AA28" s="125"/>
      <c r="AB28" s="127"/>
      <c r="AC28" s="127"/>
      <c r="AD28" s="125"/>
      <c r="AE28" s="127"/>
      <c r="AF28" s="125"/>
      <c r="AG28" s="125"/>
      <c r="AH28" s="125"/>
      <c r="AI28" s="125"/>
      <c r="AJ28" s="125"/>
      <c r="AK28" s="125"/>
      <c r="AL28" s="125"/>
      <c r="AM28" s="125"/>
      <c r="AN28" s="126"/>
      <c r="AO28" s="125"/>
      <c r="AP28" s="125"/>
      <c r="AQ28" s="127"/>
      <c r="AR28" s="125"/>
      <c r="AS28" s="125"/>
      <c r="AT28" s="125"/>
      <c r="AU28" s="127"/>
      <c r="AV28" s="125"/>
      <c r="AW28" s="125"/>
      <c r="AX28" s="125"/>
      <c r="AY28" s="125"/>
      <c r="AZ28" s="125"/>
      <c r="BA28" s="125"/>
      <c r="BB28" s="125"/>
      <c r="BC28" s="127"/>
      <c r="BD28" s="127"/>
      <c r="BE28" s="127"/>
      <c r="BF28" s="126"/>
      <c r="BG28" s="127"/>
      <c r="BH28" s="125"/>
      <c r="BI28" s="125"/>
      <c r="BJ28" s="128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</row>
    <row r="29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21"/>
      <c r="R29" s="121"/>
      <c r="S29" s="121"/>
      <c r="T29" s="117"/>
      <c r="U29" s="117"/>
      <c r="V29" s="117"/>
      <c r="W29" s="117"/>
      <c r="X29" s="117"/>
      <c r="Y29" s="117"/>
      <c r="Z29" s="123"/>
      <c r="AA29" s="117"/>
      <c r="AB29" s="123"/>
      <c r="AC29" s="123"/>
      <c r="AD29" s="117"/>
      <c r="AE29" s="123"/>
      <c r="AF29" s="117"/>
      <c r="AG29" s="117"/>
      <c r="AH29" s="117"/>
      <c r="AI29" s="117"/>
      <c r="AJ29" s="117"/>
      <c r="AK29" s="117"/>
      <c r="AL29" s="117"/>
      <c r="AM29" s="117"/>
      <c r="AN29" s="121"/>
      <c r="AO29" s="117"/>
      <c r="AP29" s="117"/>
      <c r="AQ29" s="123"/>
      <c r="AR29" s="117"/>
      <c r="AS29" s="117"/>
      <c r="AT29" s="117"/>
      <c r="AU29" s="123"/>
      <c r="AV29" s="117"/>
      <c r="AW29" s="117"/>
      <c r="AX29" s="117"/>
      <c r="AY29" s="117"/>
      <c r="AZ29" s="117"/>
      <c r="BA29" s="117"/>
      <c r="BB29" s="117"/>
      <c r="BC29" s="123"/>
      <c r="BD29" s="123"/>
      <c r="BE29" s="123"/>
      <c r="BF29" s="121"/>
      <c r="BG29" s="123"/>
      <c r="BH29" s="117"/>
      <c r="BI29" s="117"/>
      <c r="BJ29" s="124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29"/>
      <c r="CB29" s="129"/>
      <c r="CC29" s="129"/>
      <c r="CD29" s="129"/>
    </row>
    <row r="30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6"/>
      <c r="R30" s="126"/>
      <c r="S30" s="121"/>
      <c r="T30" s="125"/>
      <c r="U30" s="125"/>
      <c r="V30" s="125"/>
      <c r="W30" s="125"/>
      <c r="X30" s="125"/>
      <c r="Y30" s="125"/>
      <c r="Z30" s="127"/>
      <c r="AA30" s="125"/>
      <c r="AB30" s="127"/>
      <c r="AC30" s="127"/>
      <c r="AD30" s="125"/>
      <c r="AE30" s="127"/>
      <c r="AF30" s="125"/>
      <c r="AG30" s="125"/>
      <c r="AH30" s="125"/>
      <c r="AI30" s="125"/>
      <c r="AJ30" s="125"/>
      <c r="AK30" s="125"/>
      <c r="AL30" s="125"/>
      <c r="AM30" s="125"/>
      <c r="AN30" s="126"/>
      <c r="AO30" s="125"/>
      <c r="AP30" s="125"/>
      <c r="AQ30" s="127"/>
      <c r="AR30" s="125"/>
      <c r="AS30" s="125"/>
      <c r="AT30" s="125"/>
      <c r="AU30" s="127"/>
      <c r="AV30" s="125"/>
      <c r="AW30" s="125"/>
      <c r="AX30" s="125"/>
      <c r="AY30" s="125"/>
      <c r="AZ30" s="125"/>
      <c r="BA30" s="125"/>
      <c r="BB30" s="125"/>
      <c r="BC30" s="127"/>
      <c r="BD30" s="127"/>
      <c r="BE30" s="127"/>
      <c r="BF30" s="126"/>
      <c r="BG30" s="127"/>
      <c r="BH30" s="125"/>
      <c r="BI30" s="125"/>
      <c r="BJ30" s="128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129"/>
      <c r="CB30" s="129"/>
      <c r="CC30" s="129"/>
      <c r="CD30" s="129"/>
    </row>
    <row r="3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21"/>
      <c r="R31" s="121"/>
      <c r="S31" s="121"/>
      <c r="T31" s="117"/>
      <c r="U31" s="117"/>
      <c r="V31" s="117"/>
      <c r="W31" s="117"/>
      <c r="X31" s="117"/>
      <c r="Y31" s="117"/>
      <c r="Z31" s="123"/>
      <c r="AA31" s="117"/>
      <c r="AB31" s="123"/>
      <c r="AC31" s="123"/>
      <c r="AD31" s="117"/>
      <c r="AE31" s="123"/>
      <c r="AF31" s="117"/>
      <c r="AG31" s="117"/>
      <c r="AH31" s="117"/>
      <c r="AI31" s="117"/>
      <c r="AJ31" s="117"/>
      <c r="AK31" s="117"/>
      <c r="AL31" s="117"/>
      <c r="AM31" s="117"/>
      <c r="AN31" s="121"/>
      <c r="AO31" s="117"/>
      <c r="AP31" s="117"/>
      <c r="AQ31" s="123"/>
      <c r="AR31" s="117"/>
      <c r="AS31" s="117"/>
      <c r="AT31" s="117"/>
      <c r="AU31" s="123"/>
      <c r="AV31" s="117"/>
      <c r="AW31" s="117"/>
      <c r="AX31" s="117"/>
      <c r="AY31" s="117"/>
      <c r="AZ31" s="117"/>
      <c r="BA31" s="117"/>
      <c r="BB31" s="117"/>
      <c r="BC31" s="123"/>
      <c r="BD31" s="123"/>
      <c r="BE31" s="123"/>
      <c r="BF31" s="121"/>
      <c r="BG31" s="123"/>
      <c r="BH31" s="117"/>
      <c r="BI31" s="117"/>
      <c r="BJ31" s="124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</row>
    <row r="32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6"/>
      <c r="R32" s="126"/>
      <c r="S32" s="121"/>
      <c r="T32" s="125"/>
      <c r="U32" s="125"/>
      <c r="V32" s="125"/>
      <c r="W32" s="125"/>
      <c r="X32" s="125"/>
      <c r="Y32" s="125"/>
      <c r="Z32" s="127"/>
      <c r="AA32" s="125"/>
      <c r="AB32" s="127"/>
      <c r="AC32" s="127"/>
      <c r="AD32" s="125"/>
      <c r="AE32" s="127"/>
      <c r="AF32" s="125"/>
      <c r="AG32" s="125"/>
      <c r="AH32" s="125"/>
      <c r="AI32" s="125"/>
      <c r="AJ32" s="125"/>
      <c r="AK32" s="125"/>
      <c r="AL32" s="125"/>
      <c r="AM32" s="125"/>
      <c r="AN32" s="126"/>
      <c r="AO32" s="125"/>
      <c r="AP32" s="125"/>
      <c r="AQ32" s="127"/>
      <c r="AR32" s="125"/>
      <c r="AS32" s="125"/>
      <c r="AT32" s="125"/>
      <c r="AU32" s="127"/>
      <c r="AV32" s="125"/>
      <c r="AW32" s="125"/>
      <c r="AX32" s="125"/>
      <c r="AY32" s="125"/>
      <c r="AZ32" s="125"/>
      <c r="BA32" s="125"/>
      <c r="BB32" s="125"/>
      <c r="BC32" s="127"/>
      <c r="BD32" s="127"/>
      <c r="BE32" s="127"/>
      <c r="BF32" s="126"/>
      <c r="BG32" s="127"/>
      <c r="BH32" s="125"/>
      <c r="BI32" s="125"/>
      <c r="BJ32" s="128"/>
      <c r="BK32" s="129"/>
      <c r="BL32" s="129"/>
      <c r="BM32" s="129"/>
      <c r="BN32" s="129"/>
      <c r="BO32" s="129"/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129"/>
      <c r="CA32" s="129"/>
      <c r="CB32" s="129"/>
      <c r="CC32" s="129"/>
      <c r="CD32" s="129"/>
    </row>
    <row r="3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21"/>
      <c r="R33" s="121"/>
      <c r="S33" s="121"/>
      <c r="T33" s="117"/>
      <c r="U33" s="117"/>
      <c r="V33" s="117"/>
      <c r="W33" s="117"/>
      <c r="X33" s="117"/>
      <c r="Y33" s="117"/>
      <c r="Z33" s="123"/>
      <c r="AA33" s="117"/>
      <c r="AB33" s="123"/>
      <c r="AC33" s="123"/>
      <c r="AD33" s="117"/>
      <c r="AE33" s="123"/>
      <c r="AF33" s="117"/>
      <c r="AG33" s="117"/>
      <c r="AH33" s="117"/>
      <c r="AI33" s="117"/>
      <c r="AJ33" s="117"/>
      <c r="AK33" s="117"/>
      <c r="AL33" s="117"/>
      <c r="AM33" s="117"/>
      <c r="AN33" s="121"/>
      <c r="AO33" s="117"/>
      <c r="AP33" s="117"/>
      <c r="AQ33" s="123"/>
      <c r="AR33" s="117"/>
      <c r="AS33" s="117"/>
      <c r="AT33" s="117"/>
      <c r="AU33" s="123"/>
      <c r="AV33" s="117"/>
      <c r="AW33" s="117"/>
      <c r="AX33" s="117"/>
      <c r="AY33" s="117"/>
      <c r="AZ33" s="117"/>
      <c r="BA33" s="117"/>
      <c r="BB33" s="117"/>
      <c r="BC33" s="123"/>
      <c r="BD33" s="123"/>
      <c r="BE33" s="123"/>
      <c r="BF33" s="121"/>
      <c r="BG33" s="123"/>
      <c r="BH33" s="117"/>
      <c r="BI33" s="117"/>
      <c r="BJ33" s="124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</row>
    <row r="3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6"/>
      <c r="R34" s="126"/>
      <c r="S34" s="121"/>
      <c r="T34" s="125"/>
      <c r="U34" s="125"/>
      <c r="V34" s="125"/>
      <c r="W34" s="125"/>
      <c r="X34" s="125"/>
      <c r="Y34" s="125"/>
      <c r="Z34" s="127"/>
      <c r="AA34" s="125"/>
      <c r="AB34" s="127"/>
      <c r="AC34" s="127"/>
      <c r="AD34" s="125"/>
      <c r="AE34" s="127"/>
      <c r="AF34" s="125"/>
      <c r="AG34" s="125"/>
      <c r="AH34" s="125"/>
      <c r="AI34" s="125"/>
      <c r="AJ34" s="125"/>
      <c r="AK34" s="125"/>
      <c r="AL34" s="125"/>
      <c r="AM34" s="125"/>
      <c r="AN34" s="126"/>
      <c r="AO34" s="125"/>
      <c r="AP34" s="125"/>
      <c r="AQ34" s="127"/>
      <c r="AR34" s="125"/>
      <c r="AS34" s="125"/>
      <c r="AT34" s="125"/>
      <c r="AU34" s="127"/>
      <c r="AV34" s="125"/>
      <c r="AW34" s="125"/>
      <c r="AX34" s="125"/>
      <c r="AY34" s="125"/>
      <c r="AZ34" s="125"/>
      <c r="BA34" s="125"/>
      <c r="BB34" s="125"/>
      <c r="BC34" s="127"/>
      <c r="BD34" s="127"/>
      <c r="BE34" s="127"/>
      <c r="BF34" s="126"/>
      <c r="BG34" s="127"/>
      <c r="BH34" s="125"/>
      <c r="BI34" s="125"/>
      <c r="BJ34" s="128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</row>
    <row r="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21"/>
      <c r="R35" s="121"/>
      <c r="S35" s="121"/>
      <c r="T35" s="117"/>
      <c r="U35" s="117"/>
      <c r="V35" s="117"/>
      <c r="W35" s="117"/>
      <c r="X35" s="117"/>
      <c r="Y35" s="117"/>
      <c r="Z35" s="123"/>
      <c r="AA35" s="117"/>
      <c r="AB35" s="123"/>
      <c r="AC35" s="123"/>
      <c r="AD35" s="117"/>
      <c r="AE35" s="123"/>
      <c r="AF35" s="117"/>
      <c r="AG35" s="117"/>
      <c r="AH35" s="117"/>
      <c r="AI35" s="117"/>
      <c r="AJ35" s="117"/>
      <c r="AK35" s="117"/>
      <c r="AL35" s="117"/>
      <c r="AM35" s="117"/>
      <c r="AN35" s="121"/>
      <c r="AO35" s="117"/>
      <c r="AP35" s="117"/>
      <c r="AQ35" s="123"/>
      <c r="AR35" s="117"/>
      <c r="AS35" s="117"/>
      <c r="AT35" s="117"/>
      <c r="AU35" s="123"/>
      <c r="AV35" s="117"/>
      <c r="AW35" s="117"/>
      <c r="AX35" s="117"/>
      <c r="AY35" s="117"/>
      <c r="AZ35" s="117"/>
      <c r="BA35" s="117"/>
      <c r="BB35" s="117"/>
      <c r="BC35" s="123"/>
      <c r="BD35" s="123"/>
      <c r="BE35" s="123"/>
      <c r="BF35" s="121"/>
      <c r="BG35" s="123"/>
      <c r="BH35" s="117"/>
      <c r="BI35" s="117"/>
      <c r="BJ35" s="124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</row>
    <row r="36">
      <c r="A36" s="125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6"/>
      <c r="R36" s="126"/>
      <c r="S36" s="121"/>
      <c r="T36" s="125"/>
      <c r="U36" s="125"/>
      <c r="V36" s="125"/>
      <c r="W36" s="125"/>
      <c r="X36" s="125"/>
      <c r="Y36" s="125"/>
      <c r="Z36" s="127"/>
      <c r="AA36" s="125"/>
      <c r="AB36" s="127"/>
      <c r="AC36" s="127"/>
      <c r="AD36" s="125"/>
      <c r="AE36" s="127"/>
      <c r="AF36" s="125"/>
      <c r="AG36" s="125"/>
      <c r="AH36" s="125"/>
      <c r="AI36" s="125"/>
      <c r="AJ36" s="125"/>
      <c r="AK36" s="125"/>
      <c r="AL36" s="125"/>
      <c r="AM36" s="125"/>
      <c r="AN36" s="126"/>
      <c r="AO36" s="125"/>
      <c r="AP36" s="125"/>
      <c r="AQ36" s="127"/>
      <c r="AR36" s="125"/>
      <c r="AS36" s="125"/>
      <c r="AT36" s="125"/>
      <c r="AU36" s="127"/>
      <c r="AV36" s="125"/>
      <c r="AW36" s="125"/>
      <c r="AX36" s="125"/>
      <c r="AY36" s="125"/>
      <c r="AZ36" s="125"/>
      <c r="BA36" s="125"/>
      <c r="BB36" s="125"/>
      <c r="BC36" s="127"/>
      <c r="BD36" s="127"/>
      <c r="BE36" s="127"/>
      <c r="BF36" s="126"/>
      <c r="BG36" s="127"/>
      <c r="BH36" s="125"/>
      <c r="BI36" s="125"/>
      <c r="BJ36" s="128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</row>
    <row r="37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21"/>
      <c r="R37" s="121"/>
      <c r="S37" s="121"/>
      <c r="T37" s="117"/>
      <c r="U37" s="117"/>
      <c r="V37" s="117"/>
      <c r="W37" s="117"/>
      <c r="X37" s="117"/>
      <c r="Y37" s="117"/>
      <c r="Z37" s="123"/>
      <c r="AA37" s="117"/>
      <c r="AB37" s="123"/>
      <c r="AC37" s="123"/>
      <c r="AD37" s="117"/>
      <c r="AE37" s="123"/>
      <c r="AF37" s="117"/>
      <c r="AG37" s="117"/>
      <c r="AH37" s="117"/>
      <c r="AI37" s="117"/>
      <c r="AJ37" s="117"/>
      <c r="AK37" s="117"/>
      <c r="AL37" s="117"/>
      <c r="AM37" s="117"/>
      <c r="AN37" s="121"/>
      <c r="AO37" s="117"/>
      <c r="AP37" s="117"/>
      <c r="AQ37" s="123"/>
      <c r="AR37" s="117"/>
      <c r="AS37" s="117"/>
      <c r="AT37" s="117"/>
      <c r="AU37" s="123"/>
      <c r="AV37" s="117"/>
      <c r="AW37" s="117"/>
      <c r="AX37" s="117"/>
      <c r="AY37" s="117"/>
      <c r="AZ37" s="117"/>
      <c r="BA37" s="117"/>
      <c r="BB37" s="117"/>
      <c r="BC37" s="123"/>
      <c r="BD37" s="123"/>
      <c r="BE37" s="123"/>
      <c r="BF37" s="121"/>
      <c r="BG37" s="123"/>
      <c r="BH37" s="117"/>
      <c r="BI37" s="117"/>
      <c r="BJ37" s="124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116"/>
      <c r="CB37" s="116"/>
      <c r="CC37" s="116"/>
      <c r="CD37" s="116"/>
    </row>
    <row r="38">
      <c r="A38" s="125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6"/>
      <c r="R38" s="126"/>
      <c r="S38" s="121"/>
      <c r="T38" s="125"/>
      <c r="U38" s="125"/>
      <c r="V38" s="125"/>
      <c r="W38" s="125"/>
      <c r="X38" s="125"/>
      <c r="Y38" s="125"/>
      <c r="Z38" s="127"/>
      <c r="AA38" s="125"/>
      <c r="AB38" s="127"/>
      <c r="AC38" s="127"/>
      <c r="AD38" s="125"/>
      <c r="AE38" s="127"/>
      <c r="AF38" s="125"/>
      <c r="AG38" s="125"/>
      <c r="AH38" s="125"/>
      <c r="AI38" s="125"/>
      <c r="AJ38" s="125"/>
      <c r="AK38" s="125"/>
      <c r="AL38" s="125"/>
      <c r="AM38" s="125"/>
      <c r="AN38" s="126"/>
      <c r="AO38" s="125"/>
      <c r="AP38" s="125"/>
      <c r="AQ38" s="127"/>
      <c r="AR38" s="125"/>
      <c r="AS38" s="125"/>
      <c r="AT38" s="125"/>
      <c r="AU38" s="127"/>
      <c r="AV38" s="125"/>
      <c r="AW38" s="125"/>
      <c r="AX38" s="125"/>
      <c r="AY38" s="125"/>
      <c r="AZ38" s="125"/>
      <c r="BA38" s="125"/>
      <c r="BB38" s="125"/>
      <c r="BC38" s="127"/>
      <c r="BD38" s="127"/>
      <c r="BE38" s="127"/>
      <c r="BF38" s="126"/>
      <c r="BG38" s="127"/>
      <c r="BH38" s="125"/>
      <c r="BI38" s="125"/>
      <c r="BJ38" s="128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21"/>
      <c r="R39" s="121"/>
      <c r="S39" s="121"/>
      <c r="T39" s="117"/>
      <c r="U39" s="117"/>
      <c r="V39" s="117"/>
      <c r="W39" s="117"/>
      <c r="X39" s="117"/>
      <c r="Y39" s="117"/>
      <c r="Z39" s="123"/>
      <c r="AA39" s="117"/>
      <c r="AB39" s="123"/>
      <c r="AC39" s="123"/>
      <c r="AD39" s="117"/>
      <c r="AE39" s="123"/>
      <c r="AF39" s="117"/>
      <c r="AG39" s="117"/>
      <c r="AH39" s="117"/>
      <c r="AI39" s="117"/>
      <c r="AJ39" s="117"/>
      <c r="AK39" s="117"/>
      <c r="AL39" s="117"/>
      <c r="AM39" s="117"/>
      <c r="AN39" s="121"/>
      <c r="AO39" s="117"/>
      <c r="AP39" s="117"/>
      <c r="AQ39" s="123"/>
      <c r="AR39" s="117"/>
      <c r="AS39" s="117"/>
      <c r="AT39" s="117"/>
      <c r="AU39" s="123"/>
      <c r="AV39" s="117"/>
      <c r="AW39" s="117"/>
      <c r="AX39" s="117"/>
      <c r="AY39" s="117"/>
      <c r="AZ39" s="117"/>
      <c r="BA39" s="117"/>
      <c r="BB39" s="117"/>
      <c r="BC39" s="123"/>
      <c r="BD39" s="123"/>
      <c r="BE39" s="123"/>
      <c r="BF39" s="121"/>
      <c r="BG39" s="123"/>
      <c r="BH39" s="117"/>
      <c r="BI39" s="117"/>
      <c r="BJ39" s="124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116"/>
      <c r="CB39" s="116"/>
      <c r="CC39" s="116"/>
      <c r="CD39" s="116"/>
    </row>
    <row r="40">
      <c r="A40" s="125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6"/>
      <c r="R40" s="126"/>
      <c r="S40" s="121"/>
      <c r="T40" s="125"/>
      <c r="U40" s="125"/>
      <c r="V40" s="125"/>
      <c r="W40" s="125"/>
      <c r="X40" s="125"/>
      <c r="Y40" s="125"/>
      <c r="Z40" s="127"/>
      <c r="AA40" s="125"/>
      <c r="AB40" s="127"/>
      <c r="AC40" s="127"/>
      <c r="AD40" s="125"/>
      <c r="AE40" s="127"/>
      <c r="AF40" s="125"/>
      <c r="AG40" s="125"/>
      <c r="AH40" s="125"/>
      <c r="AI40" s="125"/>
      <c r="AJ40" s="125"/>
      <c r="AK40" s="125"/>
      <c r="AL40" s="125"/>
      <c r="AM40" s="125"/>
      <c r="AN40" s="126"/>
      <c r="AO40" s="125"/>
      <c r="AP40" s="125"/>
      <c r="AQ40" s="127"/>
      <c r="AR40" s="125"/>
      <c r="AS40" s="125"/>
      <c r="AT40" s="125"/>
      <c r="AU40" s="127"/>
      <c r="AV40" s="125"/>
      <c r="AW40" s="125"/>
      <c r="AX40" s="125"/>
      <c r="AY40" s="125"/>
      <c r="AZ40" s="125"/>
      <c r="BA40" s="125"/>
      <c r="BB40" s="125"/>
      <c r="BC40" s="127"/>
      <c r="BD40" s="127"/>
      <c r="BE40" s="127"/>
      <c r="BF40" s="126"/>
      <c r="BG40" s="127"/>
      <c r="BH40" s="125"/>
      <c r="BI40" s="125"/>
      <c r="BJ40" s="128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116"/>
      <c r="CB40" s="116"/>
      <c r="CC40" s="116"/>
      <c r="CD40" s="116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21"/>
      <c r="R41" s="121"/>
      <c r="S41" s="121"/>
      <c r="T41" s="117"/>
      <c r="U41" s="117"/>
      <c r="V41" s="117"/>
      <c r="W41" s="117"/>
      <c r="X41" s="117"/>
      <c r="Y41" s="117"/>
      <c r="Z41" s="123"/>
      <c r="AA41" s="117"/>
      <c r="AB41" s="123"/>
      <c r="AC41" s="123"/>
      <c r="AD41" s="117"/>
      <c r="AE41" s="123"/>
      <c r="AF41" s="117"/>
      <c r="AG41" s="117"/>
      <c r="AH41" s="117"/>
      <c r="AI41" s="117"/>
      <c r="AJ41" s="117"/>
      <c r="AK41" s="117"/>
      <c r="AL41" s="117"/>
      <c r="AM41" s="117"/>
      <c r="AN41" s="121"/>
      <c r="AO41" s="117"/>
      <c r="AP41" s="117"/>
      <c r="AQ41" s="123"/>
      <c r="AR41" s="117"/>
      <c r="AS41" s="117"/>
      <c r="AT41" s="117"/>
      <c r="AU41" s="123"/>
      <c r="AV41" s="117"/>
      <c r="AW41" s="117"/>
      <c r="AX41" s="117"/>
      <c r="AY41" s="117"/>
      <c r="AZ41" s="117"/>
      <c r="BA41" s="117"/>
      <c r="BB41" s="117"/>
      <c r="BC41" s="123"/>
      <c r="BD41" s="123"/>
      <c r="BE41" s="123"/>
      <c r="BF41" s="121"/>
      <c r="BG41" s="123"/>
      <c r="BH41" s="117"/>
      <c r="BI41" s="117"/>
      <c r="BJ41" s="124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116"/>
      <c r="CB41" s="116"/>
      <c r="CC41" s="116"/>
      <c r="CD41" s="116"/>
    </row>
    <row r="42">
      <c r="A42" s="125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6"/>
      <c r="R42" s="126"/>
      <c r="S42" s="121"/>
      <c r="T42" s="125"/>
      <c r="U42" s="125"/>
      <c r="V42" s="125"/>
      <c r="W42" s="125"/>
      <c r="X42" s="125"/>
      <c r="Y42" s="125"/>
      <c r="Z42" s="127"/>
      <c r="AA42" s="125"/>
      <c r="AB42" s="127"/>
      <c r="AC42" s="127"/>
      <c r="AD42" s="125"/>
      <c r="AE42" s="127"/>
      <c r="AF42" s="125"/>
      <c r="AG42" s="125"/>
      <c r="AH42" s="125"/>
      <c r="AI42" s="125"/>
      <c r="AJ42" s="125"/>
      <c r="AK42" s="125"/>
      <c r="AL42" s="125"/>
      <c r="AM42" s="125"/>
      <c r="AN42" s="126"/>
      <c r="AO42" s="125"/>
      <c r="AP42" s="125"/>
      <c r="AQ42" s="127"/>
      <c r="AR42" s="125"/>
      <c r="AS42" s="125"/>
      <c r="AT42" s="125"/>
      <c r="AU42" s="127"/>
      <c r="AV42" s="125"/>
      <c r="AW42" s="125"/>
      <c r="AX42" s="125"/>
      <c r="AY42" s="125"/>
      <c r="AZ42" s="125"/>
      <c r="BA42" s="125"/>
      <c r="BB42" s="125"/>
      <c r="BC42" s="127"/>
      <c r="BD42" s="127"/>
      <c r="BE42" s="127"/>
      <c r="BF42" s="126"/>
      <c r="BG42" s="127"/>
      <c r="BH42" s="125"/>
      <c r="BI42" s="125"/>
      <c r="BJ42" s="128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116"/>
      <c r="CB42" s="116"/>
      <c r="CC42" s="116"/>
      <c r="CD42" s="116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21"/>
      <c r="R43" s="121"/>
      <c r="S43" s="121"/>
      <c r="T43" s="117"/>
      <c r="U43" s="117"/>
      <c r="V43" s="117"/>
      <c r="W43" s="117"/>
      <c r="X43" s="117"/>
      <c r="Y43" s="117"/>
      <c r="Z43" s="123"/>
      <c r="AA43" s="117"/>
      <c r="AB43" s="123"/>
      <c r="AC43" s="123"/>
      <c r="AD43" s="117"/>
      <c r="AE43" s="123"/>
      <c r="AF43" s="117"/>
      <c r="AG43" s="117"/>
      <c r="AH43" s="117"/>
      <c r="AI43" s="117"/>
      <c r="AJ43" s="117"/>
      <c r="AK43" s="117"/>
      <c r="AL43" s="117"/>
      <c r="AM43" s="117"/>
      <c r="AN43" s="121"/>
      <c r="AO43" s="117"/>
      <c r="AP43" s="117"/>
      <c r="AQ43" s="123"/>
      <c r="AR43" s="117"/>
      <c r="AS43" s="117"/>
      <c r="AT43" s="117"/>
      <c r="AU43" s="123"/>
      <c r="AV43" s="117"/>
      <c r="AW43" s="117"/>
      <c r="AX43" s="117"/>
      <c r="AY43" s="117"/>
      <c r="AZ43" s="117"/>
      <c r="BA43" s="117"/>
      <c r="BB43" s="117"/>
      <c r="BC43" s="123"/>
      <c r="BD43" s="123"/>
      <c r="BE43" s="123"/>
      <c r="BF43" s="121"/>
      <c r="BG43" s="123"/>
      <c r="BH43" s="117"/>
      <c r="BI43" s="117"/>
      <c r="BJ43" s="124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  <c r="BX43" s="116"/>
      <c r="BY43" s="116"/>
      <c r="BZ43" s="116"/>
      <c r="CA43" s="116"/>
      <c r="CB43" s="116"/>
      <c r="CC43" s="116"/>
      <c r="CD43" s="116"/>
    </row>
    <row r="44">
      <c r="A44" s="125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6"/>
      <c r="R44" s="126"/>
      <c r="S44" s="121"/>
      <c r="T44" s="125"/>
      <c r="U44" s="125"/>
      <c r="V44" s="125"/>
      <c r="W44" s="125"/>
      <c r="X44" s="125"/>
      <c r="Y44" s="125"/>
      <c r="Z44" s="127"/>
      <c r="AA44" s="125"/>
      <c r="AB44" s="127"/>
      <c r="AC44" s="127"/>
      <c r="AD44" s="125"/>
      <c r="AE44" s="127"/>
      <c r="AF44" s="125"/>
      <c r="AG44" s="125"/>
      <c r="AH44" s="125"/>
      <c r="AI44" s="125"/>
      <c r="AJ44" s="125"/>
      <c r="AK44" s="125"/>
      <c r="AL44" s="125"/>
      <c r="AM44" s="125"/>
      <c r="AN44" s="126"/>
      <c r="AO44" s="125"/>
      <c r="AP44" s="125"/>
      <c r="AQ44" s="127"/>
      <c r="AR44" s="125"/>
      <c r="AS44" s="125"/>
      <c r="AT44" s="125"/>
      <c r="AU44" s="127"/>
      <c r="AV44" s="125"/>
      <c r="AW44" s="125"/>
      <c r="AX44" s="125"/>
      <c r="AY44" s="125"/>
      <c r="AZ44" s="125"/>
      <c r="BA44" s="125"/>
      <c r="BB44" s="125"/>
      <c r="BC44" s="127"/>
      <c r="BD44" s="127"/>
      <c r="BE44" s="127"/>
      <c r="BF44" s="126"/>
      <c r="BG44" s="127"/>
      <c r="BH44" s="125"/>
      <c r="BI44" s="125"/>
      <c r="BJ44" s="128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116"/>
      <c r="CB44" s="116"/>
      <c r="CC44" s="116"/>
      <c r="CD44" s="116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21"/>
      <c r="R45" s="121"/>
      <c r="S45" s="121"/>
      <c r="T45" s="117"/>
      <c r="U45" s="117"/>
      <c r="V45" s="117"/>
      <c r="W45" s="117"/>
      <c r="X45" s="117"/>
      <c r="Y45" s="117"/>
      <c r="Z45" s="123"/>
      <c r="AA45" s="117"/>
      <c r="AB45" s="123"/>
      <c r="AC45" s="123"/>
      <c r="AD45" s="117"/>
      <c r="AE45" s="123"/>
      <c r="AF45" s="117"/>
      <c r="AG45" s="117"/>
      <c r="AH45" s="117"/>
      <c r="AI45" s="117"/>
      <c r="AJ45" s="117"/>
      <c r="AK45" s="117"/>
      <c r="AL45" s="117"/>
      <c r="AM45" s="117"/>
      <c r="AN45" s="121"/>
      <c r="AO45" s="117"/>
      <c r="AP45" s="117"/>
      <c r="AQ45" s="123"/>
      <c r="AR45" s="117"/>
      <c r="AS45" s="117"/>
      <c r="AT45" s="117"/>
      <c r="AU45" s="123"/>
      <c r="AV45" s="117"/>
      <c r="AW45" s="117"/>
      <c r="AX45" s="117"/>
      <c r="AY45" s="117"/>
      <c r="AZ45" s="117"/>
      <c r="BA45" s="117"/>
      <c r="BB45" s="117"/>
      <c r="BC45" s="123"/>
      <c r="BD45" s="123"/>
      <c r="BE45" s="123"/>
      <c r="BF45" s="121"/>
      <c r="BG45" s="123"/>
      <c r="BH45" s="117"/>
      <c r="BI45" s="117"/>
      <c r="BJ45" s="124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</row>
    <row r="46">
      <c r="A46" s="125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6"/>
      <c r="R46" s="126"/>
      <c r="S46" s="121"/>
      <c r="T46" s="125"/>
      <c r="U46" s="125"/>
      <c r="V46" s="125"/>
      <c r="W46" s="125"/>
      <c r="X46" s="125"/>
      <c r="Y46" s="125"/>
      <c r="Z46" s="127"/>
      <c r="AA46" s="125"/>
      <c r="AB46" s="127"/>
      <c r="AC46" s="127"/>
      <c r="AD46" s="125"/>
      <c r="AE46" s="127"/>
      <c r="AF46" s="125"/>
      <c r="AG46" s="125"/>
      <c r="AH46" s="125"/>
      <c r="AI46" s="125"/>
      <c r="AJ46" s="125"/>
      <c r="AK46" s="125"/>
      <c r="AL46" s="125"/>
      <c r="AM46" s="125"/>
      <c r="AN46" s="126"/>
      <c r="AO46" s="125"/>
      <c r="AP46" s="125"/>
      <c r="AQ46" s="127"/>
      <c r="AR46" s="125"/>
      <c r="AS46" s="125"/>
      <c r="AT46" s="125"/>
      <c r="AU46" s="127"/>
      <c r="AV46" s="125"/>
      <c r="AW46" s="125"/>
      <c r="AX46" s="125"/>
      <c r="AY46" s="125"/>
      <c r="AZ46" s="125"/>
      <c r="BA46" s="125"/>
      <c r="BB46" s="125"/>
      <c r="BC46" s="127"/>
      <c r="BD46" s="127"/>
      <c r="BE46" s="127"/>
      <c r="BF46" s="126"/>
      <c r="BG46" s="127"/>
      <c r="BH46" s="125"/>
      <c r="BI46" s="125"/>
      <c r="BJ46" s="128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21"/>
      <c r="R47" s="121"/>
      <c r="S47" s="121"/>
      <c r="T47" s="117"/>
      <c r="U47" s="117"/>
      <c r="V47" s="117"/>
      <c r="W47" s="117"/>
      <c r="X47" s="117"/>
      <c r="Y47" s="117"/>
      <c r="Z47" s="123"/>
      <c r="AA47" s="117"/>
      <c r="AB47" s="123"/>
      <c r="AC47" s="123"/>
      <c r="AD47" s="117"/>
      <c r="AE47" s="123"/>
      <c r="AF47" s="117"/>
      <c r="AG47" s="117"/>
      <c r="AH47" s="117"/>
      <c r="AI47" s="117"/>
      <c r="AJ47" s="117"/>
      <c r="AK47" s="117"/>
      <c r="AL47" s="117"/>
      <c r="AM47" s="117"/>
      <c r="AN47" s="121"/>
      <c r="AO47" s="117"/>
      <c r="AP47" s="117"/>
      <c r="AQ47" s="123"/>
      <c r="AR47" s="117"/>
      <c r="AS47" s="117"/>
      <c r="AT47" s="117"/>
      <c r="AU47" s="123"/>
      <c r="AV47" s="117"/>
      <c r="AW47" s="117"/>
      <c r="AX47" s="117"/>
      <c r="AY47" s="117"/>
      <c r="AZ47" s="117"/>
      <c r="BA47" s="117"/>
      <c r="BB47" s="117"/>
      <c r="BC47" s="123"/>
      <c r="BD47" s="123"/>
      <c r="BE47" s="123"/>
      <c r="BF47" s="121"/>
      <c r="BG47" s="123"/>
      <c r="BH47" s="117"/>
      <c r="BI47" s="117"/>
      <c r="BJ47" s="124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116"/>
      <c r="CB47" s="116"/>
      <c r="CC47" s="116"/>
      <c r="CD47" s="116"/>
    </row>
    <row r="48">
      <c r="A48" s="125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6"/>
      <c r="R48" s="126"/>
      <c r="S48" s="121"/>
      <c r="T48" s="125"/>
      <c r="U48" s="125"/>
      <c r="V48" s="125"/>
      <c r="W48" s="125"/>
      <c r="X48" s="125"/>
      <c r="Y48" s="125"/>
      <c r="Z48" s="127"/>
      <c r="AA48" s="125"/>
      <c r="AB48" s="127"/>
      <c r="AC48" s="127"/>
      <c r="AD48" s="125"/>
      <c r="AE48" s="127"/>
      <c r="AF48" s="125"/>
      <c r="AG48" s="125"/>
      <c r="AH48" s="125"/>
      <c r="AI48" s="125"/>
      <c r="AJ48" s="125"/>
      <c r="AK48" s="125"/>
      <c r="AL48" s="125"/>
      <c r="AM48" s="125"/>
      <c r="AN48" s="126"/>
      <c r="AO48" s="125"/>
      <c r="AP48" s="125"/>
      <c r="AQ48" s="127"/>
      <c r="AR48" s="125"/>
      <c r="AS48" s="125"/>
      <c r="AT48" s="125"/>
      <c r="AU48" s="127"/>
      <c r="AV48" s="125"/>
      <c r="AW48" s="125"/>
      <c r="AX48" s="125"/>
      <c r="AY48" s="125"/>
      <c r="AZ48" s="125"/>
      <c r="BA48" s="125"/>
      <c r="BB48" s="125"/>
      <c r="BC48" s="127"/>
      <c r="BD48" s="127"/>
      <c r="BE48" s="127"/>
      <c r="BF48" s="126"/>
      <c r="BG48" s="127"/>
      <c r="BH48" s="125"/>
      <c r="BI48" s="125"/>
      <c r="BJ48" s="128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116"/>
      <c r="CB48" s="116"/>
      <c r="CC48" s="116"/>
      <c r="CD48" s="116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21"/>
      <c r="R49" s="121"/>
      <c r="S49" s="121"/>
      <c r="T49" s="117"/>
      <c r="U49" s="117"/>
      <c r="V49" s="117"/>
      <c r="W49" s="117"/>
      <c r="X49" s="117"/>
      <c r="Y49" s="117"/>
      <c r="Z49" s="123"/>
      <c r="AA49" s="117"/>
      <c r="AB49" s="123"/>
      <c r="AC49" s="123"/>
      <c r="AD49" s="117"/>
      <c r="AE49" s="123"/>
      <c r="AF49" s="117"/>
      <c r="AG49" s="117"/>
      <c r="AH49" s="117"/>
      <c r="AI49" s="117"/>
      <c r="AJ49" s="117"/>
      <c r="AK49" s="117"/>
      <c r="AL49" s="117"/>
      <c r="AM49" s="117"/>
      <c r="AN49" s="121"/>
      <c r="AO49" s="117"/>
      <c r="AP49" s="117"/>
      <c r="AQ49" s="123"/>
      <c r="AR49" s="117"/>
      <c r="AS49" s="117"/>
      <c r="AT49" s="117"/>
      <c r="AU49" s="123"/>
      <c r="AV49" s="117"/>
      <c r="AW49" s="117"/>
      <c r="AX49" s="117"/>
      <c r="AY49" s="117"/>
      <c r="AZ49" s="117"/>
      <c r="BA49" s="117"/>
      <c r="BB49" s="117"/>
      <c r="BC49" s="123"/>
      <c r="BD49" s="123"/>
      <c r="BE49" s="123"/>
      <c r="BF49" s="121"/>
      <c r="BG49" s="123"/>
      <c r="BH49" s="117"/>
      <c r="BI49" s="117"/>
      <c r="BJ49" s="124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</row>
    <row r="50">
      <c r="A50" s="125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6"/>
      <c r="R50" s="126"/>
      <c r="S50" s="121"/>
      <c r="T50" s="125"/>
      <c r="U50" s="125"/>
      <c r="V50" s="125"/>
      <c r="W50" s="125"/>
      <c r="X50" s="125"/>
      <c r="Y50" s="125"/>
      <c r="Z50" s="127"/>
      <c r="AA50" s="125"/>
      <c r="AB50" s="127"/>
      <c r="AC50" s="127"/>
      <c r="AD50" s="125"/>
      <c r="AE50" s="127"/>
      <c r="AF50" s="125"/>
      <c r="AG50" s="125"/>
      <c r="AH50" s="125"/>
      <c r="AI50" s="125"/>
      <c r="AJ50" s="125"/>
      <c r="AK50" s="125"/>
      <c r="AL50" s="125"/>
      <c r="AM50" s="125"/>
      <c r="AN50" s="126"/>
      <c r="AO50" s="125"/>
      <c r="AP50" s="125"/>
      <c r="AQ50" s="127"/>
      <c r="AR50" s="125"/>
      <c r="AS50" s="125"/>
      <c r="AT50" s="125"/>
      <c r="AU50" s="127"/>
      <c r="AV50" s="125"/>
      <c r="AW50" s="125"/>
      <c r="AX50" s="125"/>
      <c r="AY50" s="125"/>
      <c r="AZ50" s="125"/>
      <c r="BA50" s="125"/>
      <c r="BB50" s="125"/>
      <c r="BC50" s="127"/>
      <c r="BD50" s="127"/>
      <c r="BE50" s="127"/>
      <c r="BF50" s="126"/>
      <c r="BG50" s="127"/>
      <c r="BH50" s="125"/>
      <c r="BI50" s="125"/>
      <c r="BJ50" s="128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116"/>
      <c r="CB50" s="116"/>
      <c r="CC50" s="116"/>
      <c r="CD50" s="116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21"/>
      <c r="R51" s="121"/>
      <c r="S51" s="121"/>
      <c r="T51" s="117"/>
      <c r="U51" s="117"/>
      <c r="V51" s="117"/>
      <c r="W51" s="117"/>
      <c r="X51" s="117"/>
      <c r="Y51" s="117"/>
      <c r="Z51" s="123"/>
      <c r="AA51" s="117"/>
      <c r="AB51" s="123"/>
      <c r="AC51" s="123"/>
      <c r="AD51" s="117"/>
      <c r="AE51" s="123"/>
      <c r="AF51" s="117"/>
      <c r="AG51" s="117"/>
      <c r="AH51" s="117"/>
      <c r="AI51" s="117"/>
      <c r="AJ51" s="117"/>
      <c r="AK51" s="117"/>
      <c r="AL51" s="117"/>
      <c r="AM51" s="117"/>
      <c r="AN51" s="121"/>
      <c r="AO51" s="117"/>
      <c r="AP51" s="117"/>
      <c r="AQ51" s="123"/>
      <c r="AR51" s="117"/>
      <c r="AS51" s="117"/>
      <c r="AT51" s="117"/>
      <c r="AU51" s="123"/>
      <c r="AV51" s="117"/>
      <c r="AW51" s="117"/>
      <c r="AX51" s="117"/>
      <c r="AY51" s="117"/>
      <c r="AZ51" s="117"/>
      <c r="BA51" s="117"/>
      <c r="BB51" s="117"/>
      <c r="BC51" s="123"/>
      <c r="BD51" s="123"/>
      <c r="BE51" s="123"/>
      <c r="BF51" s="121"/>
      <c r="BG51" s="123"/>
      <c r="BH51" s="117"/>
      <c r="BI51" s="117"/>
      <c r="BJ51" s="124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</row>
    <row r="52">
      <c r="A52" s="125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6"/>
      <c r="R52" s="126"/>
      <c r="S52" s="121"/>
      <c r="T52" s="125"/>
      <c r="U52" s="125"/>
      <c r="V52" s="125"/>
      <c r="W52" s="125"/>
      <c r="X52" s="125"/>
      <c r="Y52" s="125"/>
      <c r="Z52" s="127"/>
      <c r="AA52" s="125"/>
      <c r="AB52" s="127"/>
      <c r="AC52" s="127"/>
      <c r="AD52" s="125"/>
      <c r="AE52" s="127"/>
      <c r="AF52" s="125"/>
      <c r="AG52" s="125"/>
      <c r="AH52" s="125"/>
      <c r="AI52" s="125"/>
      <c r="AJ52" s="125"/>
      <c r="AK52" s="125"/>
      <c r="AL52" s="125"/>
      <c r="AM52" s="125"/>
      <c r="AN52" s="126"/>
      <c r="AO52" s="125"/>
      <c r="AP52" s="125"/>
      <c r="AQ52" s="127"/>
      <c r="AR52" s="125"/>
      <c r="AS52" s="125"/>
      <c r="AT52" s="125"/>
      <c r="AU52" s="127"/>
      <c r="AV52" s="125"/>
      <c r="AW52" s="125"/>
      <c r="AX52" s="125"/>
      <c r="AY52" s="125"/>
      <c r="AZ52" s="125"/>
      <c r="BA52" s="125"/>
      <c r="BB52" s="125"/>
      <c r="BC52" s="127"/>
      <c r="BD52" s="127"/>
      <c r="BE52" s="127"/>
      <c r="BF52" s="126"/>
      <c r="BG52" s="127"/>
      <c r="BH52" s="125"/>
      <c r="BI52" s="125"/>
      <c r="BJ52" s="128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116"/>
      <c r="CB52" s="116"/>
      <c r="CC52" s="116"/>
      <c r="CD52" s="116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21"/>
      <c r="R53" s="121"/>
      <c r="S53" s="121"/>
      <c r="T53" s="117"/>
      <c r="U53" s="117"/>
      <c r="V53" s="117"/>
      <c r="W53" s="117"/>
      <c r="X53" s="117"/>
      <c r="Y53" s="117"/>
      <c r="Z53" s="123"/>
      <c r="AA53" s="117"/>
      <c r="AB53" s="123"/>
      <c r="AC53" s="123"/>
      <c r="AD53" s="117"/>
      <c r="AE53" s="123"/>
      <c r="AF53" s="117"/>
      <c r="AG53" s="117"/>
      <c r="AH53" s="117"/>
      <c r="AI53" s="117"/>
      <c r="AJ53" s="117"/>
      <c r="AK53" s="117"/>
      <c r="AL53" s="117"/>
      <c r="AM53" s="117"/>
      <c r="AN53" s="121"/>
      <c r="AO53" s="117"/>
      <c r="AP53" s="117"/>
      <c r="AQ53" s="123"/>
      <c r="AR53" s="117"/>
      <c r="AS53" s="117"/>
      <c r="AT53" s="117"/>
      <c r="AU53" s="123"/>
      <c r="AV53" s="117"/>
      <c r="AW53" s="117"/>
      <c r="AX53" s="117"/>
      <c r="AY53" s="117"/>
      <c r="AZ53" s="117"/>
      <c r="BA53" s="117"/>
      <c r="BB53" s="117"/>
      <c r="BC53" s="123"/>
      <c r="BD53" s="123"/>
      <c r="BE53" s="123"/>
      <c r="BF53" s="121"/>
      <c r="BG53" s="123"/>
      <c r="BH53" s="117"/>
      <c r="BI53" s="117"/>
      <c r="BJ53" s="124"/>
      <c r="BK53" s="116"/>
      <c r="BL53" s="116"/>
      <c r="BM53" s="116"/>
      <c r="BN53" s="116"/>
      <c r="BO53" s="116"/>
      <c r="BP53" s="116"/>
      <c r="BQ53" s="116"/>
      <c r="BR53" s="116"/>
      <c r="BS53" s="116"/>
      <c r="BT53" s="116"/>
      <c r="BU53" s="116"/>
      <c r="BV53" s="116"/>
      <c r="BW53" s="116"/>
      <c r="BX53" s="116"/>
      <c r="BY53" s="116"/>
      <c r="BZ53" s="116"/>
      <c r="CA53" s="116"/>
      <c r="CB53" s="116"/>
      <c r="CC53" s="116"/>
      <c r="CD53" s="116"/>
    </row>
    <row r="54">
      <c r="A54" s="125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6"/>
      <c r="R54" s="126"/>
      <c r="S54" s="121"/>
      <c r="T54" s="125"/>
      <c r="U54" s="125"/>
      <c r="V54" s="125"/>
      <c r="W54" s="125"/>
      <c r="X54" s="125"/>
      <c r="Y54" s="125"/>
      <c r="Z54" s="127"/>
      <c r="AA54" s="125"/>
      <c r="AB54" s="127"/>
      <c r="AC54" s="127"/>
      <c r="AD54" s="125"/>
      <c r="AE54" s="127"/>
      <c r="AF54" s="125"/>
      <c r="AG54" s="125"/>
      <c r="AH54" s="125"/>
      <c r="AI54" s="125"/>
      <c r="AJ54" s="125"/>
      <c r="AK54" s="125"/>
      <c r="AL54" s="125"/>
      <c r="AM54" s="125"/>
      <c r="AN54" s="126"/>
      <c r="AO54" s="125"/>
      <c r="AP54" s="125"/>
      <c r="AQ54" s="127"/>
      <c r="AR54" s="125"/>
      <c r="AS54" s="125"/>
      <c r="AT54" s="125"/>
      <c r="AU54" s="127"/>
      <c r="AV54" s="125"/>
      <c r="AW54" s="125"/>
      <c r="AX54" s="125"/>
      <c r="AY54" s="125"/>
      <c r="AZ54" s="125"/>
      <c r="BA54" s="125"/>
      <c r="BB54" s="125"/>
      <c r="BC54" s="127"/>
      <c r="BD54" s="127"/>
      <c r="BE54" s="127"/>
      <c r="BF54" s="126"/>
      <c r="BG54" s="127"/>
      <c r="BH54" s="125"/>
      <c r="BI54" s="125"/>
      <c r="BJ54" s="128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116"/>
      <c r="CB54" s="116"/>
      <c r="CC54" s="116"/>
      <c r="CD54" s="116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21"/>
      <c r="R55" s="121"/>
      <c r="S55" s="121"/>
      <c r="T55" s="117"/>
      <c r="U55" s="117"/>
      <c r="V55" s="117"/>
      <c r="W55" s="117"/>
      <c r="X55" s="117"/>
      <c r="Y55" s="117"/>
      <c r="Z55" s="123"/>
      <c r="AA55" s="117"/>
      <c r="AB55" s="123"/>
      <c r="AC55" s="123"/>
      <c r="AD55" s="117"/>
      <c r="AE55" s="123"/>
      <c r="AF55" s="117"/>
      <c r="AG55" s="117"/>
      <c r="AH55" s="117"/>
      <c r="AI55" s="117"/>
      <c r="AJ55" s="117"/>
      <c r="AK55" s="117"/>
      <c r="AL55" s="117"/>
      <c r="AM55" s="117"/>
      <c r="AN55" s="121"/>
      <c r="AO55" s="117"/>
      <c r="AP55" s="117"/>
      <c r="AQ55" s="123"/>
      <c r="AR55" s="117"/>
      <c r="AS55" s="117"/>
      <c r="AT55" s="117"/>
      <c r="AU55" s="123"/>
      <c r="AV55" s="117"/>
      <c r="AW55" s="117"/>
      <c r="AX55" s="117"/>
      <c r="AY55" s="117"/>
      <c r="AZ55" s="117"/>
      <c r="BA55" s="117"/>
      <c r="BB55" s="117"/>
      <c r="BC55" s="123"/>
      <c r="BD55" s="123"/>
      <c r="BE55" s="123"/>
      <c r="BF55" s="121"/>
      <c r="BG55" s="123"/>
      <c r="BH55" s="117"/>
      <c r="BI55" s="117"/>
      <c r="BJ55" s="124"/>
      <c r="BK55" s="116"/>
      <c r="BL55" s="116"/>
      <c r="BM55" s="116"/>
      <c r="BN55" s="116"/>
      <c r="BO55" s="116"/>
      <c r="BP55" s="116"/>
      <c r="BQ55" s="116"/>
      <c r="BR55" s="116"/>
      <c r="BS55" s="116"/>
      <c r="BT55" s="116"/>
      <c r="BU55" s="116"/>
      <c r="BV55" s="116"/>
      <c r="BW55" s="116"/>
      <c r="BX55" s="116"/>
      <c r="BY55" s="116"/>
      <c r="BZ55" s="116"/>
      <c r="CA55" s="116"/>
      <c r="CB55" s="116"/>
      <c r="CC55" s="116"/>
      <c r="CD55" s="116"/>
    </row>
    <row r="56">
      <c r="A56" s="125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6"/>
      <c r="R56" s="126"/>
      <c r="S56" s="121"/>
      <c r="T56" s="125"/>
      <c r="U56" s="125"/>
      <c r="V56" s="125"/>
      <c r="W56" s="125"/>
      <c r="X56" s="125"/>
      <c r="Y56" s="125"/>
      <c r="Z56" s="127"/>
      <c r="AA56" s="125"/>
      <c r="AB56" s="127"/>
      <c r="AC56" s="127"/>
      <c r="AD56" s="125"/>
      <c r="AE56" s="127"/>
      <c r="AF56" s="125"/>
      <c r="AG56" s="125"/>
      <c r="AH56" s="125"/>
      <c r="AI56" s="125"/>
      <c r="AJ56" s="125"/>
      <c r="AK56" s="125"/>
      <c r="AL56" s="125"/>
      <c r="AM56" s="125"/>
      <c r="AN56" s="126"/>
      <c r="AO56" s="125"/>
      <c r="AP56" s="125"/>
      <c r="AQ56" s="127"/>
      <c r="AR56" s="125"/>
      <c r="AS56" s="125"/>
      <c r="AT56" s="125"/>
      <c r="AU56" s="127"/>
      <c r="AV56" s="125"/>
      <c r="AW56" s="125"/>
      <c r="AX56" s="125"/>
      <c r="AY56" s="125"/>
      <c r="AZ56" s="125"/>
      <c r="BA56" s="125"/>
      <c r="BB56" s="125"/>
      <c r="BC56" s="127"/>
      <c r="BD56" s="127"/>
      <c r="BE56" s="127"/>
      <c r="BF56" s="126"/>
      <c r="BG56" s="127"/>
      <c r="BH56" s="125"/>
      <c r="BI56" s="125"/>
      <c r="BJ56" s="128"/>
      <c r="BK56" s="116"/>
      <c r="BL56" s="116"/>
      <c r="BM56" s="116"/>
      <c r="BN56" s="116"/>
      <c r="BO56" s="116"/>
      <c r="BP56" s="116"/>
      <c r="BQ56" s="116"/>
      <c r="BR56" s="116"/>
      <c r="BS56" s="116"/>
      <c r="BT56" s="116"/>
      <c r="BU56" s="116"/>
      <c r="BV56" s="116"/>
      <c r="BW56" s="116"/>
      <c r="BX56" s="116"/>
      <c r="BY56" s="116"/>
      <c r="BZ56" s="116"/>
      <c r="CA56" s="116"/>
      <c r="CB56" s="116"/>
      <c r="CC56" s="116"/>
      <c r="CD56" s="116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21"/>
      <c r="R57" s="121"/>
      <c r="S57" s="121"/>
      <c r="T57" s="117"/>
      <c r="U57" s="117"/>
      <c r="V57" s="117"/>
      <c r="W57" s="117"/>
      <c r="X57" s="117"/>
      <c r="Y57" s="117"/>
      <c r="Z57" s="123"/>
      <c r="AA57" s="117"/>
      <c r="AB57" s="123"/>
      <c r="AC57" s="123"/>
      <c r="AD57" s="117"/>
      <c r="AE57" s="123"/>
      <c r="AF57" s="117"/>
      <c r="AG57" s="117"/>
      <c r="AH57" s="117"/>
      <c r="AI57" s="117"/>
      <c r="AJ57" s="117"/>
      <c r="AK57" s="117"/>
      <c r="AL57" s="117"/>
      <c r="AM57" s="117"/>
      <c r="AN57" s="121"/>
      <c r="AO57" s="117"/>
      <c r="AP57" s="117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1"/>
      <c r="BG57" s="123"/>
      <c r="BH57" s="123"/>
      <c r="BI57" s="123"/>
      <c r="BJ57" s="130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116"/>
      <c r="CB57" s="116"/>
      <c r="CC57" s="116"/>
      <c r="CD57" s="116"/>
    </row>
    <row r="58">
      <c r="A58" s="125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6"/>
      <c r="R58" s="126"/>
      <c r="S58" s="121"/>
      <c r="T58" s="125"/>
      <c r="U58" s="125"/>
      <c r="V58" s="125"/>
      <c r="W58" s="125"/>
      <c r="X58" s="125"/>
      <c r="Y58" s="125"/>
      <c r="Z58" s="127"/>
      <c r="AA58" s="125"/>
      <c r="AB58" s="127"/>
      <c r="AC58" s="127"/>
      <c r="AD58" s="125"/>
      <c r="AE58" s="127"/>
      <c r="AF58" s="125"/>
      <c r="AG58" s="125"/>
      <c r="AH58" s="125"/>
      <c r="AI58" s="125"/>
      <c r="AJ58" s="125"/>
      <c r="AK58" s="125"/>
      <c r="AL58" s="125"/>
      <c r="AM58" s="125"/>
      <c r="AN58" s="126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6"/>
      <c r="BG58" s="127"/>
      <c r="BH58" s="127"/>
      <c r="BI58" s="127"/>
      <c r="BJ58" s="131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116"/>
      <c r="CB58" s="116"/>
      <c r="CC58" s="116"/>
      <c r="CD58" s="116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21"/>
      <c r="R59" s="121"/>
      <c r="S59" s="121"/>
      <c r="T59" s="117"/>
      <c r="U59" s="117"/>
      <c r="V59" s="117"/>
      <c r="W59" s="117"/>
      <c r="X59" s="117"/>
      <c r="Y59" s="117"/>
      <c r="Z59" s="123"/>
      <c r="AA59" s="117"/>
      <c r="AB59" s="123"/>
      <c r="AC59" s="123"/>
      <c r="AD59" s="117"/>
      <c r="AE59" s="123"/>
      <c r="AF59" s="117"/>
      <c r="AG59" s="117"/>
      <c r="AH59" s="117"/>
      <c r="AI59" s="117"/>
      <c r="AJ59" s="117"/>
      <c r="AK59" s="117"/>
      <c r="AL59" s="117"/>
      <c r="AM59" s="117"/>
      <c r="AN59" s="121"/>
      <c r="AO59" s="117"/>
      <c r="AP59" s="117"/>
      <c r="AQ59" s="117"/>
      <c r="AR59" s="117"/>
      <c r="AS59" s="117"/>
      <c r="AT59" s="117"/>
      <c r="AU59" s="117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1"/>
      <c r="BG59" s="123"/>
      <c r="BH59" s="123"/>
      <c r="BI59" s="123"/>
      <c r="BJ59" s="130"/>
      <c r="BK59" s="116"/>
      <c r="BL59" s="116"/>
      <c r="BM59" s="116"/>
      <c r="BN59" s="116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116"/>
      <c r="CB59" s="116"/>
      <c r="CC59" s="116"/>
      <c r="CD59" s="116"/>
    </row>
    <row r="60">
      <c r="A60" s="125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6"/>
      <c r="R60" s="126"/>
      <c r="S60" s="121"/>
      <c r="T60" s="125"/>
      <c r="U60" s="125"/>
      <c r="V60" s="125"/>
      <c r="W60" s="125"/>
      <c r="X60" s="125"/>
      <c r="Y60" s="125"/>
      <c r="Z60" s="127"/>
      <c r="AA60" s="125"/>
      <c r="AB60" s="127"/>
      <c r="AC60" s="127"/>
      <c r="AD60" s="125"/>
      <c r="AE60" s="127"/>
      <c r="AF60" s="125"/>
      <c r="AG60" s="125"/>
      <c r="AH60" s="125"/>
      <c r="AI60" s="125"/>
      <c r="AJ60" s="125"/>
      <c r="AK60" s="125"/>
      <c r="AL60" s="125"/>
      <c r="AM60" s="125"/>
      <c r="AN60" s="126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6"/>
      <c r="BG60" s="125"/>
      <c r="BH60" s="125"/>
      <c r="BI60" s="125"/>
      <c r="BJ60" s="128"/>
      <c r="BK60" s="129"/>
      <c r="BL60" s="129"/>
      <c r="BM60" s="129"/>
      <c r="BN60" s="129"/>
      <c r="BO60" s="129"/>
      <c r="BP60" s="129"/>
      <c r="BQ60" s="129"/>
      <c r="BR60" s="129"/>
      <c r="BS60" s="129"/>
      <c r="BT60" s="129"/>
      <c r="BU60" s="129"/>
      <c r="BV60" s="129"/>
      <c r="BW60" s="129"/>
      <c r="BX60" s="129"/>
      <c r="BY60" s="129"/>
      <c r="BZ60" s="129"/>
      <c r="CA60" s="129"/>
      <c r="CB60" s="129"/>
      <c r="CC60" s="129"/>
      <c r="CD60" s="129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21"/>
      <c r="R61" s="121"/>
      <c r="S61" s="121"/>
      <c r="T61" s="117"/>
      <c r="U61" s="117"/>
      <c r="V61" s="117"/>
      <c r="W61" s="117"/>
      <c r="X61" s="117"/>
      <c r="Y61" s="117"/>
      <c r="Z61" s="117"/>
      <c r="AA61" s="117"/>
      <c r="AB61" s="123"/>
      <c r="AC61" s="123"/>
      <c r="AD61" s="117"/>
      <c r="AE61" s="123"/>
      <c r="AF61" s="117"/>
      <c r="AG61" s="117"/>
      <c r="AH61" s="117"/>
      <c r="AI61" s="117"/>
      <c r="AJ61" s="117"/>
      <c r="AK61" s="117"/>
      <c r="AL61" s="117"/>
      <c r="AM61" s="117"/>
      <c r="AN61" s="121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21"/>
      <c r="BG61" s="117"/>
      <c r="BH61" s="117"/>
      <c r="BI61" s="117"/>
      <c r="BJ61" s="124"/>
      <c r="BK61" s="116"/>
      <c r="BL61" s="116"/>
      <c r="BM61" s="116"/>
      <c r="BN61" s="116"/>
      <c r="BO61" s="116"/>
      <c r="BP61" s="116"/>
      <c r="BQ61" s="116"/>
      <c r="BR61" s="116"/>
      <c r="BS61" s="116"/>
      <c r="BT61" s="116"/>
      <c r="BU61" s="116"/>
      <c r="BV61" s="116"/>
      <c r="BW61" s="116"/>
      <c r="BX61" s="116"/>
      <c r="BY61" s="116"/>
      <c r="BZ61" s="116"/>
      <c r="CA61" s="116"/>
      <c r="CB61" s="116"/>
      <c r="CC61" s="116"/>
      <c r="CD61" s="116"/>
    </row>
    <row r="62">
      <c r="A62" s="125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6"/>
      <c r="R62" s="126"/>
      <c r="S62" s="121"/>
      <c r="T62" s="125"/>
      <c r="U62" s="125"/>
      <c r="V62" s="125"/>
      <c r="W62" s="125"/>
      <c r="X62" s="125"/>
      <c r="Y62" s="125"/>
      <c r="Z62" s="132"/>
      <c r="AA62" s="125"/>
      <c r="AB62" s="127"/>
      <c r="AC62" s="127"/>
      <c r="AD62" s="125"/>
      <c r="AE62" s="127"/>
      <c r="AF62" s="125"/>
      <c r="AG62" s="125"/>
      <c r="AH62" s="125"/>
      <c r="AI62" s="125"/>
      <c r="AJ62" s="125"/>
      <c r="AK62" s="125"/>
      <c r="AL62" s="125"/>
      <c r="AM62" s="125"/>
      <c r="AN62" s="126"/>
      <c r="AO62" s="125"/>
      <c r="AP62" s="125"/>
      <c r="AQ62" s="133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6"/>
      <c r="BG62" s="125"/>
      <c r="BH62" s="125"/>
      <c r="BI62" s="125"/>
      <c r="BJ62" s="128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116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21"/>
      <c r="R63" s="121"/>
      <c r="S63" s="121"/>
      <c r="T63" s="117"/>
      <c r="U63" s="117"/>
      <c r="V63" s="117"/>
      <c r="W63" s="117"/>
      <c r="X63" s="117"/>
      <c r="Y63" s="117"/>
      <c r="Z63" s="123"/>
      <c r="AA63" s="117"/>
      <c r="AB63" s="123"/>
      <c r="AC63" s="123"/>
      <c r="AD63" s="117"/>
      <c r="AE63" s="123"/>
      <c r="AF63" s="117"/>
      <c r="AG63" s="117"/>
      <c r="AH63" s="117"/>
      <c r="AI63" s="117"/>
      <c r="AJ63" s="117"/>
      <c r="AK63" s="117"/>
      <c r="AL63" s="117"/>
      <c r="AM63" s="117"/>
      <c r="AN63" s="121"/>
      <c r="AO63" s="117"/>
      <c r="AP63" s="117"/>
      <c r="AQ63" s="117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117"/>
      <c r="BF63" s="121"/>
      <c r="BG63" s="117"/>
      <c r="BH63" s="117"/>
      <c r="BI63" s="117"/>
      <c r="BJ63" s="124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116"/>
      <c r="CB63" s="116"/>
      <c r="CC63" s="116"/>
      <c r="CD63" s="116"/>
    </row>
    <row r="64">
      <c r="A64" s="125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6"/>
      <c r="R64" s="126"/>
      <c r="S64" s="121"/>
      <c r="T64" s="125"/>
      <c r="U64" s="125"/>
      <c r="V64" s="125"/>
      <c r="W64" s="125"/>
      <c r="X64" s="125"/>
      <c r="Y64" s="125"/>
      <c r="Z64" s="127"/>
      <c r="AA64" s="125"/>
      <c r="AB64" s="127"/>
      <c r="AC64" s="127"/>
      <c r="AD64" s="125"/>
      <c r="AE64" s="127"/>
      <c r="AF64" s="125"/>
      <c r="AG64" s="125"/>
      <c r="AH64" s="125"/>
      <c r="AI64" s="125"/>
      <c r="AJ64" s="125"/>
      <c r="AK64" s="125"/>
      <c r="AL64" s="125"/>
      <c r="AM64" s="125"/>
      <c r="AN64" s="126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6"/>
      <c r="BG64" s="125"/>
      <c r="BH64" s="125"/>
      <c r="BI64" s="125"/>
      <c r="BJ64" s="128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  <c r="CB64" s="116"/>
      <c r="CC64" s="116"/>
      <c r="CD64" s="116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21"/>
      <c r="R65" s="121"/>
      <c r="S65" s="121"/>
      <c r="T65" s="117"/>
      <c r="U65" s="117"/>
      <c r="V65" s="117"/>
      <c r="W65" s="117"/>
      <c r="X65" s="117"/>
      <c r="Y65" s="117"/>
      <c r="Z65" s="123"/>
      <c r="AA65" s="117"/>
      <c r="AB65" s="123"/>
      <c r="AC65" s="123"/>
      <c r="AD65" s="117"/>
      <c r="AE65" s="123"/>
      <c r="AF65" s="117"/>
      <c r="AG65" s="117"/>
      <c r="AH65" s="117"/>
      <c r="AI65" s="117"/>
      <c r="AJ65" s="117"/>
      <c r="AK65" s="117"/>
      <c r="AL65" s="117"/>
      <c r="AM65" s="117"/>
      <c r="AN65" s="121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  <c r="BE65" s="117"/>
      <c r="BF65" s="121"/>
      <c r="BG65" s="117"/>
      <c r="BH65" s="117"/>
      <c r="BI65" s="117"/>
      <c r="BJ65" s="124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  <c r="CB65" s="116"/>
      <c r="CC65" s="116"/>
      <c r="CD65" s="116"/>
    </row>
    <row r="66">
      <c r="A66" s="125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6"/>
      <c r="R66" s="126"/>
      <c r="S66" s="121"/>
      <c r="T66" s="125"/>
      <c r="U66" s="125"/>
      <c r="V66" s="125"/>
      <c r="W66" s="125"/>
      <c r="X66" s="125"/>
      <c r="Y66" s="125"/>
      <c r="Z66" s="127"/>
      <c r="AA66" s="125"/>
      <c r="AB66" s="127"/>
      <c r="AC66" s="127"/>
      <c r="AD66" s="125"/>
      <c r="AE66" s="127"/>
      <c r="AF66" s="125"/>
      <c r="AG66" s="125"/>
      <c r="AH66" s="125"/>
      <c r="AI66" s="125"/>
      <c r="AJ66" s="125"/>
      <c r="AK66" s="125"/>
      <c r="AL66" s="125"/>
      <c r="AM66" s="125"/>
      <c r="AN66" s="126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6"/>
      <c r="BG66" s="125"/>
      <c r="BH66" s="125"/>
      <c r="BI66" s="125"/>
      <c r="BJ66" s="128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  <c r="CB66" s="116"/>
      <c r="CC66" s="116"/>
      <c r="CD66" s="116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21"/>
      <c r="R67" s="121"/>
      <c r="S67" s="121"/>
      <c r="T67" s="117"/>
      <c r="U67" s="117"/>
      <c r="V67" s="117"/>
      <c r="W67" s="117"/>
      <c r="X67" s="117"/>
      <c r="Y67" s="117"/>
      <c r="Z67" s="123"/>
      <c r="AA67" s="117"/>
      <c r="AB67" s="123"/>
      <c r="AC67" s="123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21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117"/>
      <c r="BF67" s="121"/>
      <c r="BG67" s="117"/>
      <c r="BH67" s="117"/>
      <c r="BI67" s="117"/>
      <c r="BJ67" s="124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  <c r="CB67" s="116"/>
      <c r="CC67" s="116"/>
      <c r="CD67" s="116"/>
    </row>
    <row r="68">
      <c r="A68" s="125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6"/>
      <c r="R68" s="126"/>
      <c r="S68" s="121"/>
      <c r="T68" s="125"/>
      <c r="U68" s="125"/>
      <c r="V68" s="125"/>
      <c r="W68" s="125"/>
      <c r="X68" s="125"/>
      <c r="Y68" s="125"/>
      <c r="Z68" s="127"/>
      <c r="AA68" s="125"/>
      <c r="AB68" s="127"/>
      <c r="AC68" s="127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6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6"/>
      <c r="BG68" s="125"/>
      <c r="BH68" s="125"/>
      <c r="BI68" s="125"/>
      <c r="BJ68" s="128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  <c r="CB68" s="116"/>
      <c r="CC68" s="116"/>
      <c r="CD68" s="116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21"/>
      <c r="R69" s="121"/>
      <c r="S69" s="121"/>
      <c r="T69" s="117"/>
      <c r="U69" s="117"/>
      <c r="V69" s="117"/>
      <c r="W69" s="117"/>
      <c r="X69" s="117"/>
      <c r="Y69" s="117"/>
      <c r="Z69" s="123"/>
      <c r="AA69" s="117"/>
      <c r="AB69" s="123"/>
      <c r="AC69" s="123"/>
      <c r="AD69" s="117"/>
      <c r="AE69" s="123"/>
      <c r="AF69" s="117"/>
      <c r="AG69" s="117"/>
      <c r="AH69" s="117"/>
      <c r="AI69" s="117"/>
      <c r="AJ69" s="117"/>
      <c r="AK69" s="117"/>
      <c r="AL69" s="117"/>
      <c r="AM69" s="117"/>
      <c r="AN69" s="121"/>
      <c r="AO69" s="117"/>
      <c r="AP69" s="117"/>
      <c r="AQ69" s="134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21"/>
      <c r="BG69" s="117"/>
      <c r="BH69" s="117"/>
      <c r="BI69" s="117"/>
      <c r="BJ69" s="124"/>
      <c r="BK69" s="129"/>
      <c r="BL69" s="129"/>
      <c r="BM69" s="129"/>
      <c r="BN69" s="129"/>
      <c r="BO69" s="129"/>
      <c r="BP69" s="129"/>
      <c r="BQ69" s="129"/>
      <c r="BR69" s="129"/>
      <c r="BS69" s="129"/>
      <c r="BT69" s="129"/>
      <c r="BU69" s="129"/>
      <c r="BV69" s="129"/>
      <c r="BW69" s="129"/>
      <c r="BX69" s="129"/>
      <c r="BY69" s="129"/>
      <c r="BZ69" s="129"/>
      <c r="CA69" s="129"/>
      <c r="CB69" s="129"/>
      <c r="CC69" s="129"/>
      <c r="CD69" s="129"/>
    </row>
    <row r="70">
      <c r="A70" s="125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6"/>
      <c r="R70" s="126"/>
      <c r="S70" s="121"/>
      <c r="T70" s="125"/>
      <c r="U70" s="125"/>
      <c r="V70" s="125"/>
      <c r="W70" s="125"/>
      <c r="X70" s="125"/>
      <c r="Y70" s="125"/>
      <c r="Z70" s="127"/>
      <c r="AA70" s="125"/>
      <c r="AB70" s="127"/>
      <c r="AC70" s="127"/>
      <c r="AD70" s="125"/>
      <c r="AE70" s="127"/>
      <c r="AF70" s="125"/>
      <c r="AG70" s="125"/>
      <c r="AH70" s="125"/>
      <c r="AI70" s="125"/>
      <c r="AJ70" s="125"/>
      <c r="AK70" s="125"/>
      <c r="AL70" s="125"/>
      <c r="AM70" s="125"/>
      <c r="AN70" s="126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6"/>
      <c r="BG70" s="125"/>
      <c r="BH70" s="125"/>
      <c r="BI70" s="125"/>
      <c r="BJ70" s="128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  <c r="CB70" s="116"/>
      <c r="CC70" s="116"/>
      <c r="CD70" s="116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21"/>
      <c r="R71" s="121"/>
      <c r="S71" s="121"/>
      <c r="T71" s="117"/>
      <c r="U71" s="117"/>
      <c r="V71" s="117"/>
      <c r="W71" s="117"/>
      <c r="X71" s="117"/>
      <c r="Y71" s="117"/>
      <c r="Z71" s="123"/>
      <c r="AA71" s="117"/>
      <c r="AB71" s="135"/>
      <c r="AC71" s="135"/>
      <c r="AD71" s="117"/>
      <c r="AE71" s="123"/>
      <c r="AF71" s="117"/>
      <c r="AG71" s="117"/>
      <c r="AH71" s="117"/>
      <c r="AI71" s="117"/>
      <c r="AJ71" s="117"/>
      <c r="AK71" s="117"/>
      <c r="AL71" s="117"/>
      <c r="AM71" s="117"/>
      <c r="AN71" s="121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21"/>
      <c r="BG71" s="117"/>
      <c r="BH71" s="117"/>
      <c r="BI71" s="117"/>
      <c r="BJ71" s="124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</row>
    <row r="72">
      <c r="A72" s="125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6"/>
      <c r="R72" s="126"/>
      <c r="S72" s="121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7"/>
      <c r="AF72" s="125"/>
      <c r="AG72" s="125"/>
      <c r="AH72" s="125"/>
      <c r="AI72" s="125"/>
      <c r="AJ72" s="125"/>
      <c r="AK72" s="125"/>
      <c r="AL72" s="125"/>
      <c r="AM72" s="125"/>
      <c r="AN72" s="126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6"/>
      <c r="BG72" s="125"/>
      <c r="BH72" s="125"/>
      <c r="BI72" s="125"/>
      <c r="BJ72" s="128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  <c r="CB72" s="116"/>
      <c r="CC72" s="116"/>
      <c r="CD72" s="116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21"/>
      <c r="R73" s="121"/>
      <c r="S73" s="121"/>
      <c r="T73" s="117"/>
      <c r="U73" s="117"/>
      <c r="V73" s="117"/>
      <c r="W73" s="117"/>
      <c r="X73" s="117"/>
      <c r="Y73" s="117"/>
      <c r="Z73" s="123"/>
      <c r="AA73" s="117"/>
      <c r="AB73" s="123"/>
      <c r="AC73" s="123"/>
      <c r="AD73" s="117"/>
      <c r="AE73" s="123"/>
      <c r="AF73" s="117"/>
      <c r="AG73" s="117"/>
      <c r="AH73" s="117"/>
      <c r="AI73" s="117"/>
      <c r="AJ73" s="117"/>
      <c r="AK73" s="117"/>
      <c r="AL73" s="117"/>
      <c r="AM73" s="117"/>
      <c r="AN73" s="121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21"/>
      <c r="BG73" s="117"/>
      <c r="BH73" s="117"/>
      <c r="BI73" s="117"/>
      <c r="BJ73" s="124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  <c r="CB73" s="116"/>
      <c r="CC73" s="116"/>
      <c r="CD73" s="116"/>
    </row>
    <row r="74">
      <c r="A74" s="125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6"/>
      <c r="R74" s="126"/>
      <c r="S74" s="121"/>
      <c r="T74" s="125"/>
      <c r="U74" s="125"/>
      <c r="V74" s="125"/>
      <c r="W74" s="125"/>
      <c r="X74" s="125"/>
      <c r="Y74" s="125"/>
      <c r="Z74" s="127"/>
      <c r="AA74" s="132"/>
      <c r="AB74" s="127"/>
      <c r="AC74" s="127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6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6"/>
      <c r="BG74" s="125"/>
      <c r="BH74" s="125"/>
      <c r="BI74" s="125"/>
      <c r="BJ74" s="128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  <c r="CB74" s="116"/>
      <c r="CC74" s="116"/>
      <c r="CD74" s="116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21"/>
      <c r="R75" s="121"/>
      <c r="S75" s="121"/>
      <c r="T75" s="117"/>
      <c r="U75" s="117"/>
      <c r="V75" s="117"/>
      <c r="W75" s="117"/>
      <c r="X75" s="117"/>
      <c r="Y75" s="117"/>
      <c r="Z75" s="135"/>
      <c r="AA75" s="135"/>
      <c r="AB75" s="123"/>
      <c r="AC75" s="123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21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7"/>
      <c r="BD75" s="117"/>
      <c r="BE75" s="117"/>
      <c r="BF75" s="121"/>
      <c r="BG75" s="117"/>
      <c r="BH75" s="117"/>
      <c r="BI75" s="117"/>
      <c r="BJ75" s="124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  <c r="CB75" s="116"/>
      <c r="CC75" s="116"/>
      <c r="CD75" s="116"/>
    </row>
    <row r="76">
      <c r="A76" s="125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6"/>
      <c r="R76" s="126"/>
      <c r="S76" s="121"/>
      <c r="T76" s="125"/>
      <c r="U76" s="125"/>
      <c r="V76" s="125"/>
      <c r="W76" s="125"/>
      <c r="X76" s="125"/>
      <c r="Y76" s="125"/>
      <c r="Z76" s="127"/>
      <c r="AA76" s="132"/>
      <c r="AB76" s="127"/>
      <c r="AC76" s="127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6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6"/>
      <c r="BG76" s="125"/>
      <c r="BH76" s="125"/>
      <c r="BI76" s="125"/>
      <c r="BJ76" s="128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  <c r="CB76" s="116"/>
      <c r="CC76" s="116"/>
      <c r="CD76" s="116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21"/>
      <c r="R77" s="121"/>
      <c r="S77" s="121"/>
      <c r="T77" s="117"/>
      <c r="U77" s="117"/>
      <c r="V77" s="117"/>
      <c r="W77" s="117"/>
      <c r="X77" s="117"/>
      <c r="Y77" s="117"/>
      <c r="Z77" s="135"/>
      <c r="AA77" s="135"/>
      <c r="AB77" s="123"/>
      <c r="AC77" s="123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21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21"/>
      <c r="BG77" s="117"/>
      <c r="BH77" s="117"/>
      <c r="BI77" s="117"/>
      <c r="BJ77" s="124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  <c r="CB77" s="116"/>
      <c r="CC77" s="116"/>
      <c r="CD77" s="116"/>
    </row>
    <row r="78">
      <c r="A78" s="125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6"/>
      <c r="R78" s="126"/>
      <c r="S78" s="121"/>
      <c r="T78" s="125"/>
      <c r="U78" s="125"/>
      <c r="V78" s="125"/>
      <c r="W78" s="125"/>
      <c r="X78" s="125"/>
      <c r="Y78" s="125"/>
      <c r="Z78" s="132"/>
      <c r="AA78" s="132"/>
      <c r="AB78" s="127"/>
      <c r="AC78" s="127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6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6"/>
      <c r="BG78" s="125"/>
      <c r="BH78" s="125"/>
      <c r="BI78" s="125"/>
      <c r="BJ78" s="128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  <c r="CB78" s="116"/>
      <c r="CC78" s="116"/>
      <c r="CD78" s="116"/>
    </row>
    <row r="79">
      <c r="A79" s="136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7"/>
      <c r="R79" s="137"/>
      <c r="S79" s="121"/>
      <c r="T79" s="136"/>
      <c r="U79" s="136"/>
      <c r="V79" s="136"/>
      <c r="W79" s="136"/>
      <c r="X79" s="136"/>
      <c r="Y79" s="136"/>
      <c r="Z79" s="138"/>
      <c r="AA79" s="139"/>
      <c r="AB79" s="138"/>
      <c r="AC79" s="138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7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7"/>
      <c r="BG79" s="136"/>
      <c r="BH79" s="136"/>
      <c r="BI79" s="136"/>
      <c r="BJ79" s="140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116"/>
    </row>
    <row r="80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2"/>
      <c r="R80" s="142"/>
      <c r="S80" s="121"/>
      <c r="T80" s="141"/>
      <c r="U80" s="141"/>
      <c r="V80" s="141"/>
      <c r="W80" s="141"/>
      <c r="X80" s="141"/>
      <c r="Y80" s="141"/>
      <c r="Z80" s="143"/>
      <c r="AA80" s="141"/>
      <c r="AB80" s="143"/>
      <c r="AC80" s="143"/>
      <c r="AD80" s="141"/>
      <c r="AE80" s="143"/>
      <c r="AF80" s="141"/>
      <c r="AG80" s="141"/>
      <c r="AH80" s="141"/>
      <c r="AI80" s="141"/>
      <c r="AJ80" s="141"/>
      <c r="AK80" s="141"/>
      <c r="AL80" s="141"/>
      <c r="AM80" s="141"/>
      <c r="AN80" s="142"/>
      <c r="AO80" s="141"/>
      <c r="AP80" s="141"/>
      <c r="AQ80" s="143"/>
      <c r="AR80" s="141"/>
      <c r="AS80" s="141"/>
      <c r="AT80" s="141"/>
      <c r="AU80" s="143"/>
      <c r="AV80" s="141"/>
      <c r="AW80" s="141"/>
      <c r="AX80" s="141"/>
      <c r="AY80" s="141"/>
      <c r="AZ80" s="141"/>
      <c r="BA80" s="141"/>
      <c r="BB80" s="141"/>
      <c r="BC80" s="143"/>
      <c r="BD80" s="143"/>
      <c r="BE80" s="143"/>
      <c r="BF80" s="142"/>
      <c r="BG80" s="143"/>
      <c r="BH80" s="141"/>
      <c r="BI80" s="142"/>
      <c r="BJ80" s="142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  <c r="CB80" s="116"/>
      <c r="CC80" s="116"/>
      <c r="CD80" s="116"/>
    </row>
    <row r="8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2"/>
      <c r="R81" s="142"/>
      <c r="S81" s="121"/>
      <c r="T81" s="141"/>
      <c r="U81" s="141"/>
      <c r="V81" s="141"/>
      <c r="W81" s="141"/>
      <c r="X81" s="141"/>
      <c r="Y81" s="141"/>
      <c r="Z81" s="143"/>
      <c r="AA81" s="141"/>
      <c r="AB81" s="143"/>
      <c r="AC81" s="143"/>
      <c r="AD81" s="141"/>
      <c r="AE81" s="143"/>
      <c r="AF81" s="141"/>
      <c r="AG81" s="141"/>
      <c r="AH81" s="141"/>
      <c r="AI81" s="141"/>
      <c r="AJ81" s="141"/>
      <c r="AK81" s="141"/>
      <c r="AL81" s="141"/>
      <c r="AM81" s="141"/>
      <c r="AN81" s="142"/>
      <c r="AO81" s="141"/>
      <c r="AP81" s="141"/>
      <c r="AQ81" s="143"/>
      <c r="AR81" s="141"/>
      <c r="AS81" s="141"/>
      <c r="AT81" s="141"/>
      <c r="AU81" s="143"/>
      <c r="AV81" s="141"/>
      <c r="AW81" s="141"/>
      <c r="AX81" s="141"/>
      <c r="AY81" s="141"/>
      <c r="AZ81" s="141"/>
      <c r="BA81" s="141"/>
      <c r="BB81" s="141"/>
      <c r="BC81" s="143"/>
      <c r="BD81" s="143"/>
      <c r="BE81" s="143"/>
      <c r="BF81" s="142"/>
      <c r="BG81" s="143"/>
      <c r="BH81" s="141"/>
      <c r="BI81" s="142"/>
      <c r="BJ81" s="142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  <c r="CB81" s="116"/>
      <c r="CC81" s="116"/>
      <c r="CD81" s="116"/>
    </row>
    <row r="82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2"/>
      <c r="R82" s="142"/>
      <c r="S82" s="121"/>
      <c r="T82" s="141"/>
      <c r="U82" s="141"/>
      <c r="V82" s="141"/>
      <c r="W82" s="141"/>
      <c r="X82" s="141"/>
      <c r="Y82" s="141"/>
      <c r="Z82" s="143"/>
      <c r="AA82" s="141"/>
      <c r="AB82" s="143"/>
      <c r="AC82" s="143"/>
      <c r="AD82" s="141"/>
      <c r="AE82" s="143"/>
      <c r="AF82" s="141"/>
      <c r="AG82" s="141"/>
      <c r="AH82" s="141"/>
      <c r="AI82" s="141"/>
      <c r="AJ82" s="141"/>
      <c r="AK82" s="141"/>
      <c r="AL82" s="141"/>
      <c r="AM82" s="141"/>
      <c r="AN82" s="142"/>
      <c r="AO82" s="141"/>
      <c r="AP82" s="141"/>
      <c r="AQ82" s="143"/>
      <c r="AR82" s="141"/>
      <c r="AS82" s="141"/>
      <c r="AT82" s="141"/>
      <c r="AU82" s="143"/>
      <c r="AV82" s="141"/>
      <c r="AW82" s="141"/>
      <c r="AX82" s="141"/>
      <c r="AY82" s="141"/>
      <c r="AZ82" s="141"/>
      <c r="BA82" s="141"/>
      <c r="BB82" s="141"/>
      <c r="BC82" s="143"/>
      <c r="BD82" s="143"/>
      <c r="BE82" s="143"/>
      <c r="BF82" s="142"/>
      <c r="BG82" s="143"/>
      <c r="BH82" s="141"/>
      <c r="BI82" s="142"/>
      <c r="BJ82" s="142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  <c r="CB82" s="116"/>
      <c r="CC82" s="116"/>
      <c r="CD82" s="116"/>
    </row>
    <row r="83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2"/>
      <c r="R83" s="142"/>
      <c r="S83" s="121"/>
      <c r="T83" s="141"/>
      <c r="U83" s="141"/>
      <c r="V83" s="141"/>
      <c r="W83" s="141"/>
      <c r="X83" s="141"/>
      <c r="Y83" s="141"/>
      <c r="Z83" s="143"/>
      <c r="AA83" s="141"/>
      <c r="AB83" s="143"/>
      <c r="AC83" s="143"/>
      <c r="AD83" s="141"/>
      <c r="AE83" s="143"/>
      <c r="AF83" s="141"/>
      <c r="AG83" s="141"/>
      <c r="AH83" s="141"/>
      <c r="AI83" s="141"/>
      <c r="AJ83" s="141"/>
      <c r="AK83" s="141"/>
      <c r="AL83" s="141"/>
      <c r="AM83" s="141"/>
      <c r="AN83" s="142"/>
      <c r="AO83" s="141"/>
      <c r="AP83" s="141"/>
      <c r="AQ83" s="143"/>
      <c r="AR83" s="141"/>
      <c r="AS83" s="141"/>
      <c r="AT83" s="141"/>
      <c r="AU83" s="143"/>
      <c r="AV83" s="141"/>
      <c r="AW83" s="141"/>
      <c r="AX83" s="141"/>
      <c r="AY83" s="141"/>
      <c r="AZ83" s="141"/>
      <c r="BA83" s="141"/>
      <c r="BB83" s="141"/>
      <c r="BC83" s="143"/>
      <c r="BD83" s="143"/>
      <c r="BE83" s="143"/>
      <c r="BF83" s="142"/>
      <c r="BG83" s="143"/>
      <c r="BH83" s="141"/>
      <c r="BI83" s="142"/>
      <c r="BJ83" s="142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</row>
    <row r="84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2"/>
      <c r="R84" s="142"/>
      <c r="S84" s="121"/>
      <c r="T84" s="141"/>
      <c r="U84" s="141"/>
      <c r="V84" s="141"/>
      <c r="W84" s="141"/>
      <c r="X84" s="141"/>
      <c r="Y84" s="141"/>
      <c r="Z84" s="143"/>
      <c r="AA84" s="141"/>
      <c r="AB84" s="143"/>
      <c r="AC84" s="143"/>
      <c r="AD84" s="141"/>
      <c r="AE84" s="143"/>
      <c r="AF84" s="141"/>
      <c r="AG84" s="141"/>
      <c r="AH84" s="141"/>
      <c r="AI84" s="141"/>
      <c r="AJ84" s="141"/>
      <c r="AK84" s="141"/>
      <c r="AL84" s="141"/>
      <c r="AM84" s="141"/>
      <c r="AN84" s="142"/>
      <c r="AO84" s="141"/>
      <c r="AP84" s="141"/>
      <c r="AQ84" s="143"/>
      <c r="AR84" s="141"/>
      <c r="AS84" s="141"/>
      <c r="AT84" s="141"/>
      <c r="AU84" s="143"/>
      <c r="AV84" s="141"/>
      <c r="AW84" s="141"/>
      <c r="AX84" s="141"/>
      <c r="AY84" s="141"/>
      <c r="AZ84" s="141"/>
      <c r="BA84" s="141"/>
      <c r="BB84" s="141"/>
      <c r="BC84" s="143"/>
      <c r="BD84" s="143"/>
      <c r="BE84" s="143"/>
      <c r="BF84" s="142"/>
      <c r="BG84" s="143"/>
      <c r="BH84" s="141"/>
      <c r="BI84" s="142"/>
      <c r="BJ84" s="142"/>
      <c r="BK84" s="116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  <c r="BV84" s="116"/>
      <c r="BW84" s="116"/>
      <c r="BX84" s="116"/>
      <c r="BY84" s="116"/>
      <c r="BZ84" s="116"/>
      <c r="CA84" s="116"/>
      <c r="CB84" s="116"/>
      <c r="CC84" s="116"/>
      <c r="CD84" s="116"/>
    </row>
    <row r="85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2"/>
      <c r="R85" s="142"/>
      <c r="S85" s="121"/>
      <c r="T85" s="141"/>
      <c r="U85" s="141"/>
      <c r="V85" s="141"/>
      <c r="W85" s="141"/>
      <c r="X85" s="141"/>
      <c r="Y85" s="141"/>
      <c r="Z85" s="143"/>
      <c r="AA85" s="141"/>
      <c r="AB85" s="143"/>
      <c r="AC85" s="143"/>
      <c r="AD85" s="141"/>
      <c r="AE85" s="143"/>
      <c r="AF85" s="141"/>
      <c r="AG85" s="141"/>
      <c r="AH85" s="141"/>
      <c r="AI85" s="141"/>
      <c r="AJ85" s="141"/>
      <c r="AK85" s="141"/>
      <c r="AL85" s="141"/>
      <c r="AM85" s="141"/>
      <c r="AN85" s="142"/>
      <c r="AO85" s="141"/>
      <c r="AP85" s="141"/>
      <c r="AQ85" s="143"/>
      <c r="AR85" s="141"/>
      <c r="AS85" s="141"/>
      <c r="AT85" s="141"/>
      <c r="AU85" s="143"/>
      <c r="AV85" s="141"/>
      <c r="AW85" s="141"/>
      <c r="AX85" s="141"/>
      <c r="AY85" s="141"/>
      <c r="AZ85" s="141"/>
      <c r="BA85" s="141"/>
      <c r="BB85" s="141"/>
      <c r="BC85" s="143"/>
      <c r="BD85" s="143"/>
      <c r="BE85" s="143"/>
      <c r="BF85" s="142"/>
      <c r="BG85" s="143"/>
      <c r="BH85" s="141"/>
      <c r="BI85" s="142"/>
      <c r="BJ85" s="142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  <c r="CB85" s="116"/>
      <c r="CC85" s="116"/>
      <c r="CD85" s="116"/>
    </row>
    <row r="86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2"/>
      <c r="R86" s="142"/>
      <c r="S86" s="121"/>
      <c r="T86" s="141"/>
      <c r="U86" s="141"/>
      <c r="V86" s="141"/>
      <c r="W86" s="141"/>
      <c r="X86" s="141"/>
      <c r="Y86" s="141"/>
      <c r="Z86" s="143"/>
      <c r="AA86" s="141"/>
      <c r="AB86" s="143"/>
      <c r="AC86" s="143"/>
      <c r="AD86" s="141"/>
      <c r="AE86" s="143"/>
      <c r="AF86" s="141"/>
      <c r="AG86" s="141"/>
      <c r="AH86" s="141"/>
      <c r="AI86" s="141"/>
      <c r="AJ86" s="141"/>
      <c r="AK86" s="141"/>
      <c r="AL86" s="141"/>
      <c r="AM86" s="141"/>
      <c r="AN86" s="142"/>
      <c r="AO86" s="141"/>
      <c r="AP86" s="141"/>
      <c r="AQ86" s="143"/>
      <c r="AR86" s="141"/>
      <c r="AS86" s="141"/>
      <c r="AT86" s="141"/>
      <c r="AU86" s="143"/>
      <c r="AV86" s="141"/>
      <c r="AW86" s="141"/>
      <c r="AX86" s="141"/>
      <c r="AY86" s="141"/>
      <c r="AZ86" s="141"/>
      <c r="BA86" s="141"/>
      <c r="BB86" s="141"/>
      <c r="BC86" s="143"/>
      <c r="BD86" s="143"/>
      <c r="BE86" s="143"/>
      <c r="BF86" s="142"/>
      <c r="BG86" s="143"/>
      <c r="BH86" s="141"/>
      <c r="BI86" s="142"/>
      <c r="BJ86" s="142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  <c r="CB86" s="116"/>
      <c r="CC86" s="116"/>
      <c r="CD86" s="116"/>
    </row>
    <row r="87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2"/>
      <c r="R87" s="142"/>
      <c r="S87" s="121"/>
      <c r="T87" s="141"/>
      <c r="U87" s="141"/>
      <c r="V87" s="141"/>
      <c r="W87" s="141"/>
      <c r="X87" s="141"/>
      <c r="Y87" s="141"/>
      <c r="Z87" s="143"/>
      <c r="AA87" s="141"/>
      <c r="AB87" s="143"/>
      <c r="AC87" s="143"/>
      <c r="AD87" s="141"/>
      <c r="AE87" s="143"/>
      <c r="AF87" s="141"/>
      <c r="AG87" s="141"/>
      <c r="AH87" s="141"/>
      <c r="AI87" s="141"/>
      <c r="AJ87" s="141"/>
      <c r="AK87" s="141"/>
      <c r="AL87" s="141"/>
      <c r="AM87" s="141"/>
      <c r="AN87" s="142"/>
      <c r="AO87" s="141"/>
      <c r="AP87" s="141"/>
      <c r="AQ87" s="143"/>
      <c r="AR87" s="141"/>
      <c r="AS87" s="141"/>
      <c r="AT87" s="141"/>
      <c r="AU87" s="143"/>
      <c r="AV87" s="141"/>
      <c r="AW87" s="141"/>
      <c r="AX87" s="141"/>
      <c r="AY87" s="141"/>
      <c r="AZ87" s="141"/>
      <c r="BA87" s="141"/>
      <c r="BB87" s="141"/>
      <c r="BC87" s="143"/>
      <c r="BD87" s="143"/>
      <c r="BE87" s="143"/>
      <c r="BF87" s="142"/>
      <c r="BG87" s="143"/>
      <c r="BH87" s="141"/>
      <c r="BI87" s="142"/>
      <c r="BJ87" s="142"/>
      <c r="BK87" s="116"/>
      <c r="BL87" s="116"/>
      <c r="BM87" s="116"/>
      <c r="BN87" s="116"/>
      <c r="BO87" s="116"/>
      <c r="BP87" s="116"/>
      <c r="BQ87" s="116"/>
      <c r="BR87" s="116"/>
      <c r="BS87" s="116"/>
      <c r="BT87" s="116"/>
      <c r="BU87" s="116"/>
      <c r="BV87" s="116"/>
      <c r="BW87" s="116"/>
      <c r="BX87" s="116"/>
      <c r="BY87" s="116"/>
      <c r="BZ87" s="116"/>
      <c r="CA87" s="116"/>
      <c r="CB87" s="116"/>
      <c r="CC87" s="116"/>
      <c r="CD87" s="116"/>
    </row>
    <row r="88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2"/>
      <c r="R88" s="142"/>
      <c r="S88" s="121"/>
      <c r="T88" s="141"/>
      <c r="U88" s="141"/>
      <c r="V88" s="141"/>
      <c r="W88" s="141"/>
      <c r="X88" s="141"/>
      <c r="Y88" s="141"/>
      <c r="Z88" s="143"/>
      <c r="AA88" s="141"/>
      <c r="AB88" s="143"/>
      <c r="AC88" s="143"/>
      <c r="AD88" s="141"/>
      <c r="AE88" s="143"/>
      <c r="AF88" s="141"/>
      <c r="AG88" s="141"/>
      <c r="AH88" s="141"/>
      <c r="AI88" s="141"/>
      <c r="AJ88" s="141"/>
      <c r="AK88" s="141"/>
      <c r="AL88" s="141"/>
      <c r="AM88" s="141"/>
      <c r="AN88" s="142"/>
      <c r="AO88" s="141"/>
      <c r="AP88" s="141"/>
      <c r="AQ88" s="143"/>
      <c r="AR88" s="141"/>
      <c r="AS88" s="141"/>
      <c r="AT88" s="141"/>
      <c r="AU88" s="143"/>
      <c r="AV88" s="141"/>
      <c r="AW88" s="141"/>
      <c r="AX88" s="141"/>
      <c r="AY88" s="141"/>
      <c r="AZ88" s="141"/>
      <c r="BA88" s="141"/>
      <c r="BB88" s="141"/>
      <c r="BC88" s="143"/>
      <c r="BD88" s="143"/>
      <c r="BE88" s="143"/>
      <c r="BF88" s="142"/>
      <c r="BG88" s="143"/>
      <c r="BH88" s="141"/>
      <c r="BI88" s="142"/>
      <c r="BJ88" s="142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  <c r="CB88" s="116"/>
      <c r="CC88" s="116"/>
      <c r="CD88" s="116"/>
    </row>
    <row r="89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2"/>
      <c r="R89" s="142"/>
      <c r="S89" s="121"/>
      <c r="T89" s="141"/>
      <c r="U89" s="141"/>
      <c r="V89" s="141"/>
      <c r="W89" s="141"/>
      <c r="X89" s="141"/>
      <c r="Y89" s="141"/>
      <c r="Z89" s="143"/>
      <c r="AA89" s="141"/>
      <c r="AB89" s="143"/>
      <c r="AC89" s="143"/>
      <c r="AD89" s="141"/>
      <c r="AE89" s="143"/>
      <c r="AF89" s="141"/>
      <c r="AG89" s="141"/>
      <c r="AH89" s="141"/>
      <c r="AI89" s="141"/>
      <c r="AJ89" s="141"/>
      <c r="AK89" s="141"/>
      <c r="AL89" s="141"/>
      <c r="AM89" s="141"/>
      <c r="AN89" s="142"/>
      <c r="AO89" s="141"/>
      <c r="AP89" s="141"/>
      <c r="AQ89" s="143"/>
      <c r="AR89" s="141"/>
      <c r="AS89" s="141"/>
      <c r="AT89" s="141"/>
      <c r="AU89" s="143"/>
      <c r="AV89" s="141"/>
      <c r="AW89" s="141"/>
      <c r="AX89" s="141"/>
      <c r="AY89" s="141"/>
      <c r="AZ89" s="141"/>
      <c r="BA89" s="141"/>
      <c r="BB89" s="141"/>
      <c r="BC89" s="143"/>
      <c r="BD89" s="143"/>
      <c r="BE89" s="143"/>
      <c r="BF89" s="142"/>
      <c r="BG89" s="143"/>
      <c r="BH89" s="141"/>
      <c r="BI89" s="142"/>
      <c r="BJ89" s="142"/>
      <c r="BK89" s="116"/>
      <c r="BL89" s="116"/>
      <c r="BM89" s="116"/>
      <c r="BN89" s="116"/>
      <c r="BO89" s="116"/>
      <c r="BP89" s="116"/>
      <c r="BQ89" s="116"/>
      <c r="BR89" s="116"/>
      <c r="BS89" s="116"/>
      <c r="BT89" s="116"/>
      <c r="BU89" s="116"/>
      <c r="BV89" s="116"/>
      <c r="BW89" s="116"/>
      <c r="BX89" s="116"/>
      <c r="BY89" s="116"/>
      <c r="BZ89" s="116"/>
      <c r="CA89" s="116"/>
      <c r="CB89" s="116"/>
      <c r="CC89" s="116"/>
      <c r="CD89" s="116"/>
    </row>
    <row r="90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2"/>
      <c r="R90" s="142"/>
      <c r="S90" s="121"/>
      <c r="T90" s="141"/>
      <c r="U90" s="141"/>
      <c r="V90" s="141"/>
      <c r="W90" s="141"/>
      <c r="X90" s="141"/>
      <c r="Y90" s="141"/>
      <c r="Z90" s="143"/>
      <c r="AA90" s="141"/>
      <c r="AB90" s="143"/>
      <c r="AC90" s="143"/>
      <c r="AD90" s="141"/>
      <c r="AE90" s="143"/>
      <c r="AF90" s="141"/>
      <c r="AG90" s="141"/>
      <c r="AH90" s="141"/>
      <c r="AI90" s="141"/>
      <c r="AJ90" s="141"/>
      <c r="AK90" s="141"/>
      <c r="AL90" s="141"/>
      <c r="AM90" s="141"/>
      <c r="AN90" s="142"/>
      <c r="AO90" s="141"/>
      <c r="AP90" s="141"/>
      <c r="AQ90" s="143"/>
      <c r="AR90" s="141"/>
      <c r="AS90" s="141"/>
      <c r="AT90" s="141"/>
      <c r="AU90" s="143"/>
      <c r="AV90" s="141"/>
      <c r="AW90" s="141"/>
      <c r="AX90" s="141"/>
      <c r="AY90" s="141"/>
      <c r="AZ90" s="141"/>
      <c r="BA90" s="141"/>
      <c r="BB90" s="141"/>
      <c r="BC90" s="143"/>
      <c r="BD90" s="143"/>
      <c r="BE90" s="143"/>
      <c r="BF90" s="142"/>
      <c r="BG90" s="143"/>
      <c r="BH90" s="141"/>
      <c r="BI90" s="142"/>
      <c r="BJ90" s="142"/>
      <c r="BK90" s="116"/>
      <c r="BL90" s="116"/>
      <c r="BM90" s="116"/>
      <c r="BN90" s="116"/>
      <c r="BO90" s="116"/>
      <c r="BP90" s="116"/>
      <c r="BQ90" s="116"/>
      <c r="BR90" s="116"/>
      <c r="BS90" s="116"/>
      <c r="BT90" s="116"/>
      <c r="BU90" s="116"/>
      <c r="BV90" s="116"/>
      <c r="BW90" s="116"/>
      <c r="BX90" s="116"/>
      <c r="BY90" s="116"/>
      <c r="BZ90" s="116"/>
      <c r="CA90" s="116"/>
      <c r="CB90" s="116"/>
      <c r="CC90" s="116"/>
      <c r="CD90" s="116"/>
    </row>
    <row r="9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2"/>
      <c r="R91" s="142"/>
      <c r="S91" s="121"/>
      <c r="T91" s="141"/>
      <c r="U91" s="141"/>
      <c r="V91" s="141"/>
      <c r="W91" s="141"/>
      <c r="X91" s="141"/>
      <c r="Y91" s="141"/>
      <c r="Z91" s="143"/>
      <c r="AA91" s="141"/>
      <c r="AB91" s="143"/>
      <c r="AC91" s="143"/>
      <c r="AD91" s="141"/>
      <c r="AE91" s="143"/>
      <c r="AF91" s="141"/>
      <c r="AG91" s="141"/>
      <c r="AH91" s="141"/>
      <c r="AI91" s="141"/>
      <c r="AJ91" s="141"/>
      <c r="AK91" s="141"/>
      <c r="AL91" s="141"/>
      <c r="AM91" s="141"/>
      <c r="AN91" s="142"/>
      <c r="AO91" s="141"/>
      <c r="AP91" s="141"/>
      <c r="AQ91" s="143"/>
      <c r="AR91" s="141"/>
      <c r="AS91" s="141"/>
      <c r="AT91" s="141"/>
      <c r="AU91" s="143"/>
      <c r="AV91" s="141"/>
      <c r="AW91" s="141"/>
      <c r="AX91" s="141"/>
      <c r="AY91" s="141"/>
      <c r="AZ91" s="141"/>
      <c r="BA91" s="141"/>
      <c r="BB91" s="141"/>
      <c r="BC91" s="143"/>
      <c r="BD91" s="143"/>
      <c r="BE91" s="143"/>
      <c r="BF91" s="142"/>
      <c r="BG91" s="143"/>
      <c r="BH91" s="141"/>
      <c r="BI91" s="142"/>
      <c r="BJ91" s="142"/>
      <c r="BK91" s="116"/>
      <c r="BL91" s="116"/>
      <c r="BM91" s="116"/>
      <c r="BN91" s="116"/>
      <c r="BO91" s="116"/>
      <c r="BP91" s="116"/>
      <c r="BQ91" s="116"/>
      <c r="BR91" s="116"/>
      <c r="BS91" s="116"/>
      <c r="BT91" s="116"/>
      <c r="BU91" s="116"/>
      <c r="BV91" s="116"/>
      <c r="BW91" s="116"/>
      <c r="BX91" s="116"/>
      <c r="BY91" s="116"/>
      <c r="BZ91" s="116"/>
      <c r="CA91" s="116"/>
      <c r="CB91" s="116"/>
      <c r="CC91" s="116"/>
      <c r="CD91" s="116"/>
    </row>
    <row r="92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2"/>
      <c r="R92" s="142"/>
      <c r="S92" s="121"/>
      <c r="T92" s="141"/>
      <c r="U92" s="141"/>
      <c r="V92" s="141"/>
      <c r="W92" s="141"/>
      <c r="X92" s="141"/>
      <c r="Y92" s="141"/>
      <c r="Z92" s="143"/>
      <c r="AA92" s="141"/>
      <c r="AB92" s="143"/>
      <c r="AC92" s="143"/>
      <c r="AD92" s="141"/>
      <c r="AE92" s="143"/>
      <c r="AF92" s="141"/>
      <c r="AG92" s="141"/>
      <c r="AH92" s="141"/>
      <c r="AI92" s="141"/>
      <c r="AJ92" s="141"/>
      <c r="AK92" s="141"/>
      <c r="AL92" s="141"/>
      <c r="AM92" s="141"/>
      <c r="AN92" s="142"/>
      <c r="AO92" s="141"/>
      <c r="AP92" s="141"/>
      <c r="AQ92" s="143"/>
      <c r="AR92" s="141"/>
      <c r="AS92" s="141"/>
      <c r="AT92" s="141"/>
      <c r="AU92" s="143"/>
      <c r="AV92" s="141"/>
      <c r="AW92" s="141"/>
      <c r="AX92" s="141"/>
      <c r="AY92" s="141"/>
      <c r="AZ92" s="141"/>
      <c r="BA92" s="141"/>
      <c r="BB92" s="141"/>
      <c r="BC92" s="143"/>
      <c r="BD92" s="143"/>
      <c r="BE92" s="143"/>
      <c r="BF92" s="142"/>
      <c r="BG92" s="143"/>
      <c r="BH92" s="141"/>
      <c r="BI92" s="142"/>
      <c r="BJ92" s="142"/>
      <c r="BK92" s="116"/>
      <c r="BL92" s="116"/>
      <c r="BM92" s="116"/>
      <c r="BN92" s="116"/>
      <c r="BO92" s="116"/>
      <c r="BP92" s="116"/>
      <c r="BQ92" s="116"/>
      <c r="BR92" s="116"/>
      <c r="BS92" s="116"/>
      <c r="BT92" s="116"/>
      <c r="BU92" s="116"/>
      <c r="BV92" s="116"/>
      <c r="BW92" s="116"/>
      <c r="BX92" s="116"/>
      <c r="BY92" s="116"/>
      <c r="BZ92" s="116"/>
      <c r="CA92" s="116"/>
      <c r="CB92" s="116"/>
      <c r="CC92" s="116"/>
      <c r="CD92" s="116"/>
    </row>
    <row r="93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2"/>
      <c r="R93" s="142"/>
      <c r="S93" s="121"/>
      <c r="T93" s="141"/>
      <c r="U93" s="141"/>
      <c r="V93" s="141"/>
      <c r="W93" s="141"/>
      <c r="X93" s="141"/>
      <c r="Y93" s="141"/>
      <c r="Z93" s="143"/>
      <c r="AA93" s="141"/>
      <c r="AB93" s="143"/>
      <c r="AC93" s="143"/>
      <c r="AD93" s="141"/>
      <c r="AE93" s="143"/>
      <c r="AF93" s="141"/>
      <c r="AG93" s="141"/>
      <c r="AH93" s="141"/>
      <c r="AI93" s="141"/>
      <c r="AJ93" s="141"/>
      <c r="AK93" s="141"/>
      <c r="AL93" s="141"/>
      <c r="AM93" s="141"/>
      <c r="AN93" s="142"/>
      <c r="AO93" s="141"/>
      <c r="AP93" s="141"/>
      <c r="AQ93" s="143"/>
      <c r="AR93" s="141"/>
      <c r="AS93" s="141"/>
      <c r="AT93" s="141"/>
      <c r="AU93" s="143"/>
      <c r="AV93" s="141"/>
      <c r="AW93" s="141"/>
      <c r="AX93" s="141"/>
      <c r="AY93" s="141"/>
      <c r="AZ93" s="141"/>
      <c r="BA93" s="141"/>
      <c r="BB93" s="141"/>
      <c r="BC93" s="143"/>
      <c r="BD93" s="143"/>
      <c r="BE93" s="143"/>
      <c r="BF93" s="142"/>
      <c r="BG93" s="143"/>
      <c r="BH93" s="141"/>
      <c r="BI93" s="142"/>
      <c r="BJ93" s="142"/>
      <c r="BK93" s="116"/>
      <c r="BL93" s="116"/>
      <c r="BM93" s="116"/>
      <c r="BN93" s="116"/>
      <c r="BO93" s="116"/>
      <c r="BP93" s="116"/>
      <c r="BQ93" s="116"/>
      <c r="BR93" s="116"/>
      <c r="BS93" s="116"/>
      <c r="BT93" s="116"/>
      <c r="BU93" s="116"/>
      <c r="BV93" s="116"/>
      <c r="BW93" s="116"/>
      <c r="BX93" s="116"/>
      <c r="BY93" s="116"/>
      <c r="BZ93" s="116"/>
      <c r="CA93" s="116"/>
      <c r="CB93" s="116"/>
      <c r="CC93" s="116"/>
      <c r="CD93" s="116"/>
    </row>
    <row r="94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2"/>
      <c r="R94" s="142"/>
      <c r="S94" s="121"/>
      <c r="T94" s="141"/>
      <c r="U94" s="141"/>
      <c r="V94" s="141"/>
      <c r="W94" s="141"/>
      <c r="X94" s="141"/>
      <c r="Y94" s="141"/>
      <c r="Z94" s="143"/>
      <c r="AA94" s="141"/>
      <c r="AB94" s="143"/>
      <c r="AC94" s="143"/>
      <c r="AD94" s="141"/>
      <c r="AE94" s="143"/>
      <c r="AF94" s="141"/>
      <c r="AG94" s="141"/>
      <c r="AH94" s="141"/>
      <c r="AI94" s="141"/>
      <c r="AJ94" s="141"/>
      <c r="AK94" s="141"/>
      <c r="AL94" s="141"/>
      <c r="AM94" s="141"/>
      <c r="AN94" s="142"/>
      <c r="AO94" s="141"/>
      <c r="AP94" s="141"/>
      <c r="AQ94" s="143"/>
      <c r="AR94" s="141"/>
      <c r="AS94" s="141"/>
      <c r="AT94" s="141"/>
      <c r="AU94" s="143"/>
      <c r="AV94" s="141"/>
      <c r="AW94" s="141"/>
      <c r="AX94" s="141"/>
      <c r="AY94" s="141"/>
      <c r="AZ94" s="141"/>
      <c r="BA94" s="141"/>
      <c r="BB94" s="141"/>
      <c r="BC94" s="143"/>
      <c r="BD94" s="143"/>
      <c r="BE94" s="143"/>
      <c r="BF94" s="142"/>
      <c r="BG94" s="143"/>
      <c r="BH94" s="141"/>
      <c r="BI94" s="142"/>
      <c r="BJ94" s="142"/>
      <c r="BK94" s="116"/>
      <c r="BL94" s="116"/>
      <c r="BM94" s="116"/>
      <c r="BN94" s="116"/>
      <c r="BO94" s="116"/>
      <c r="BP94" s="116"/>
      <c r="BQ94" s="116"/>
      <c r="BR94" s="116"/>
      <c r="BS94" s="116"/>
      <c r="BT94" s="116"/>
      <c r="BU94" s="116"/>
      <c r="BV94" s="116"/>
      <c r="BW94" s="116"/>
      <c r="BX94" s="116"/>
      <c r="BY94" s="116"/>
      <c r="BZ94" s="116"/>
      <c r="CA94" s="116"/>
      <c r="CB94" s="116"/>
      <c r="CC94" s="116"/>
      <c r="CD94" s="116"/>
    </row>
    <row r="95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2"/>
      <c r="R95" s="142"/>
      <c r="S95" s="121"/>
      <c r="T95" s="141"/>
      <c r="U95" s="141"/>
      <c r="V95" s="141"/>
      <c r="W95" s="141"/>
      <c r="X95" s="141"/>
      <c r="Y95" s="141"/>
      <c r="Z95" s="143"/>
      <c r="AA95" s="141"/>
      <c r="AB95" s="143"/>
      <c r="AC95" s="143"/>
      <c r="AD95" s="141"/>
      <c r="AE95" s="143"/>
      <c r="AF95" s="141"/>
      <c r="AG95" s="141"/>
      <c r="AH95" s="141"/>
      <c r="AI95" s="141"/>
      <c r="AJ95" s="141"/>
      <c r="AK95" s="141"/>
      <c r="AL95" s="141"/>
      <c r="AM95" s="141"/>
      <c r="AN95" s="142"/>
      <c r="AO95" s="141"/>
      <c r="AP95" s="141"/>
      <c r="AQ95" s="143"/>
      <c r="AR95" s="141"/>
      <c r="AS95" s="141"/>
      <c r="AT95" s="141"/>
      <c r="AU95" s="143"/>
      <c r="AV95" s="141"/>
      <c r="AW95" s="141"/>
      <c r="AX95" s="141"/>
      <c r="AY95" s="141"/>
      <c r="AZ95" s="141"/>
      <c r="BA95" s="141"/>
      <c r="BB95" s="141"/>
      <c r="BC95" s="143"/>
      <c r="BD95" s="143"/>
      <c r="BE95" s="143"/>
      <c r="BF95" s="142"/>
      <c r="BG95" s="143"/>
      <c r="BH95" s="141"/>
      <c r="BI95" s="142"/>
      <c r="BJ95" s="142"/>
      <c r="BK95" s="116"/>
      <c r="BL95" s="116"/>
      <c r="BM95" s="116"/>
      <c r="BN95" s="116"/>
      <c r="BO95" s="116"/>
      <c r="BP95" s="116"/>
      <c r="BQ95" s="116"/>
      <c r="BR95" s="116"/>
      <c r="BS95" s="116"/>
      <c r="BT95" s="116"/>
      <c r="BU95" s="116"/>
      <c r="BV95" s="116"/>
      <c r="BW95" s="116"/>
      <c r="BX95" s="116"/>
      <c r="BY95" s="116"/>
      <c r="BZ95" s="116"/>
      <c r="CA95" s="116"/>
      <c r="CB95" s="116"/>
      <c r="CC95" s="116"/>
      <c r="CD95" s="116"/>
    </row>
    <row r="96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2"/>
      <c r="R96" s="142"/>
      <c r="S96" s="121"/>
      <c r="T96" s="141"/>
      <c r="U96" s="141"/>
      <c r="V96" s="141"/>
      <c r="W96" s="141"/>
      <c r="X96" s="141"/>
      <c r="Y96" s="141"/>
      <c r="Z96" s="143"/>
      <c r="AA96" s="141"/>
      <c r="AB96" s="143"/>
      <c r="AC96" s="143"/>
      <c r="AD96" s="141"/>
      <c r="AE96" s="143"/>
      <c r="AF96" s="141"/>
      <c r="AG96" s="141"/>
      <c r="AH96" s="141"/>
      <c r="AI96" s="141"/>
      <c r="AJ96" s="141"/>
      <c r="AK96" s="141"/>
      <c r="AL96" s="141"/>
      <c r="AM96" s="141"/>
      <c r="AN96" s="142"/>
      <c r="AO96" s="141"/>
      <c r="AP96" s="141"/>
      <c r="AQ96" s="143"/>
      <c r="AR96" s="141"/>
      <c r="AS96" s="141"/>
      <c r="AT96" s="141"/>
      <c r="AU96" s="143"/>
      <c r="AV96" s="141"/>
      <c r="AW96" s="141"/>
      <c r="AX96" s="141"/>
      <c r="AY96" s="141"/>
      <c r="AZ96" s="141"/>
      <c r="BA96" s="141"/>
      <c r="BB96" s="141"/>
      <c r="BC96" s="143"/>
      <c r="BD96" s="143"/>
      <c r="BE96" s="143"/>
      <c r="BF96" s="142"/>
      <c r="BG96" s="143"/>
      <c r="BH96" s="141"/>
      <c r="BI96" s="142"/>
      <c r="BJ96" s="142"/>
      <c r="BK96" s="116"/>
      <c r="BL96" s="116"/>
      <c r="BM96" s="116"/>
      <c r="BN96" s="116"/>
      <c r="BO96" s="116"/>
      <c r="BP96" s="116"/>
      <c r="BQ96" s="116"/>
      <c r="BR96" s="116"/>
      <c r="BS96" s="116"/>
      <c r="BT96" s="116"/>
      <c r="BU96" s="116"/>
      <c r="BV96" s="116"/>
      <c r="BW96" s="116"/>
      <c r="BX96" s="116"/>
      <c r="BY96" s="116"/>
      <c r="BZ96" s="116"/>
      <c r="CA96" s="116"/>
      <c r="CB96" s="116"/>
      <c r="CC96" s="116"/>
      <c r="CD96" s="116"/>
    </row>
    <row r="97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2"/>
      <c r="R97" s="142"/>
      <c r="S97" s="121"/>
      <c r="T97" s="141"/>
      <c r="U97" s="141"/>
      <c r="V97" s="141"/>
      <c r="W97" s="141"/>
      <c r="X97" s="141"/>
      <c r="Y97" s="141"/>
      <c r="Z97" s="143"/>
      <c r="AA97" s="141"/>
      <c r="AB97" s="143"/>
      <c r="AC97" s="143"/>
      <c r="AD97" s="141"/>
      <c r="AE97" s="143"/>
      <c r="AF97" s="141"/>
      <c r="AG97" s="141"/>
      <c r="AH97" s="141"/>
      <c r="AI97" s="141"/>
      <c r="AJ97" s="141"/>
      <c r="AK97" s="141"/>
      <c r="AL97" s="141"/>
      <c r="AM97" s="141"/>
      <c r="AN97" s="142"/>
      <c r="AO97" s="141"/>
      <c r="AP97" s="141"/>
      <c r="AQ97" s="143"/>
      <c r="AR97" s="141"/>
      <c r="AS97" s="141"/>
      <c r="AT97" s="141"/>
      <c r="AU97" s="143"/>
      <c r="AV97" s="141"/>
      <c r="AW97" s="141"/>
      <c r="AX97" s="141"/>
      <c r="AY97" s="141"/>
      <c r="AZ97" s="141"/>
      <c r="BA97" s="141"/>
      <c r="BB97" s="141"/>
      <c r="BC97" s="143"/>
      <c r="BD97" s="143"/>
      <c r="BE97" s="143"/>
      <c r="BF97" s="142"/>
      <c r="BG97" s="143"/>
      <c r="BH97" s="141"/>
      <c r="BI97" s="142"/>
      <c r="BJ97" s="142"/>
      <c r="BK97" s="116"/>
      <c r="BL97" s="116"/>
      <c r="BM97" s="116"/>
      <c r="BN97" s="116"/>
      <c r="BO97" s="116"/>
      <c r="BP97" s="116"/>
      <c r="BQ97" s="116"/>
      <c r="BR97" s="116"/>
      <c r="BS97" s="116"/>
      <c r="BT97" s="116"/>
      <c r="BU97" s="116"/>
      <c r="BV97" s="116"/>
      <c r="BW97" s="116"/>
      <c r="BX97" s="116"/>
      <c r="BY97" s="116"/>
      <c r="BZ97" s="116"/>
      <c r="CA97" s="116"/>
      <c r="CB97" s="116"/>
      <c r="CC97" s="116"/>
      <c r="CD97" s="116"/>
    </row>
    <row r="98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2"/>
      <c r="R98" s="142"/>
      <c r="S98" s="121"/>
      <c r="T98" s="141"/>
      <c r="U98" s="141"/>
      <c r="V98" s="141"/>
      <c r="W98" s="141"/>
      <c r="X98" s="141"/>
      <c r="Y98" s="141"/>
      <c r="Z98" s="143"/>
      <c r="AA98" s="141"/>
      <c r="AB98" s="143"/>
      <c r="AC98" s="143"/>
      <c r="AD98" s="141"/>
      <c r="AE98" s="143"/>
      <c r="AF98" s="141"/>
      <c r="AG98" s="141"/>
      <c r="AH98" s="141"/>
      <c r="AI98" s="141"/>
      <c r="AJ98" s="141"/>
      <c r="AK98" s="141"/>
      <c r="AL98" s="141"/>
      <c r="AM98" s="141"/>
      <c r="AN98" s="142"/>
      <c r="AO98" s="141"/>
      <c r="AP98" s="141"/>
      <c r="AQ98" s="143"/>
      <c r="AR98" s="141"/>
      <c r="AS98" s="141"/>
      <c r="AT98" s="141"/>
      <c r="AU98" s="143"/>
      <c r="AV98" s="141"/>
      <c r="AW98" s="141"/>
      <c r="AX98" s="141"/>
      <c r="AY98" s="141"/>
      <c r="AZ98" s="141"/>
      <c r="BA98" s="141"/>
      <c r="BB98" s="141"/>
      <c r="BC98" s="143"/>
      <c r="BD98" s="143"/>
      <c r="BE98" s="143"/>
      <c r="BF98" s="142"/>
      <c r="BG98" s="143"/>
      <c r="BH98" s="141"/>
      <c r="BI98" s="142"/>
      <c r="BJ98" s="142"/>
      <c r="BK98" s="116"/>
      <c r="BL98" s="116"/>
      <c r="BM98" s="116"/>
      <c r="BN98" s="116"/>
      <c r="BO98" s="116"/>
      <c r="BP98" s="116"/>
      <c r="BQ98" s="116"/>
      <c r="BR98" s="116"/>
      <c r="BS98" s="116"/>
      <c r="BT98" s="116"/>
      <c r="BU98" s="116"/>
      <c r="BV98" s="116"/>
      <c r="BW98" s="116"/>
      <c r="BX98" s="116"/>
      <c r="BY98" s="116"/>
      <c r="BZ98" s="116"/>
      <c r="CA98" s="116"/>
      <c r="CB98" s="116"/>
      <c r="CC98" s="116"/>
      <c r="CD98" s="116"/>
    </row>
    <row r="99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2"/>
      <c r="R99" s="142"/>
      <c r="S99" s="121"/>
      <c r="T99" s="141"/>
      <c r="U99" s="141"/>
      <c r="V99" s="141"/>
      <c r="W99" s="141"/>
      <c r="X99" s="141"/>
      <c r="Y99" s="141"/>
      <c r="Z99" s="143"/>
      <c r="AA99" s="141"/>
      <c r="AB99" s="143"/>
      <c r="AC99" s="143"/>
      <c r="AD99" s="141"/>
      <c r="AE99" s="143"/>
      <c r="AF99" s="141"/>
      <c r="AG99" s="141"/>
      <c r="AH99" s="141"/>
      <c r="AI99" s="141"/>
      <c r="AJ99" s="141"/>
      <c r="AK99" s="141"/>
      <c r="AL99" s="141"/>
      <c r="AM99" s="141"/>
      <c r="AN99" s="142"/>
      <c r="AO99" s="141"/>
      <c r="AP99" s="141"/>
      <c r="AQ99" s="143"/>
      <c r="AR99" s="141"/>
      <c r="AS99" s="141"/>
      <c r="AT99" s="141"/>
      <c r="AU99" s="143"/>
      <c r="AV99" s="141"/>
      <c r="AW99" s="141"/>
      <c r="AX99" s="141"/>
      <c r="AY99" s="141"/>
      <c r="AZ99" s="141"/>
      <c r="BA99" s="141"/>
      <c r="BB99" s="141"/>
      <c r="BC99" s="143"/>
      <c r="BD99" s="143"/>
      <c r="BE99" s="143"/>
      <c r="BF99" s="142"/>
      <c r="BG99" s="143"/>
      <c r="BH99" s="141"/>
      <c r="BI99" s="142"/>
      <c r="BJ99" s="142"/>
      <c r="BK99" s="116"/>
      <c r="BL99" s="116"/>
      <c r="BM99" s="116"/>
      <c r="BN99" s="116"/>
      <c r="BO99" s="116"/>
      <c r="BP99" s="116"/>
      <c r="BQ99" s="116"/>
      <c r="BR99" s="116"/>
      <c r="BS99" s="116"/>
      <c r="BT99" s="116"/>
      <c r="BU99" s="116"/>
      <c r="BV99" s="116"/>
      <c r="BW99" s="116"/>
      <c r="BX99" s="116"/>
      <c r="BY99" s="116"/>
      <c r="BZ99" s="116"/>
      <c r="CA99" s="116"/>
      <c r="CB99" s="116"/>
      <c r="CC99" s="116"/>
      <c r="CD99" s="116"/>
    </row>
    <row r="100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2"/>
      <c r="R100" s="142"/>
      <c r="S100" s="121"/>
      <c r="T100" s="141"/>
      <c r="U100" s="141"/>
      <c r="V100" s="141"/>
      <c r="W100" s="141"/>
      <c r="X100" s="141"/>
      <c r="Y100" s="141"/>
      <c r="Z100" s="143"/>
      <c r="AA100" s="141"/>
      <c r="AB100" s="143"/>
      <c r="AC100" s="143"/>
      <c r="AD100" s="141"/>
      <c r="AE100" s="143"/>
      <c r="AF100" s="141"/>
      <c r="AG100" s="141"/>
      <c r="AH100" s="141"/>
      <c r="AI100" s="141"/>
      <c r="AJ100" s="141"/>
      <c r="AK100" s="141"/>
      <c r="AL100" s="141"/>
      <c r="AM100" s="141"/>
      <c r="AN100" s="142"/>
      <c r="AO100" s="141"/>
      <c r="AP100" s="141"/>
      <c r="AQ100" s="143"/>
      <c r="AR100" s="141"/>
      <c r="AS100" s="141"/>
      <c r="AT100" s="141"/>
      <c r="AU100" s="143"/>
      <c r="AV100" s="141"/>
      <c r="AW100" s="141"/>
      <c r="AX100" s="141"/>
      <c r="AY100" s="141"/>
      <c r="AZ100" s="141"/>
      <c r="BA100" s="141"/>
      <c r="BB100" s="141"/>
      <c r="BC100" s="143"/>
      <c r="BD100" s="143"/>
      <c r="BE100" s="143"/>
      <c r="BF100" s="142"/>
      <c r="BG100" s="143"/>
      <c r="BH100" s="141"/>
      <c r="BI100" s="142"/>
      <c r="BJ100" s="142"/>
      <c r="BK100" s="116"/>
      <c r="BL100" s="116"/>
      <c r="BM100" s="116"/>
      <c r="BN100" s="116"/>
      <c r="BO100" s="116"/>
      <c r="BP100" s="116"/>
      <c r="BQ100" s="116"/>
      <c r="BR100" s="116"/>
      <c r="BS100" s="116"/>
      <c r="BT100" s="116"/>
      <c r="BU100" s="116"/>
      <c r="BV100" s="116"/>
      <c r="BW100" s="116"/>
      <c r="BX100" s="116"/>
      <c r="BY100" s="116"/>
      <c r="BZ100" s="116"/>
      <c r="CA100" s="116"/>
      <c r="CB100" s="116"/>
      <c r="CC100" s="116"/>
      <c r="CD100" s="116"/>
    </row>
    <row r="10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2"/>
      <c r="R101" s="142"/>
      <c r="S101" s="121"/>
      <c r="T101" s="141"/>
      <c r="U101" s="141"/>
      <c r="V101" s="141"/>
      <c r="W101" s="141"/>
      <c r="X101" s="141"/>
      <c r="Y101" s="141"/>
      <c r="Z101" s="143"/>
      <c r="AA101" s="141"/>
      <c r="AB101" s="143"/>
      <c r="AC101" s="143"/>
      <c r="AD101" s="141"/>
      <c r="AE101" s="143"/>
      <c r="AF101" s="141"/>
      <c r="AG101" s="141"/>
      <c r="AH101" s="141"/>
      <c r="AI101" s="141"/>
      <c r="AJ101" s="141"/>
      <c r="AK101" s="141"/>
      <c r="AL101" s="141"/>
      <c r="AM101" s="141"/>
      <c r="AN101" s="142"/>
      <c r="AO101" s="141"/>
      <c r="AP101" s="141"/>
      <c r="AQ101" s="143"/>
      <c r="AR101" s="141"/>
      <c r="AS101" s="141"/>
      <c r="AT101" s="141"/>
      <c r="AU101" s="143"/>
      <c r="AV101" s="141"/>
      <c r="AW101" s="141"/>
      <c r="AX101" s="141"/>
      <c r="AY101" s="141"/>
      <c r="AZ101" s="141"/>
      <c r="BA101" s="141"/>
      <c r="BB101" s="141"/>
      <c r="BC101" s="143"/>
      <c r="BD101" s="143"/>
      <c r="BE101" s="143"/>
      <c r="BF101" s="142"/>
      <c r="BG101" s="143"/>
      <c r="BH101" s="141"/>
      <c r="BI101" s="142"/>
      <c r="BJ101" s="142"/>
      <c r="BK101" s="116"/>
      <c r="BL101" s="116"/>
      <c r="BM101" s="116"/>
      <c r="BN101" s="116"/>
      <c r="BO101" s="116"/>
      <c r="BP101" s="116"/>
      <c r="BQ101" s="116"/>
      <c r="BR101" s="116"/>
      <c r="BS101" s="116"/>
      <c r="BT101" s="116"/>
      <c r="BU101" s="116"/>
      <c r="BV101" s="116"/>
      <c r="BW101" s="116"/>
      <c r="BX101" s="116"/>
      <c r="BY101" s="116"/>
      <c r="BZ101" s="116"/>
      <c r="CA101" s="116"/>
      <c r="CB101" s="116"/>
      <c r="CC101" s="116"/>
      <c r="CD101" s="116"/>
    </row>
    <row r="102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2"/>
      <c r="R102" s="142"/>
      <c r="S102" s="121"/>
      <c r="T102" s="141"/>
      <c r="U102" s="141"/>
      <c r="V102" s="141"/>
      <c r="W102" s="141"/>
      <c r="X102" s="141"/>
      <c r="Y102" s="141"/>
      <c r="Z102" s="143"/>
      <c r="AA102" s="141"/>
      <c r="AB102" s="143"/>
      <c r="AC102" s="143"/>
      <c r="AD102" s="141"/>
      <c r="AE102" s="143"/>
      <c r="AF102" s="141"/>
      <c r="AG102" s="141"/>
      <c r="AH102" s="141"/>
      <c r="AI102" s="141"/>
      <c r="AJ102" s="141"/>
      <c r="AK102" s="141"/>
      <c r="AL102" s="141"/>
      <c r="AM102" s="141"/>
      <c r="AN102" s="142"/>
      <c r="AO102" s="141"/>
      <c r="AP102" s="141"/>
      <c r="AQ102" s="143"/>
      <c r="AR102" s="141"/>
      <c r="AS102" s="141"/>
      <c r="AT102" s="141"/>
      <c r="AU102" s="143"/>
      <c r="AV102" s="141"/>
      <c r="AW102" s="141"/>
      <c r="AX102" s="141"/>
      <c r="AY102" s="141"/>
      <c r="AZ102" s="141"/>
      <c r="BA102" s="141"/>
      <c r="BB102" s="141"/>
      <c r="BC102" s="143"/>
      <c r="BD102" s="143"/>
      <c r="BE102" s="143"/>
      <c r="BF102" s="142"/>
      <c r="BG102" s="143"/>
      <c r="BH102" s="141"/>
      <c r="BI102" s="142"/>
      <c r="BJ102" s="142"/>
      <c r="BK102" s="116"/>
      <c r="BL102" s="116"/>
      <c r="BM102" s="116"/>
      <c r="BN102" s="116"/>
      <c r="BO102" s="116"/>
      <c r="BP102" s="116"/>
      <c r="BQ102" s="116"/>
      <c r="BR102" s="116"/>
      <c r="BS102" s="116"/>
      <c r="BT102" s="116"/>
      <c r="BU102" s="116"/>
      <c r="BV102" s="116"/>
      <c r="BW102" s="116"/>
      <c r="BX102" s="116"/>
      <c r="BY102" s="116"/>
      <c r="BZ102" s="116"/>
      <c r="CA102" s="116"/>
      <c r="CB102" s="116"/>
      <c r="CC102" s="116"/>
      <c r="CD102" s="116"/>
    </row>
    <row r="103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2"/>
      <c r="R103" s="142"/>
      <c r="S103" s="121"/>
      <c r="T103" s="141"/>
      <c r="U103" s="141"/>
      <c r="V103" s="141"/>
      <c r="W103" s="141"/>
      <c r="X103" s="141"/>
      <c r="Y103" s="141"/>
      <c r="Z103" s="143"/>
      <c r="AA103" s="141"/>
      <c r="AB103" s="143"/>
      <c r="AC103" s="143"/>
      <c r="AD103" s="141"/>
      <c r="AE103" s="143"/>
      <c r="AF103" s="141"/>
      <c r="AG103" s="141"/>
      <c r="AH103" s="141"/>
      <c r="AI103" s="141"/>
      <c r="AJ103" s="141"/>
      <c r="AK103" s="141"/>
      <c r="AL103" s="141"/>
      <c r="AM103" s="141"/>
      <c r="AN103" s="142"/>
      <c r="AO103" s="141"/>
      <c r="AP103" s="141"/>
      <c r="AQ103" s="143"/>
      <c r="AR103" s="141"/>
      <c r="AS103" s="141"/>
      <c r="AT103" s="141"/>
      <c r="AU103" s="143"/>
      <c r="AV103" s="141"/>
      <c r="AW103" s="141"/>
      <c r="AX103" s="141"/>
      <c r="AY103" s="141"/>
      <c r="AZ103" s="141"/>
      <c r="BA103" s="141"/>
      <c r="BB103" s="141"/>
      <c r="BC103" s="143"/>
      <c r="BD103" s="143"/>
      <c r="BE103" s="143"/>
      <c r="BF103" s="142"/>
      <c r="BG103" s="143"/>
      <c r="BH103" s="141"/>
      <c r="BI103" s="142"/>
      <c r="BJ103" s="142"/>
      <c r="BK103" s="116"/>
      <c r="BL103" s="116"/>
      <c r="BM103" s="116"/>
      <c r="BN103" s="116"/>
      <c r="BO103" s="116"/>
      <c r="BP103" s="116"/>
      <c r="BQ103" s="116"/>
      <c r="BR103" s="116"/>
      <c r="BS103" s="116"/>
      <c r="BT103" s="116"/>
      <c r="BU103" s="116"/>
      <c r="BV103" s="116"/>
      <c r="BW103" s="116"/>
      <c r="BX103" s="116"/>
      <c r="BY103" s="116"/>
      <c r="BZ103" s="116"/>
      <c r="CA103" s="116"/>
      <c r="CB103" s="116"/>
      <c r="CC103" s="116"/>
      <c r="CD103" s="116"/>
    </row>
    <row r="104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2"/>
      <c r="R104" s="142"/>
      <c r="S104" s="121"/>
      <c r="T104" s="141"/>
      <c r="U104" s="141"/>
      <c r="V104" s="141"/>
      <c r="W104" s="141"/>
      <c r="X104" s="141"/>
      <c r="Y104" s="141"/>
      <c r="Z104" s="143"/>
      <c r="AA104" s="141"/>
      <c r="AB104" s="143"/>
      <c r="AC104" s="143"/>
      <c r="AD104" s="141"/>
      <c r="AE104" s="143"/>
      <c r="AF104" s="141"/>
      <c r="AG104" s="141"/>
      <c r="AH104" s="141"/>
      <c r="AI104" s="141"/>
      <c r="AJ104" s="141"/>
      <c r="AK104" s="141"/>
      <c r="AL104" s="141"/>
      <c r="AM104" s="141"/>
      <c r="AN104" s="142"/>
      <c r="AO104" s="141"/>
      <c r="AP104" s="141"/>
      <c r="AQ104" s="143"/>
      <c r="AR104" s="141"/>
      <c r="AS104" s="141"/>
      <c r="AT104" s="141"/>
      <c r="AU104" s="143"/>
      <c r="AV104" s="141"/>
      <c r="AW104" s="141"/>
      <c r="AX104" s="141"/>
      <c r="AY104" s="141"/>
      <c r="AZ104" s="141"/>
      <c r="BA104" s="141"/>
      <c r="BB104" s="141"/>
      <c r="BC104" s="143"/>
      <c r="BD104" s="143"/>
      <c r="BE104" s="143"/>
      <c r="BF104" s="142"/>
      <c r="BG104" s="143"/>
      <c r="BH104" s="141"/>
      <c r="BI104" s="142"/>
      <c r="BJ104" s="142"/>
      <c r="BK104" s="116"/>
      <c r="BL104" s="116"/>
      <c r="BM104" s="116"/>
      <c r="BN104" s="116"/>
      <c r="BO104" s="116"/>
      <c r="BP104" s="116"/>
      <c r="BQ104" s="116"/>
      <c r="BR104" s="116"/>
      <c r="BS104" s="116"/>
      <c r="BT104" s="116"/>
      <c r="BU104" s="116"/>
      <c r="BV104" s="116"/>
      <c r="BW104" s="116"/>
      <c r="BX104" s="116"/>
      <c r="BY104" s="116"/>
      <c r="BZ104" s="116"/>
      <c r="CA104" s="116"/>
      <c r="CB104" s="116"/>
      <c r="CC104" s="116"/>
      <c r="CD104" s="116"/>
    </row>
    <row r="105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2"/>
      <c r="R105" s="142"/>
      <c r="S105" s="121"/>
      <c r="T105" s="141"/>
      <c r="U105" s="141"/>
      <c r="V105" s="141"/>
      <c r="W105" s="141"/>
      <c r="X105" s="141"/>
      <c r="Y105" s="141"/>
      <c r="Z105" s="143"/>
      <c r="AA105" s="141"/>
      <c r="AB105" s="143"/>
      <c r="AC105" s="143"/>
      <c r="AD105" s="141"/>
      <c r="AE105" s="143"/>
      <c r="AF105" s="141"/>
      <c r="AG105" s="141"/>
      <c r="AH105" s="141"/>
      <c r="AI105" s="141"/>
      <c r="AJ105" s="141"/>
      <c r="AK105" s="141"/>
      <c r="AL105" s="141"/>
      <c r="AM105" s="141"/>
      <c r="AN105" s="142"/>
      <c r="AO105" s="141"/>
      <c r="AP105" s="141"/>
      <c r="AQ105" s="143"/>
      <c r="AR105" s="141"/>
      <c r="AS105" s="141"/>
      <c r="AT105" s="141"/>
      <c r="AU105" s="143"/>
      <c r="AV105" s="141"/>
      <c r="AW105" s="141"/>
      <c r="AX105" s="141"/>
      <c r="AY105" s="141"/>
      <c r="AZ105" s="141"/>
      <c r="BA105" s="141"/>
      <c r="BB105" s="141"/>
      <c r="BC105" s="143"/>
      <c r="BD105" s="143"/>
      <c r="BE105" s="143"/>
      <c r="BF105" s="142"/>
      <c r="BG105" s="143"/>
      <c r="BH105" s="141"/>
      <c r="BI105" s="142"/>
      <c r="BJ105" s="142"/>
      <c r="BK105" s="116"/>
      <c r="BL105" s="116"/>
      <c r="BM105" s="116"/>
      <c r="BN105" s="116"/>
      <c r="BO105" s="116"/>
      <c r="BP105" s="116"/>
      <c r="BQ105" s="116"/>
      <c r="BR105" s="116"/>
      <c r="BS105" s="116"/>
      <c r="BT105" s="116"/>
      <c r="BU105" s="116"/>
      <c r="BV105" s="116"/>
      <c r="BW105" s="116"/>
      <c r="BX105" s="116"/>
      <c r="BY105" s="116"/>
      <c r="BZ105" s="116"/>
      <c r="CA105" s="116"/>
      <c r="CB105" s="116"/>
      <c r="CC105" s="116"/>
      <c r="CD105" s="116"/>
    </row>
    <row r="106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2"/>
      <c r="R106" s="142"/>
      <c r="S106" s="121"/>
      <c r="T106" s="141"/>
      <c r="U106" s="141"/>
      <c r="V106" s="141"/>
      <c r="W106" s="141"/>
      <c r="X106" s="141"/>
      <c r="Y106" s="141"/>
      <c r="Z106" s="143"/>
      <c r="AA106" s="141"/>
      <c r="AB106" s="143"/>
      <c r="AC106" s="143"/>
      <c r="AD106" s="141"/>
      <c r="AE106" s="143"/>
      <c r="AF106" s="141"/>
      <c r="AG106" s="141"/>
      <c r="AH106" s="141"/>
      <c r="AI106" s="141"/>
      <c r="AJ106" s="141"/>
      <c r="AK106" s="141"/>
      <c r="AL106" s="141"/>
      <c r="AM106" s="141"/>
      <c r="AN106" s="142"/>
      <c r="AO106" s="141"/>
      <c r="AP106" s="141"/>
      <c r="AQ106" s="143"/>
      <c r="AR106" s="141"/>
      <c r="AS106" s="141"/>
      <c r="AT106" s="141"/>
      <c r="AU106" s="143"/>
      <c r="AV106" s="141"/>
      <c r="AW106" s="141"/>
      <c r="AX106" s="141"/>
      <c r="AY106" s="141"/>
      <c r="AZ106" s="141"/>
      <c r="BA106" s="141"/>
      <c r="BB106" s="141"/>
      <c r="BC106" s="143"/>
      <c r="BD106" s="143"/>
      <c r="BE106" s="143"/>
      <c r="BF106" s="142"/>
      <c r="BG106" s="143"/>
      <c r="BH106" s="141"/>
      <c r="BI106" s="142"/>
      <c r="BJ106" s="142"/>
      <c r="BK106" s="116"/>
      <c r="BL106" s="116"/>
      <c r="BM106" s="116"/>
      <c r="BN106" s="116"/>
      <c r="BO106" s="116"/>
      <c r="BP106" s="116"/>
      <c r="BQ106" s="116"/>
      <c r="BR106" s="116"/>
      <c r="BS106" s="116"/>
      <c r="BT106" s="116"/>
      <c r="BU106" s="116"/>
      <c r="BV106" s="116"/>
      <c r="BW106" s="116"/>
      <c r="BX106" s="116"/>
      <c r="BY106" s="116"/>
      <c r="BZ106" s="116"/>
      <c r="CA106" s="116"/>
      <c r="CB106" s="116"/>
      <c r="CC106" s="116"/>
      <c r="CD106" s="116"/>
    </row>
    <row r="107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2"/>
      <c r="R107" s="142"/>
      <c r="S107" s="121"/>
      <c r="T107" s="141"/>
      <c r="U107" s="141"/>
      <c r="V107" s="141"/>
      <c r="W107" s="141"/>
      <c r="X107" s="141"/>
      <c r="Y107" s="141"/>
      <c r="Z107" s="143"/>
      <c r="AA107" s="141"/>
      <c r="AB107" s="143"/>
      <c r="AC107" s="143"/>
      <c r="AD107" s="141"/>
      <c r="AE107" s="143"/>
      <c r="AF107" s="141"/>
      <c r="AG107" s="141"/>
      <c r="AH107" s="141"/>
      <c r="AI107" s="141"/>
      <c r="AJ107" s="141"/>
      <c r="AK107" s="141"/>
      <c r="AL107" s="141"/>
      <c r="AM107" s="141"/>
      <c r="AN107" s="142"/>
      <c r="AO107" s="141"/>
      <c r="AP107" s="141"/>
      <c r="AQ107" s="143"/>
      <c r="AR107" s="141"/>
      <c r="AS107" s="141"/>
      <c r="AT107" s="141"/>
      <c r="AU107" s="143"/>
      <c r="AV107" s="141"/>
      <c r="AW107" s="141"/>
      <c r="AX107" s="141"/>
      <c r="AY107" s="141"/>
      <c r="AZ107" s="141"/>
      <c r="BA107" s="141"/>
      <c r="BB107" s="141"/>
      <c r="BC107" s="143"/>
      <c r="BD107" s="143"/>
      <c r="BE107" s="143"/>
      <c r="BF107" s="142"/>
      <c r="BG107" s="143"/>
      <c r="BH107" s="141"/>
      <c r="BI107" s="142"/>
      <c r="BJ107" s="142"/>
      <c r="BK107" s="116"/>
      <c r="BL107" s="116"/>
      <c r="BM107" s="116"/>
      <c r="BN107" s="116"/>
      <c r="BO107" s="116"/>
      <c r="BP107" s="116"/>
      <c r="BQ107" s="116"/>
      <c r="BR107" s="116"/>
      <c r="BS107" s="116"/>
      <c r="BT107" s="116"/>
      <c r="BU107" s="116"/>
      <c r="BV107" s="116"/>
      <c r="BW107" s="116"/>
      <c r="BX107" s="116"/>
      <c r="BY107" s="116"/>
      <c r="BZ107" s="116"/>
      <c r="CA107" s="116"/>
      <c r="CB107" s="116"/>
      <c r="CC107" s="116"/>
      <c r="CD107" s="116"/>
    </row>
    <row r="108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2"/>
      <c r="R108" s="142"/>
      <c r="S108" s="121"/>
      <c r="T108" s="141"/>
      <c r="U108" s="141"/>
      <c r="V108" s="141"/>
      <c r="W108" s="141"/>
      <c r="X108" s="141"/>
      <c r="Y108" s="141"/>
      <c r="Z108" s="143"/>
      <c r="AA108" s="141"/>
      <c r="AB108" s="143"/>
      <c r="AC108" s="143"/>
      <c r="AD108" s="141"/>
      <c r="AE108" s="143"/>
      <c r="AF108" s="141"/>
      <c r="AG108" s="141"/>
      <c r="AH108" s="141"/>
      <c r="AI108" s="141"/>
      <c r="AJ108" s="141"/>
      <c r="AK108" s="141"/>
      <c r="AL108" s="141"/>
      <c r="AM108" s="141"/>
      <c r="AN108" s="142"/>
      <c r="AO108" s="141"/>
      <c r="AP108" s="141"/>
      <c r="AQ108" s="143"/>
      <c r="AR108" s="141"/>
      <c r="AS108" s="141"/>
      <c r="AT108" s="141"/>
      <c r="AU108" s="143"/>
      <c r="AV108" s="141"/>
      <c r="AW108" s="141"/>
      <c r="AX108" s="141"/>
      <c r="AY108" s="141"/>
      <c r="AZ108" s="141"/>
      <c r="BA108" s="141"/>
      <c r="BB108" s="141"/>
      <c r="BC108" s="143"/>
      <c r="BD108" s="143"/>
      <c r="BE108" s="143"/>
      <c r="BF108" s="142"/>
      <c r="BG108" s="143"/>
      <c r="BH108" s="141"/>
      <c r="BI108" s="142"/>
      <c r="BJ108" s="142"/>
      <c r="BK108" s="116"/>
      <c r="BL108" s="116"/>
      <c r="BM108" s="116"/>
      <c r="BN108" s="116"/>
      <c r="BO108" s="116"/>
      <c r="BP108" s="116"/>
      <c r="BQ108" s="116"/>
      <c r="BR108" s="116"/>
      <c r="BS108" s="116"/>
      <c r="BT108" s="116"/>
      <c r="BU108" s="116"/>
      <c r="BV108" s="116"/>
      <c r="BW108" s="116"/>
      <c r="BX108" s="116"/>
      <c r="BY108" s="116"/>
      <c r="BZ108" s="116"/>
      <c r="CA108" s="116"/>
      <c r="CB108" s="116"/>
      <c r="CC108" s="116"/>
      <c r="CD108" s="116"/>
    </row>
    <row r="109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2"/>
      <c r="R109" s="142"/>
      <c r="S109" s="121"/>
      <c r="T109" s="141"/>
      <c r="U109" s="141"/>
      <c r="V109" s="141"/>
      <c r="W109" s="141"/>
      <c r="X109" s="141"/>
      <c r="Y109" s="141"/>
      <c r="Z109" s="143"/>
      <c r="AA109" s="141"/>
      <c r="AB109" s="143"/>
      <c r="AC109" s="143"/>
      <c r="AD109" s="141"/>
      <c r="AE109" s="143"/>
      <c r="AF109" s="141"/>
      <c r="AG109" s="141"/>
      <c r="AH109" s="141"/>
      <c r="AI109" s="141"/>
      <c r="AJ109" s="141"/>
      <c r="AK109" s="141"/>
      <c r="AL109" s="141"/>
      <c r="AM109" s="141"/>
      <c r="AN109" s="142"/>
      <c r="AO109" s="141"/>
      <c r="AP109" s="141"/>
      <c r="AQ109" s="143"/>
      <c r="AR109" s="141"/>
      <c r="AS109" s="141"/>
      <c r="AT109" s="141"/>
      <c r="AU109" s="143"/>
      <c r="AV109" s="141"/>
      <c r="AW109" s="141"/>
      <c r="AX109" s="141"/>
      <c r="AY109" s="141"/>
      <c r="AZ109" s="141"/>
      <c r="BA109" s="141"/>
      <c r="BB109" s="141"/>
      <c r="BC109" s="143"/>
      <c r="BD109" s="143"/>
      <c r="BE109" s="143"/>
      <c r="BF109" s="142"/>
      <c r="BG109" s="143"/>
      <c r="BH109" s="141"/>
      <c r="BI109" s="142"/>
      <c r="BJ109" s="142"/>
      <c r="BK109" s="116"/>
      <c r="BL109" s="116"/>
      <c r="BM109" s="116"/>
      <c r="BN109" s="116"/>
      <c r="BO109" s="116"/>
      <c r="BP109" s="116"/>
      <c r="BQ109" s="116"/>
      <c r="BR109" s="116"/>
      <c r="BS109" s="116"/>
      <c r="BT109" s="116"/>
      <c r="BU109" s="116"/>
      <c r="BV109" s="116"/>
      <c r="BW109" s="116"/>
      <c r="BX109" s="116"/>
      <c r="BY109" s="116"/>
      <c r="BZ109" s="116"/>
      <c r="CA109" s="116"/>
      <c r="CB109" s="116"/>
      <c r="CC109" s="116"/>
      <c r="CD109" s="116"/>
    </row>
    <row r="110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2"/>
      <c r="R110" s="142"/>
      <c r="S110" s="121"/>
      <c r="T110" s="141"/>
      <c r="U110" s="141"/>
      <c r="V110" s="141"/>
      <c r="W110" s="141"/>
      <c r="X110" s="141"/>
      <c r="Y110" s="141"/>
      <c r="Z110" s="143"/>
      <c r="AA110" s="141"/>
      <c r="AB110" s="143"/>
      <c r="AC110" s="143"/>
      <c r="AD110" s="141"/>
      <c r="AE110" s="143"/>
      <c r="AF110" s="141"/>
      <c r="AG110" s="141"/>
      <c r="AH110" s="141"/>
      <c r="AI110" s="141"/>
      <c r="AJ110" s="141"/>
      <c r="AK110" s="141"/>
      <c r="AL110" s="141"/>
      <c r="AM110" s="141"/>
      <c r="AN110" s="142"/>
      <c r="AO110" s="141"/>
      <c r="AP110" s="141"/>
      <c r="AQ110" s="143"/>
      <c r="AR110" s="141"/>
      <c r="AS110" s="141"/>
      <c r="AT110" s="141"/>
      <c r="AU110" s="143"/>
      <c r="AV110" s="141"/>
      <c r="AW110" s="141"/>
      <c r="AX110" s="141"/>
      <c r="AY110" s="141"/>
      <c r="AZ110" s="141"/>
      <c r="BA110" s="141"/>
      <c r="BB110" s="141"/>
      <c r="BC110" s="143"/>
      <c r="BD110" s="143"/>
      <c r="BE110" s="143"/>
      <c r="BF110" s="142"/>
      <c r="BG110" s="143"/>
      <c r="BH110" s="141"/>
      <c r="BI110" s="142"/>
      <c r="BJ110" s="142"/>
      <c r="BK110" s="116"/>
      <c r="BL110" s="116"/>
      <c r="BM110" s="116"/>
      <c r="BN110" s="116"/>
      <c r="BO110" s="116"/>
      <c r="BP110" s="116"/>
      <c r="BQ110" s="116"/>
      <c r="BR110" s="116"/>
      <c r="BS110" s="116"/>
      <c r="BT110" s="116"/>
      <c r="BU110" s="116"/>
      <c r="BV110" s="116"/>
      <c r="BW110" s="116"/>
      <c r="BX110" s="116"/>
      <c r="BY110" s="116"/>
      <c r="BZ110" s="116"/>
      <c r="CA110" s="116"/>
      <c r="CB110" s="116"/>
      <c r="CC110" s="116"/>
      <c r="CD110" s="116"/>
    </row>
    <row r="11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2"/>
      <c r="R111" s="142"/>
      <c r="S111" s="121"/>
      <c r="T111" s="141"/>
      <c r="U111" s="141"/>
      <c r="V111" s="141"/>
      <c r="W111" s="141"/>
      <c r="X111" s="141"/>
      <c r="Y111" s="141"/>
      <c r="Z111" s="143"/>
      <c r="AA111" s="141"/>
      <c r="AB111" s="143"/>
      <c r="AC111" s="143"/>
      <c r="AD111" s="141"/>
      <c r="AE111" s="143"/>
      <c r="AF111" s="141"/>
      <c r="AG111" s="141"/>
      <c r="AH111" s="141"/>
      <c r="AI111" s="141"/>
      <c r="AJ111" s="141"/>
      <c r="AK111" s="141"/>
      <c r="AL111" s="141"/>
      <c r="AM111" s="141"/>
      <c r="AN111" s="142"/>
      <c r="AO111" s="141"/>
      <c r="AP111" s="141"/>
      <c r="AQ111" s="143"/>
      <c r="AR111" s="141"/>
      <c r="AS111" s="141"/>
      <c r="AT111" s="141"/>
      <c r="AU111" s="143"/>
      <c r="AV111" s="141"/>
      <c r="AW111" s="141"/>
      <c r="AX111" s="141"/>
      <c r="AY111" s="141"/>
      <c r="AZ111" s="141"/>
      <c r="BA111" s="141"/>
      <c r="BB111" s="141"/>
      <c r="BC111" s="143"/>
      <c r="BD111" s="143"/>
      <c r="BE111" s="143"/>
      <c r="BF111" s="142"/>
      <c r="BG111" s="143"/>
      <c r="BH111" s="141"/>
      <c r="BI111" s="142"/>
      <c r="BJ111" s="142"/>
      <c r="BK111" s="116"/>
      <c r="BL111" s="116"/>
      <c r="BM111" s="116"/>
      <c r="BN111" s="116"/>
      <c r="BO111" s="116"/>
      <c r="BP111" s="116"/>
      <c r="BQ111" s="116"/>
      <c r="BR111" s="116"/>
      <c r="BS111" s="116"/>
      <c r="BT111" s="116"/>
      <c r="BU111" s="116"/>
      <c r="BV111" s="116"/>
      <c r="BW111" s="116"/>
      <c r="BX111" s="116"/>
      <c r="BY111" s="116"/>
      <c r="BZ111" s="116"/>
      <c r="CA111" s="116"/>
      <c r="CB111" s="116"/>
      <c r="CC111" s="116"/>
      <c r="CD111" s="116"/>
    </row>
    <row r="112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2"/>
      <c r="R112" s="142"/>
      <c r="S112" s="121"/>
      <c r="T112" s="141"/>
      <c r="U112" s="141"/>
      <c r="V112" s="141"/>
      <c r="W112" s="141"/>
      <c r="X112" s="141"/>
      <c r="Y112" s="141"/>
      <c r="Z112" s="143"/>
      <c r="AA112" s="141"/>
      <c r="AB112" s="143"/>
      <c r="AC112" s="143"/>
      <c r="AD112" s="141"/>
      <c r="AE112" s="143"/>
      <c r="AF112" s="141"/>
      <c r="AG112" s="141"/>
      <c r="AH112" s="141"/>
      <c r="AI112" s="141"/>
      <c r="AJ112" s="141"/>
      <c r="AK112" s="141"/>
      <c r="AL112" s="141"/>
      <c r="AM112" s="141"/>
      <c r="AN112" s="142"/>
      <c r="AO112" s="141"/>
      <c r="AP112" s="141"/>
      <c r="AQ112" s="143"/>
      <c r="AR112" s="141"/>
      <c r="AS112" s="141"/>
      <c r="AT112" s="141"/>
      <c r="AU112" s="143"/>
      <c r="AV112" s="141"/>
      <c r="AW112" s="141"/>
      <c r="AX112" s="141"/>
      <c r="AY112" s="141"/>
      <c r="AZ112" s="141"/>
      <c r="BA112" s="141"/>
      <c r="BB112" s="141"/>
      <c r="BC112" s="143"/>
      <c r="BD112" s="143"/>
      <c r="BE112" s="143"/>
      <c r="BF112" s="142"/>
      <c r="BG112" s="143"/>
      <c r="BH112" s="141"/>
      <c r="BI112" s="142"/>
      <c r="BJ112" s="142"/>
      <c r="BK112" s="116"/>
      <c r="BL112" s="116"/>
      <c r="BM112" s="116"/>
      <c r="BN112" s="116"/>
      <c r="BO112" s="116"/>
      <c r="BP112" s="116"/>
      <c r="BQ112" s="116"/>
      <c r="BR112" s="116"/>
      <c r="BS112" s="116"/>
      <c r="BT112" s="116"/>
      <c r="BU112" s="116"/>
      <c r="BV112" s="116"/>
      <c r="BW112" s="116"/>
      <c r="BX112" s="116"/>
      <c r="BY112" s="116"/>
      <c r="BZ112" s="116"/>
      <c r="CA112" s="116"/>
      <c r="CB112" s="116"/>
      <c r="CC112" s="116"/>
      <c r="CD112" s="116"/>
    </row>
    <row r="113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2"/>
      <c r="R113" s="142"/>
      <c r="S113" s="121"/>
      <c r="T113" s="141"/>
      <c r="U113" s="141"/>
      <c r="V113" s="141"/>
      <c r="W113" s="141"/>
      <c r="X113" s="141"/>
      <c r="Y113" s="141"/>
      <c r="Z113" s="143"/>
      <c r="AA113" s="141"/>
      <c r="AB113" s="143"/>
      <c r="AC113" s="143"/>
      <c r="AD113" s="141"/>
      <c r="AE113" s="143"/>
      <c r="AF113" s="141"/>
      <c r="AG113" s="141"/>
      <c r="AH113" s="141"/>
      <c r="AI113" s="141"/>
      <c r="AJ113" s="141"/>
      <c r="AK113" s="141"/>
      <c r="AL113" s="141"/>
      <c r="AM113" s="141"/>
      <c r="AN113" s="142"/>
      <c r="AO113" s="141"/>
      <c r="AP113" s="141"/>
      <c r="AQ113" s="143"/>
      <c r="AR113" s="141"/>
      <c r="AS113" s="141"/>
      <c r="AT113" s="141"/>
      <c r="AU113" s="143"/>
      <c r="AV113" s="141"/>
      <c r="AW113" s="141"/>
      <c r="AX113" s="141"/>
      <c r="AY113" s="141"/>
      <c r="AZ113" s="141"/>
      <c r="BA113" s="141"/>
      <c r="BB113" s="141"/>
      <c r="BC113" s="143"/>
      <c r="BD113" s="143"/>
      <c r="BE113" s="143"/>
      <c r="BF113" s="142"/>
      <c r="BG113" s="143"/>
      <c r="BH113" s="141"/>
      <c r="BI113" s="142"/>
      <c r="BJ113" s="142"/>
      <c r="BK113" s="116"/>
      <c r="BL113" s="116"/>
      <c r="BM113" s="116"/>
      <c r="BN113" s="116"/>
      <c r="BO113" s="116"/>
      <c r="BP113" s="116"/>
      <c r="BQ113" s="116"/>
      <c r="BR113" s="116"/>
      <c r="BS113" s="116"/>
      <c r="BT113" s="116"/>
      <c r="BU113" s="116"/>
      <c r="BV113" s="116"/>
      <c r="BW113" s="116"/>
      <c r="BX113" s="116"/>
      <c r="BY113" s="116"/>
      <c r="BZ113" s="116"/>
      <c r="CA113" s="116"/>
      <c r="CB113" s="116"/>
      <c r="CC113" s="116"/>
      <c r="CD113" s="116"/>
    </row>
    <row r="114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2"/>
      <c r="R114" s="142"/>
      <c r="S114" s="121"/>
      <c r="T114" s="141"/>
      <c r="U114" s="141"/>
      <c r="V114" s="141"/>
      <c r="W114" s="141"/>
      <c r="X114" s="141"/>
      <c r="Y114" s="141"/>
      <c r="Z114" s="143"/>
      <c r="AA114" s="141"/>
      <c r="AB114" s="143"/>
      <c r="AC114" s="143"/>
      <c r="AD114" s="141"/>
      <c r="AE114" s="143"/>
      <c r="AF114" s="141"/>
      <c r="AG114" s="141"/>
      <c r="AH114" s="141"/>
      <c r="AI114" s="141"/>
      <c r="AJ114" s="141"/>
      <c r="AK114" s="141"/>
      <c r="AL114" s="141"/>
      <c r="AM114" s="141"/>
      <c r="AN114" s="142"/>
      <c r="AO114" s="141"/>
      <c r="AP114" s="141"/>
      <c r="AQ114" s="143"/>
      <c r="AR114" s="141"/>
      <c r="AS114" s="141"/>
      <c r="AT114" s="141"/>
      <c r="AU114" s="143"/>
      <c r="AV114" s="141"/>
      <c r="AW114" s="141"/>
      <c r="AX114" s="141"/>
      <c r="AY114" s="141"/>
      <c r="AZ114" s="141"/>
      <c r="BA114" s="141"/>
      <c r="BB114" s="141"/>
      <c r="BC114" s="143"/>
      <c r="BD114" s="143"/>
      <c r="BE114" s="143"/>
      <c r="BF114" s="142"/>
      <c r="BG114" s="143"/>
      <c r="BH114" s="141"/>
      <c r="BI114" s="142"/>
      <c r="BJ114" s="142"/>
      <c r="BK114" s="116"/>
      <c r="BL114" s="116"/>
      <c r="BM114" s="116"/>
      <c r="BN114" s="116"/>
      <c r="BO114" s="116"/>
      <c r="BP114" s="116"/>
      <c r="BQ114" s="116"/>
      <c r="BR114" s="116"/>
      <c r="BS114" s="116"/>
      <c r="BT114" s="116"/>
      <c r="BU114" s="116"/>
      <c r="BV114" s="116"/>
      <c r="BW114" s="116"/>
      <c r="BX114" s="116"/>
      <c r="BY114" s="116"/>
      <c r="BZ114" s="116"/>
      <c r="CA114" s="116"/>
      <c r="CB114" s="116"/>
      <c r="CC114" s="116"/>
      <c r="CD114" s="116"/>
    </row>
    <row r="115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2"/>
      <c r="R115" s="142"/>
      <c r="S115" s="121"/>
      <c r="T115" s="141"/>
      <c r="U115" s="141"/>
      <c r="V115" s="141"/>
      <c r="W115" s="141"/>
      <c r="X115" s="141"/>
      <c r="Y115" s="141"/>
      <c r="Z115" s="143"/>
      <c r="AA115" s="141"/>
      <c r="AB115" s="143"/>
      <c r="AC115" s="143"/>
      <c r="AD115" s="141"/>
      <c r="AE115" s="143"/>
      <c r="AF115" s="141"/>
      <c r="AG115" s="141"/>
      <c r="AH115" s="141"/>
      <c r="AI115" s="141"/>
      <c r="AJ115" s="141"/>
      <c r="AK115" s="141"/>
      <c r="AL115" s="141"/>
      <c r="AM115" s="141"/>
      <c r="AN115" s="142"/>
      <c r="AO115" s="141"/>
      <c r="AP115" s="141"/>
      <c r="AQ115" s="143"/>
      <c r="AR115" s="141"/>
      <c r="AS115" s="141"/>
      <c r="AT115" s="141"/>
      <c r="AU115" s="143"/>
      <c r="AV115" s="141"/>
      <c r="AW115" s="141"/>
      <c r="AX115" s="141"/>
      <c r="AY115" s="141"/>
      <c r="AZ115" s="141"/>
      <c r="BA115" s="141"/>
      <c r="BB115" s="141"/>
      <c r="BC115" s="143"/>
      <c r="BD115" s="143"/>
      <c r="BE115" s="143"/>
      <c r="BF115" s="142"/>
      <c r="BG115" s="143"/>
      <c r="BH115" s="141"/>
      <c r="BI115" s="142"/>
      <c r="BJ115" s="142"/>
      <c r="BK115" s="116"/>
      <c r="BL115" s="116"/>
      <c r="BM115" s="116"/>
      <c r="BN115" s="116"/>
      <c r="BO115" s="116"/>
      <c r="BP115" s="116"/>
      <c r="BQ115" s="116"/>
      <c r="BR115" s="116"/>
      <c r="BS115" s="116"/>
      <c r="BT115" s="116"/>
      <c r="BU115" s="116"/>
      <c r="BV115" s="116"/>
      <c r="BW115" s="116"/>
      <c r="BX115" s="116"/>
      <c r="BY115" s="116"/>
      <c r="BZ115" s="116"/>
      <c r="CA115" s="116"/>
      <c r="CB115" s="116"/>
      <c r="CC115" s="116"/>
      <c r="CD115" s="116"/>
    </row>
    <row r="116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2"/>
      <c r="R116" s="142"/>
      <c r="S116" s="121"/>
      <c r="T116" s="141"/>
      <c r="U116" s="141"/>
      <c r="V116" s="141"/>
      <c r="W116" s="141"/>
      <c r="X116" s="141"/>
      <c r="Y116" s="141"/>
      <c r="Z116" s="143"/>
      <c r="AA116" s="141"/>
      <c r="AB116" s="143"/>
      <c r="AC116" s="143"/>
      <c r="AD116" s="141"/>
      <c r="AE116" s="143"/>
      <c r="AF116" s="141"/>
      <c r="AG116" s="141"/>
      <c r="AH116" s="141"/>
      <c r="AI116" s="141"/>
      <c r="AJ116" s="141"/>
      <c r="AK116" s="141"/>
      <c r="AL116" s="141"/>
      <c r="AM116" s="141"/>
      <c r="AN116" s="142"/>
      <c r="AO116" s="141"/>
      <c r="AP116" s="141"/>
      <c r="AQ116" s="143"/>
      <c r="AR116" s="141"/>
      <c r="AS116" s="141"/>
      <c r="AT116" s="141"/>
      <c r="AU116" s="143"/>
      <c r="AV116" s="141"/>
      <c r="AW116" s="141"/>
      <c r="AX116" s="141"/>
      <c r="AY116" s="141"/>
      <c r="AZ116" s="141"/>
      <c r="BA116" s="141"/>
      <c r="BB116" s="141"/>
      <c r="BC116" s="143"/>
      <c r="BD116" s="143"/>
      <c r="BE116" s="143"/>
      <c r="BF116" s="142"/>
      <c r="BG116" s="143"/>
      <c r="BH116" s="141"/>
      <c r="BI116" s="142"/>
      <c r="BJ116" s="142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</row>
    <row r="117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2"/>
      <c r="R117" s="142"/>
      <c r="S117" s="121"/>
      <c r="T117" s="141"/>
      <c r="U117" s="141"/>
      <c r="V117" s="141"/>
      <c r="W117" s="141"/>
      <c r="X117" s="141"/>
      <c r="Y117" s="141"/>
      <c r="Z117" s="143"/>
      <c r="AA117" s="141"/>
      <c r="AB117" s="143"/>
      <c r="AC117" s="143"/>
      <c r="AD117" s="141"/>
      <c r="AE117" s="143"/>
      <c r="AF117" s="141"/>
      <c r="AG117" s="141"/>
      <c r="AH117" s="141"/>
      <c r="AI117" s="141"/>
      <c r="AJ117" s="141"/>
      <c r="AK117" s="141"/>
      <c r="AL117" s="141"/>
      <c r="AM117" s="141"/>
      <c r="AN117" s="142"/>
      <c r="AO117" s="141"/>
      <c r="AP117" s="141"/>
      <c r="AQ117" s="143"/>
      <c r="AR117" s="141"/>
      <c r="AS117" s="141"/>
      <c r="AT117" s="141"/>
      <c r="AU117" s="143"/>
      <c r="AV117" s="141"/>
      <c r="AW117" s="141"/>
      <c r="AX117" s="141"/>
      <c r="AY117" s="141"/>
      <c r="AZ117" s="141"/>
      <c r="BA117" s="141"/>
      <c r="BB117" s="141"/>
      <c r="BC117" s="143"/>
      <c r="BD117" s="143"/>
      <c r="BE117" s="143"/>
      <c r="BF117" s="142"/>
      <c r="BG117" s="143"/>
      <c r="BH117" s="141"/>
      <c r="BI117" s="142"/>
      <c r="BJ117" s="142"/>
      <c r="BK117" s="116"/>
      <c r="BL117" s="116"/>
      <c r="BM117" s="116"/>
      <c r="BN117" s="116"/>
      <c r="BO117" s="116"/>
      <c r="BP117" s="116"/>
      <c r="BQ117" s="116"/>
      <c r="BR117" s="116"/>
      <c r="BS117" s="116"/>
      <c r="BT117" s="116"/>
      <c r="BU117" s="116"/>
      <c r="BV117" s="116"/>
      <c r="BW117" s="116"/>
      <c r="BX117" s="116"/>
      <c r="BY117" s="116"/>
      <c r="BZ117" s="116"/>
      <c r="CA117" s="116"/>
      <c r="CB117" s="116"/>
      <c r="CC117" s="116"/>
      <c r="CD117" s="116"/>
    </row>
    <row r="118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2"/>
      <c r="R118" s="142"/>
      <c r="S118" s="121"/>
      <c r="T118" s="141"/>
      <c r="U118" s="141"/>
      <c r="V118" s="141"/>
      <c r="W118" s="141"/>
      <c r="X118" s="141"/>
      <c r="Y118" s="141"/>
      <c r="Z118" s="143"/>
      <c r="AA118" s="141"/>
      <c r="AB118" s="143"/>
      <c r="AC118" s="143"/>
      <c r="AD118" s="141"/>
      <c r="AE118" s="143"/>
      <c r="AF118" s="141"/>
      <c r="AG118" s="141"/>
      <c r="AH118" s="141"/>
      <c r="AI118" s="141"/>
      <c r="AJ118" s="141"/>
      <c r="AK118" s="141"/>
      <c r="AL118" s="141"/>
      <c r="AM118" s="141"/>
      <c r="AN118" s="142"/>
      <c r="AO118" s="141"/>
      <c r="AP118" s="141"/>
      <c r="AQ118" s="143"/>
      <c r="AR118" s="141"/>
      <c r="AS118" s="141"/>
      <c r="AT118" s="141"/>
      <c r="AU118" s="143"/>
      <c r="AV118" s="141"/>
      <c r="AW118" s="141"/>
      <c r="AX118" s="141"/>
      <c r="AY118" s="141"/>
      <c r="AZ118" s="141"/>
      <c r="BA118" s="141"/>
      <c r="BB118" s="141"/>
      <c r="BC118" s="143"/>
      <c r="BD118" s="143"/>
      <c r="BE118" s="143"/>
      <c r="BF118" s="142"/>
      <c r="BG118" s="143"/>
      <c r="BH118" s="141"/>
      <c r="BI118" s="142"/>
      <c r="BJ118" s="142"/>
      <c r="BK118" s="116"/>
      <c r="BL118" s="116"/>
      <c r="BM118" s="116"/>
      <c r="BN118" s="116"/>
      <c r="BO118" s="116"/>
      <c r="BP118" s="116"/>
      <c r="BQ118" s="116"/>
      <c r="BR118" s="116"/>
      <c r="BS118" s="116"/>
      <c r="BT118" s="116"/>
      <c r="BU118" s="116"/>
      <c r="BV118" s="116"/>
      <c r="BW118" s="116"/>
      <c r="BX118" s="116"/>
      <c r="BY118" s="116"/>
      <c r="BZ118" s="116"/>
      <c r="CA118" s="116"/>
      <c r="CB118" s="116"/>
      <c r="CC118" s="116"/>
      <c r="CD118" s="116"/>
    </row>
    <row r="119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2"/>
      <c r="R119" s="142"/>
      <c r="S119" s="121"/>
      <c r="T119" s="141"/>
      <c r="U119" s="141"/>
      <c r="V119" s="141"/>
      <c r="W119" s="141"/>
      <c r="X119" s="141"/>
      <c r="Y119" s="141"/>
      <c r="Z119" s="143"/>
      <c r="AA119" s="141"/>
      <c r="AB119" s="143"/>
      <c r="AC119" s="143"/>
      <c r="AD119" s="141"/>
      <c r="AE119" s="143"/>
      <c r="AF119" s="141"/>
      <c r="AG119" s="141"/>
      <c r="AH119" s="141"/>
      <c r="AI119" s="141"/>
      <c r="AJ119" s="141"/>
      <c r="AK119" s="141"/>
      <c r="AL119" s="141"/>
      <c r="AM119" s="141"/>
      <c r="AN119" s="142"/>
      <c r="AO119" s="141"/>
      <c r="AP119" s="141"/>
      <c r="AQ119" s="143"/>
      <c r="AR119" s="141"/>
      <c r="AS119" s="141"/>
      <c r="AT119" s="141"/>
      <c r="AU119" s="143"/>
      <c r="AV119" s="141"/>
      <c r="AW119" s="141"/>
      <c r="AX119" s="141"/>
      <c r="AY119" s="141"/>
      <c r="AZ119" s="141"/>
      <c r="BA119" s="141"/>
      <c r="BB119" s="141"/>
      <c r="BC119" s="143"/>
      <c r="BD119" s="143"/>
      <c r="BE119" s="143"/>
      <c r="BF119" s="142"/>
      <c r="BG119" s="143"/>
      <c r="BH119" s="141"/>
      <c r="BI119" s="142"/>
      <c r="BJ119" s="142"/>
      <c r="BK119" s="116"/>
      <c r="BL119" s="116"/>
      <c r="BM119" s="116"/>
      <c r="BN119" s="116"/>
      <c r="BO119" s="116"/>
      <c r="BP119" s="116"/>
      <c r="BQ119" s="116"/>
      <c r="BR119" s="116"/>
      <c r="BS119" s="116"/>
      <c r="BT119" s="116"/>
      <c r="BU119" s="116"/>
      <c r="BV119" s="116"/>
      <c r="BW119" s="116"/>
      <c r="BX119" s="116"/>
      <c r="BY119" s="116"/>
      <c r="BZ119" s="116"/>
      <c r="CA119" s="116"/>
      <c r="CB119" s="116"/>
      <c r="CC119" s="116"/>
      <c r="CD119" s="116"/>
    </row>
    <row r="120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2"/>
      <c r="R120" s="142"/>
      <c r="S120" s="121"/>
      <c r="T120" s="141"/>
      <c r="U120" s="141"/>
      <c r="V120" s="141"/>
      <c r="W120" s="141"/>
      <c r="X120" s="141"/>
      <c r="Y120" s="141"/>
      <c r="Z120" s="143"/>
      <c r="AA120" s="141"/>
      <c r="AB120" s="143"/>
      <c r="AC120" s="143"/>
      <c r="AD120" s="141"/>
      <c r="AE120" s="143"/>
      <c r="AF120" s="141"/>
      <c r="AG120" s="141"/>
      <c r="AH120" s="141"/>
      <c r="AI120" s="141"/>
      <c r="AJ120" s="141"/>
      <c r="AK120" s="141"/>
      <c r="AL120" s="141"/>
      <c r="AM120" s="141"/>
      <c r="AN120" s="142"/>
      <c r="AO120" s="141"/>
      <c r="AP120" s="141"/>
      <c r="AQ120" s="143"/>
      <c r="AR120" s="141"/>
      <c r="AS120" s="141"/>
      <c r="AT120" s="141"/>
      <c r="AU120" s="143"/>
      <c r="AV120" s="141"/>
      <c r="AW120" s="141"/>
      <c r="AX120" s="141"/>
      <c r="AY120" s="141"/>
      <c r="AZ120" s="141"/>
      <c r="BA120" s="141"/>
      <c r="BB120" s="141"/>
      <c r="BC120" s="143"/>
      <c r="BD120" s="143"/>
      <c r="BE120" s="143"/>
      <c r="BF120" s="142"/>
      <c r="BG120" s="143"/>
      <c r="BH120" s="141"/>
      <c r="BI120" s="142"/>
      <c r="BJ120" s="142"/>
      <c r="BK120" s="116"/>
      <c r="BL120" s="116"/>
      <c r="BM120" s="116"/>
      <c r="BN120" s="116"/>
      <c r="BO120" s="116"/>
      <c r="BP120" s="116"/>
      <c r="BQ120" s="116"/>
      <c r="BR120" s="116"/>
      <c r="BS120" s="116"/>
      <c r="BT120" s="116"/>
      <c r="BU120" s="116"/>
      <c r="BV120" s="116"/>
      <c r="BW120" s="116"/>
      <c r="BX120" s="116"/>
      <c r="BY120" s="116"/>
      <c r="BZ120" s="116"/>
      <c r="CA120" s="116"/>
      <c r="CB120" s="116"/>
      <c r="CC120" s="116"/>
      <c r="CD120" s="116"/>
    </row>
    <row r="12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2"/>
      <c r="R121" s="142"/>
      <c r="S121" s="121"/>
      <c r="T121" s="141"/>
      <c r="U121" s="141"/>
      <c r="V121" s="141"/>
      <c r="W121" s="141"/>
      <c r="X121" s="141"/>
      <c r="Y121" s="141"/>
      <c r="Z121" s="143"/>
      <c r="AA121" s="141"/>
      <c r="AB121" s="143"/>
      <c r="AC121" s="143"/>
      <c r="AD121" s="141"/>
      <c r="AE121" s="143"/>
      <c r="AF121" s="141"/>
      <c r="AG121" s="141"/>
      <c r="AH121" s="141"/>
      <c r="AI121" s="141"/>
      <c r="AJ121" s="141"/>
      <c r="AK121" s="141"/>
      <c r="AL121" s="141"/>
      <c r="AM121" s="141"/>
      <c r="AN121" s="142"/>
      <c r="AO121" s="141"/>
      <c r="AP121" s="141"/>
      <c r="AQ121" s="143"/>
      <c r="AR121" s="141"/>
      <c r="AS121" s="141"/>
      <c r="AT121" s="141"/>
      <c r="AU121" s="143"/>
      <c r="AV121" s="141"/>
      <c r="AW121" s="141"/>
      <c r="AX121" s="141"/>
      <c r="AY121" s="141"/>
      <c r="AZ121" s="141"/>
      <c r="BA121" s="141"/>
      <c r="BB121" s="141"/>
      <c r="BC121" s="143"/>
      <c r="BD121" s="143"/>
      <c r="BE121" s="143"/>
      <c r="BF121" s="142"/>
      <c r="BG121" s="143"/>
      <c r="BH121" s="141"/>
      <c r="BI121" s="142"/>
      <c r="BJ121" s="142"/>
      <c r="BK121" s="116"/>
      <c r="BL121" s="116"/>
      <c r="BM121" s="116"/>
      <c r="BN121" s="116"/>
      <c r="BO121" s="116"/>
      <c r="BP121" s="116"/>
      <c r="BQ121" s="116"/>
      <c r="BR121" s="116"/>
      <c r="BS121" s="116"/>
      <c r="BT121" s="116"/>
      <c r="BU121" s="116"/>
      <c r="BV121" s="116"/>
      <c r="BW121" s="116"/>
      <c r="BX121" s="116"/>
      <c r="BY121" s="116"/>
      <c r="BZ121" s="116"/>
      <c r="CA121" s="116"/>
      <c r="CB121" s="116"/>
      <c r="CC121" s="116"/>
      <c r="CD121" s="116"/>
    </row>
    <row r="122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2"/>
      <c r="R122" s="142"/>
      <c r="S122" s="121"/>
      <c r="T122" s="141"/>
      <c r="U122" s="141"/>
      <c r="V122" s="141"/>
      <c r="W122" s="141"/>
      <c r="X122" s="141"/>
      <c r="Y122" s="141"/>
      <c r="Z122" s="143"/>
      <c r="AA122" s="141"/>
      <c r="AB122" s="143"/>
      <c r="AC122" s="143"/>
      <c r="AD122" s="141"/>
      <c r="AE122" s="143"/>
      <c r="AF122" s="141"/>
      <c r="AG122" s="141"/>
      <c r="AH122" s="141"/>
      <c r="AI122" s="141"/>
      <c r="AJ122" s="141"/>
      <c r="AK122" s="141"/>
      <c r="AL122" s="141"/>
      <c r="AM122" s="141"/>
      <c r="AN122" s="142"/>
      <c r="AO122" s="141"/>
      <c r="AP122" s="141"/>
      <c r="AQ122" s="143"/>
      <c r="AR122" s="141"/>
      <c r="AS122" s="141"/>
      <c r="AT122" s="141"/>
      <c r="AU122" s="143"/>
      <c r="AV122" s="141"/>
      <c r="AW122" s="141"/>
      <c r="AX122" s="141"/>
      <c r="AY122" s="141"/>
      <c r="AZ122" s="141"/>
      <c r="BA122" s="141"/>
      <c r="BB122" s="141"/>
      <c r="BC122" s="143"/>
      <c r="BD122" s="143"/>
      <c r="BE122" s="143"/>
      <c r="BF122" s="142"/>
      <c r="BG122" s="143"/>
      <c r="BH122" s="141"/>
      <c r="BI122" s="142"/>
      <c r="BJ122" s="142"/>
      <c r="BK122" s="116"/>
      <c r="BL122" s="116"/>
      <c r="BM122" s="116"/>
      <c r="BN122" s="116"/>
      <c r="BO122" s="116"/>
      <c r="BP122" s="116"/>
      <c r="BQ122" s="116"/>
      <c r="BR122" s="116"/>
      <c r="BS122" s="116"/>
      <c r="BT122" s="116"/>
      <c r="BU122" s="116"/>
      <c r="BV122" s="116"/>
      <c r="BW122" s="116"/>
      <c r="BX122" s="116"/>
      <c r="BY122" s="116"/>
      <c r="BZ122" s="116"/>
      <c r="CA122" s="116"/>
      <c r="CB122" s="116"/>
      <c r="CC122" s="116"/>
      <c r="CD122" s="116"/>
    </row>
    <row r="123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2"/>
      <c r="R123" s="142"/>
      <c r="S123" s="121"/>
      <c r="T123" s="141"/>
      <c r="U123" s="141"/>
      <c r="V123" s="141"/>
      <c r="W123" s="141"/>
      <c r="X123" s="141"/>
      <c r="Y123" s="141"/>
      <c r="Z123" s="143"/>
      <c r="AA123" s="141"/>
      <c r="AB123" s="143"/>
      <c r="AC123" s="143"/>
      <c r="AD123" s="141"/>
      <c r="AE123" s="143"/>
      <c r="AF123" s="141"/>
      <c r="AG123" s="141"/>
      <c r="AH123" s="141"/>
      <c r="AI123" s="141"/>
      <c r="AJ123" s="141"/>
      <c r="AK123" s="141"/>
      <c r="AL123" s="141"/>
      <c r="AM123" s="141"/>
      <c r="AN123" s="142"/>
      <c r="AO123" s="141"/>
      <c r="AP123" s="141"/>
      <c r="AQ123" s="143"/>
      <c r="AR123" s="141"/>
      <c r="AS123" s="141"/>
      <c r="AT123" s="141"/>
      <c r="AU123" s="143"/>
      <c r="AV123" s="141"/>
      <c r="AW123" s="141"/>
      <c r="AX123" s="141"/>
      <c r="AY123" s="141"/>
      <c r="AZ123" s="141"/>
      <c r="BA123" s="141"/>
      <c r="BB123" s="141"/>
      <c r="BC123" s="143"/>
      <c r="BD123" s="143"/>
      <c r="BE123" s="143"/>
      <c r="BF123" s="142"/>
      <c r="BG123" s="143"/>
      <c r="BH123" s="141"/>
      <c r="BI123" s="142"/>
      <c r="BJ123" s="142"/>
      <c r="BK123" s="116"/>
      <c r="BL123" s="116"/>
      <c r="BM123" s="116"/>
      <c r="BN123" s="116"/>
      <c r="BO123" s="116"/>
      <c r="BP123" s="116"/>
      <c r="BQ123" s="116"/>
      <c r="BR123" s="116"/>
      <c r="BS123" s="116"/>
      <c r="BT123" s="116"/>
      <c r="BU123" s="116"/>
      <c r="BV123" s="116"/>
      <c r="BW123" s="116"/>
      <c r="BX123" s="116"/>
      <c r="BY123" s="116"/>
      <c r="BZ123" s="116"/>
      <c r="CA123" s="116"/>
      <c r="CB123" s="116"/>
      <c r="CC123" s="116"/>
      <c r="CD123" s="116"/>
    </row>
    <row r="124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2"/>
      <c r="R124" s="142"/>
      <c r="S124" s="121"/>
      <c r="T124" s="141"/>
      <c r="U124" s="141"/>
      <c r="V124" s="141"/>
      <c r="W124" s="141"/>
      <c r="X124" s="141"/>
      <c r="Y124" s="141"/>
      <c r="Z124" s="143"/>
      <c r="AA124" s="141"/>
      <c r="AB124" s="143"/>
      <c r="AC124" s="143"/>
      <c r="AD124" s="141"/>
      <c r="AE124" s="143"/>
      <c r="AF124" s="141"/>
      <c r="AG124" s="141"/>
      <c r="AH124" s="141"/>
      <c r="AI124" s="141"/>
      <c r="AJ124" s="141"/>
      <c r="AK124" s="141"/>
      <c r="AL124" s="141"/>
      <c r="AM124" s="141"/>
      <c r="AN124" s="142"/>
      <c r="AO124" s="141"/>
      <c r="AP124" s="141"/>
      <c r="AQ124" s="143"/>
      <c r="AR124" s="141"/>
      <c r="AS124" s="141"/>
      <c r="AT124" s="141"/>
      <c r="AU124" s="143"/>
      <c r="AV124" s="141"/>
      <c r="AW124" s="141"/>
      <c r="AX124" s="141"/>
      <c r="AY124" s="141"/>
      <c r="AZ124" s="141"/>
      <c r="BA124" s="141"/>
      <c r="BB124" s="141"/>
      <c r="BC124" s="143"/>
      <c r="BD124" s="143"/>
      <c r="BE124" s="143"/>
      <c r="BF124" s="142"/>
      <c r="BG124" s="143"/>
      <c r="BH124" s="141"/>
      <c r="BI124" s="142"/>
      <c r="BJ124" s="142"/>
      <c r="BK124" s="116"/>
      <c r="BL124" s="116"/>
      <c r="BM124" s="116"/>
      <c r="BN124" s="116"/>
      <c r="BO124" s="116"/>
      <c r="BP124" s="116"/>
      <c r="BQ124" s="116"/>
      <c r="BR124" s="116"/>
      <c r="BS124" s="116"/>
      <c r="BT124" s="116"/>
      <c r="BU124" s="116"/>
      <c r="BV124" s="116"/>
      <c r="BW124" s="116"/>
      <c r="BX124" s="116"/>
      <c r="BY124" s="116"/>
      <c r="BZ124" s="116"/>
      <c r="CA124" s="116"/>
      <c r="CB124" s="116"/>
      <c r="CC124" s="116"/>
      <c r="CD124" s="116"/>
    </row>
    <row r="125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2"/>
      <c r="R125" s="142"/>
      <c r="S125" s="121"/>
      <c r="T125" s="141"/>
      <c r="U125" s="141"/>
      <c r="V125" s="141"/>
      <c r="W125" s="141"/>
      <c r="X125" s="141"/>
      <c r="Y125" s="141"/>
      <c r="Z125" s="143"/>
      <c r="AA125" s="141"/>
      <c r="AB125" s="143"/>
      <c r="AC125" s="143"/>
      <c r="AD125" s="141"/>
      <c r="AE125" s="143"/>
      <c r="AF125" s="141"/>
      <c r="AG125" s="141"/>
      <c r="AH125" s="141"/>
      <c r="AI125" s="141"/>
      <c r="AJ125" s="141"/>
      <c r="AK125" s="141"/>
      <c r="AL125" s="141"/>
      <c r="AM125" s="141"/>
      <c r="AN125" s="142"/>
      <c r="AO125" s="141"/>
      <c r="AP125" s="141"/>
      <c r="AQ125" s="143"/>
      <c r="AR125" s="141"/>
      <c r="AS125" s="141"/>
      <c r="AT125" s="141"/>
      <c r="AU125" s="143"/>
      <c r="AV125" s="141"/>
      <c r="AW125" s="141"/>
      <c r="AX125" s="141"/>
      <c r="AY125" s="141"/>
      <c r="AZ125" s="141"/>
      <c r="BA125" s="141"/>
      <c r="BB125" s="141"/>
      <c r="BC125" s="143"/>
      <c r="BD125" s="143"/>
      <c r="BE125" s="143"/>
      <c r="BF125" s="142"/>
      <c r="BG125" s="143"/>
      <c r="BH125" s="141"/>
      <c r="BI125" s="142"/>
      <c r="BJ125" s="142"/>
      <c r="BK125" s="116"/>
      <c r="BL125" s="116"/>
      <c r="BM125" s="116"/>
      <c r="BN125" s="116"/>
      <c r="BO125" s="116"/>
      <c r="BP125" s="116"/>
      <c r="BQ125" s="116"/>
      <c r="BR125" s="116"/>
      <c r="BS125" s="116"/>
      <c r="BT125" s="116"/>
      <c r="BU125" s="116"/>
      <c r="BV125" s="116"/>
      <c r="BW125" s="116"/>
      <c r="BX125" s="116"/>
      <c r="BY125" s="116"/>
      <c r="BZ125" s="116"/>
      <c r="CA125" s="116"/>
      <c r="CB125" s="116"/>
      <c r="CC125" s="116"/>
      <c r="CD125" s="116"/>
    </row>
    <row r="126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2"/>
      <c r="R126" s="142"/>
      <c r="S126" s="121"/>
      <c r="T126" s="141"/>
      <c r="U126" s="141"/>
      <c r="V126" s="141"/>
      <c r="W126" s="141"/>
      <c r="X126" s="141"/>
      <c r="Y126" s="141"/>
      <c r="Z126" s="143"/>
      <c r="AA126" s="141"/>
      <c r="AB126" s="143"/>
      <c r="AC126" s="143"/>
      <c r="AD126" s="141"/>
      <c r="AE126" s="143"/>
      <c r="AF126" s="141"/>
      <c r="AG126" s="141"/>
      <c r="AH126" s="141"/>
      <c r="AI126" s="141"/>
      <c r="AJ126" s="141"/>
      <c r="AK126" s="141"/>
      <c r="AL126" s="141"/>
      <c r="AM126" s="141"/>
      <c r="AN126" s="142"/>
      <c r="AO126" s="141"/>
      <c r="AP126" s="141"/>
      <c r="AQ126" s="143"/>
      <c r="AR126" s="141"/>
      <c r="AS126" s="141"/>
      <c r="AT126" s="141"/>
      <c r="AU126" s="143"/>
      <c r="AV126" s="141"/>
      <c r="AW126" s="141"/>
      <c r="AX126" s="141"/>
      <c r="AY126" s="141"/>
      <c r="AZ126" s="141"/>
      <c r="BA126" s="141"/>
      <c r="BB126" s="141"/>
      <c r="BC126" s="143"/>
      <c r="BD126" s="143"/>
      <c r="BE126" s="143"/>
      <c r="BF126" s="142"/>
      <c r="BG126" s="143"/>
      <c r="BH126" s="141"/>
      <c r="BI126" s="142"/>
      <c r="BJ126" s="142"/>
      <c r="BK126" s="116"/>
      <c r="BL126" s="116"/>
      <c r="BM126" s="116"/>
      <c r="BN126" s="116"/>
      <c r="BO126" s="116"/>
      <c r="BP126" s="116"/>
      <c r="BQ126" s="116"/>
      <c r="BR126" s="116"/>
      <c r="BS126" s="116"/>
      <c r="BT126" s="116"/>
      <c r="BU126" s="116"/>
      <c r="BV126" s="116"/>
      <c r="BW126" s="116"/>
      <c r="BX126" s="116"/>
      <c r="BY126" s="116"/>
      <c r="BZ126" s="116"/>
      <c r="CA126" s="116"/>
      <c r="CB126" s="116"/>
      <c r="CC126" s="116"/>
      <c r="CD126" s="116"/>
    </row>
    <row r="127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2"/>
      <c r="R127" s="142"/>
      <c r="S127" s="121"/>
      <c r="T127" s="141"/>
      <c r="U127" s="141"/>
      <c r="V127" s="141"/>
      <c r="W127" s="141"/>
      <c r="X127" s="141"/>
      <c r="Y127" s="141"/>
      <c r="Z127" s="143"/>
      <c r="AA127" s="141"/>
      <c r="AB127" s="143"/>
      <c r="AC127" s="143"/>
      <c r="AD127" s="141"/>
      <c r="AE127" s="143"/>
      <c r="AF127" s="141"/>
      <c r="AG127" s="141"/>
      <c r="AH127" s="141"/>
      <c r="AI127" s="141"/>
      <c r="AJ127" s="141"/>
      <c r="AK127" s="141"/>
      <c r="AL127" s="141"/>
      <c r="AM127" s="141"/>
      <c r="AN127" s="142"/>
      <c r="AO127" s="141"/>
      <c r="AP127" s="141"/>
      <c r="AQ127" s="143"/>
      <c r="AR127" s="141"/>
      <c r="AS127" s="141"/>
      <c r="AT127" s="141"/>
      <c r="AU127" s="143"/>
      <c r="AV127" s="141"/>
      <c r="AW127" s="141"/>
      <c r="AX127" s="141"/>
      <c r="AY127" s="141"/>
      <c r="AZ127" s="141"/>
      <c r="BA127" s="141"/>
      <c r="BB127" s="141"/>
      <c r="BC127" s="143"/>
      <c r="BD127" s="143"/>
      <c r="BE127" s="143"/>
      <c r="BF127" s="142"/>
      <c r="BG127" s="143"/>
      <c r="BH127" s="141"/>
      <c r="BI127" s="142"/>
      <c r="BJ127" s="142"/>
      <c r="BK127" s="116"/>
      <c r="BL127" s="116"/>
      <c r="BM127" s="116"/>
      <c r="BN127" s="116"/>
      <c r="BO127" s="116"/>
      <c r="BP127" s="116"/>
      <c r="BQ127" s="116"/>
      <c r="BR127" s="116"/>
      <c r="BS127" s="116"/>
      <c r="BT127" s="116"/>
      <c r="BU127" s="116"/>
      <c r="BV127" s="116"/>
      <c r="BW127" s="116"/>
      <c r="BX127" s="116"/>
      <c r="BY127" s="116"/>
      <c r="BZ127" s="116"/>
      <c r="CA127" s="116"/>
      <c r="CB127" s="116"/>
      <c r="CC127" s="116"/>
      <c r="CD127" s="116"/>
    </row>
    <row r="128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2"/>
      <c r="R128" s="142"/>
      <c r="S128" s="121"/>
      <c r="T128" s="141"/>
      <c r="U128" s="141"/>
      <c r="V128" s="141"/>
      <c r="W128" s="141"/>
      <c r="X128" s="141"/>
      <c r="Y128" s="141"/>
      <c r="Z128" s="143"/>
      <c r="AA128" s="141"/>
      <c r="AB128" s="143"/>
      <c r="AC128" s="143"/>
      <c r="AD128" s="141"/>
      <c r="AE128" s="143"/>
      <c r="AF128" s="141"/>
      <c r="AG128" s="141"/>
      <c r="AH128" s="141"/>
      <c r="AI128" s="141"/>
      <c r="AJ128" s="141"/>
      <c r="AK128" s="141"/>
      <c r="AL128" s="141"/>
      <c r="AM128" s="141"/>
      <c r="AN128" s="142"/>
      <c r="AO128" s="141"/>
      <c r="AP128" s="141"/>
      <c r="AQ128" s="143"/>
      <c r="AR128" s="141"/>
      <c r="AS128" s="141"/>
      <c r="AT128" s="141"/>
      <c r="AU128" s="143"/>
      <c r="AV128" s="141"/>
      <c r="AW128" s="141"/>
      <c r="AX128" s="141"/>
      <c r="AY128" s="141"/>
      <c r="AZ128" s="141"/>
      <c r="BA128" s="141"/>
      <c r="BB128" s="141"/>
      <c r="BC128" s="143"/>
      <c r="BD128" s="143"/>
      <c r="BE128" s="143"/>
      <c r="BF128" s="142"/>
      <c r="BG128" s="143"/>
      <c r="BH128" s="141"/>
      <c r="BI128" s="142"/>
      <c r="BJ128" s="142"/>
      <c r="BK128" s="116"/>
      <c r="BL128" s="116"/>
      <c r="BM128" s="116"/>
      <c r="BN128" s="116"/>
      <c r="BO128" s="116"/>
      <c r="BP128" s="116"/>
      <c r="BQ128" s="116"/>
      <c r="BR128" s="116"/>
      <c r="BS128" s="116"/>
      <c r="BT128" s="116"/>
      <c r="BU128" s="116"/>
      <c r="BV128" s="116"/>
      <c r="BW128" s="116"/>
      <c r="BX128" s="116"/>
      <c r="BY128" s="116"/>
      <c r="BZ128" s="116"/>
      <c r="CA128" s="116"/>
      <c r="CB128" s="116"/>
      <c r="CC128" s="116"/>
      <c r="CD128" s="116"/>
    </row>
    <row r="129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2"/>
      <c r="R129" s="142"/>
      <c r="S129" s="121"/>
      <c r="T129" s="141"/>
      <c r="U129" s="141"/>
      <c r="V129" s="141"/>
      <c r="W129" s="141"/>
      <c r="X129" s="141"/>
      <c r="Y129" s="141"/>
      <c r="Z129" s="143"/>
      <c r="AA129" s="141"/>
      <c r="AB129" s="143"/>
      <c r="AC129" s="143"/>
      <c r="AD129" s="141"/>
      <c r="AE129" s="143"/>
      <c r="AF129" s="141"/>
      <c r="AG129" s="141"/>
      <c r="AH129" s="141"/>
      <c r="AI129" s="141"/>
      <c r="AJ129" s="141"/>
      <c r="AK129" s="141"/>
      <c r="AL129" s="141"/>
      <c r="AM129" s="141"/>
      <c r="AN129" s="142"/>
      <c r="AO129" s="141"/>
      <c r="AP129" s="141"/>
      <c r="AQ129" s="143"/>
      <c r="AR129" s="141"/>
      <c r="AS129" s="141"/>
      <c r="AT129" s="141"/>
      <c r="AU129" s="143"/>
      <c r="AV129" s="141"/>
      <c r="AW129" s="141"/>
      <c r="AX129" s="141"/>
      <c r="AY129" s="141"/>
      <c r="AZ129" s="141"/>
      <c r="BA129" s="141"/>
      <c r="BB129" s="141"/>
      <c r="BC129" s="143"/>
      <c r="BD129" s="143"/>
      <c r="BE129" s="143"/>
      <c r="BF129" s="142"/>
      <c r="BG129" s="143"/>
      <c r="BH129" s="141"/>
      <c r="BI129" s="142"/>
      <c r="BJ129" s="142"/>
      <c r="BK129" s="116"/>
      <c r="BL129" s="116"/>
      <c r="BM129" s="116"/>
      <c r="BN129" s="116"/>
      <c r="BO129" s="116"/>
      <c r="BP129" s="116"/>
      <c r="BQ129" s="116"/>
      <c r="BR129" s="116"/>
      <c r="BS129" s="116"/>
      <c r="BT129" s="116"/>
      <c r="BU129" s="116"/>
      <c r="BV129" s="116"/>
      <c r="BW129" s="116"/>
      <c r="BX129" s="116"/>
      <c r="BY129" s="116"/>
      <c r="BZ129" s="116"/>
      <c r="CA129" s="116"/>
      <c r="CB129" s="116"/>
      <c r="CC129" s="116"/>
      <c r="CD129" s="116"/>
    </row>
    <row r="130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2"/>
      <c r="R130" s="142"/>
      <c r="S130" s="121"/>
      <c r="T130" s="141"/>
      <c r="U130" s="141"/>
      <c r="V130" s="141"/>
      <c r="W130" s="141"/>
      <c r="X130" s="141"/>
      <c r="Y130" s="141"/>
      <c r="Z130" s="143"/>
      <c r="AA130" s="141"/>
      <c r="AB130" s="143"/>
      <c r="AC130" s="143"/>
      <c r="AD130" s="141"/>
      <c r="AE130" s="143"/>
      <c r="AF130" s="141"/>
      <c r="AG130" s="141"/>
      <c r="AH130" s="141"/>
      <c r="AI130" s="141"/>
      <c r="AJ130" s="141"/>
      <c r="AK130" s="141"/>
      <c r="AL130" s="141"/>
      <c r="AM130" s="141"/>
      <c r="AN130" s="142"/>
      <c r="AO130" s="141"/>
      <c r="AP130" s="141"/>
      <c r="AQ130" s="143"/>
      <c r="AR130" s="141"/>
      <c r="AS130" s="141"/>
      <c r="AT130" s="141"/>
      <c r="AU130" s="143"/>
      <c r="AV130" s="141"/>
      <c r="AW130" s="141"/>
      <c r="AX130" s="141"/>
      <c r="AY130" s="141"/>
      <c r="AZ130" s="141"/>
      <c r="BA130" s="141"/>
      <c r="BB130" s="141"/>
      <c r="BC130" s="143"/>
      <c r="BD130" s="143"/>
      <c r="BE130" s="143"/>
      <c r="BF130" s="142"/>
      <c r="BG130" s="143"/>
      <c r="BH130" s="141"/>
      <c r="BI130" s="142"/>
      <c r="BJ130" s="142"/>
      <c r="BK130" s="116"/>
      <c r="BL130" s="116"/>
      <c r="BM130" s="116"/>
      <c r="BN130" s="116"/>
      <c r="BO130" s="116"/>
      <c r="BP130" s="116"/>
      <c r="BQ130" s="116"/>
      <c r="BR130" s="116"/>
      <c r="BS130" s="116"/>
      <c r="BT130" s="116"/>
      <c r="BU130" s="116"/>
      <c r="BV130" s="116"/>
      <c r="BW130" s="116"/>
      <c r="BX130" s="116"/>
      <c r="BY130" s="116"/>
      <c r="BZ130" s="116"/>
      <c r="CA130" s="116"/>
      <c r="CB130" s="116"/>
      <c r="CC130" s="116"/>
      <c r="CD130" s="116"/>
    </row>
    <row r="13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2"/>
      <c r="R131" s="142"/>
      <c r="S131" s="121"/>
      <c r="T131" s="141"/>
      <c r="U131" s="141"/>
      <c r="V131" s="141"/>
      <c r="W131" s="141"/>
      <c r="X131" s="141"/>
      <c r="Y131" s="141"/>
      <c r="Z131" s="143"/>
      <c r="AA131" s="141"/>
      <c r="AB131" s="143"/>
      <c r="AC131" s="143"/>
      <c r="AD131" s="141"/>
      <c r="AE131" s="143"/>
      <c r="AF131" s="141"/>
      <c r="AG131" s="141"/>
      <c r="AH131" s="141"/>
      <c r="AI131" s="141"/>
      <c r="AJ131" s="141"/>
      <c r="AK131" s="141"/>
      <c r="AL131" s="141"/>
      <c r="AM131" s="141"/>
      <c r="AN131" s="142"/>
      <c r="AO131" s="141"/>
      <c r="AP131" s="141"/>
      <c r="AQ131" s="143"/>
      <c r="AR131" s="141"/>
      <c r="AS131" s="141"/>
      <c r="AT131" s="141"/>
      <c r="AU131" s="143"/>
      <c r="AV131" s="141"/>
      <c r="AW131" s="141"/>
      <c r="AX131" s="141"/>
      <c r="AY131" s="141"/>
      <c r="AZ131" s="141"/>
      <c r="BA131" s="141"/>
      <c r="BB131" s="141"/>
      <c r="BC131" s="143"/>
      <c r="BD131" s="143"/>
      <c r="BE131" s="143"/>
      <c r="BF131" s="142"/>
      <c r="BG131" s="143"/>
      <c r="BH131" s="141"/>
      <c r="BI131" s="142"/>
      <c r="BJ131" s="142"/>
      <c r="BK131" s="116"/>
      <c r="BL131" s="116"/>
      <c r="BM131" s="116"/>
      <c r="BN131" s="116"/>
      <c r="BO131" s="116"/>
      <c r="BP131" s="116"/>
      <c r="BQ131" s="116"/>
      <c r="BR131" s="116"/>
      <c r="BS131" s="116"/>
      <c r="BT131" s="116"/>
      <c r="BU131" s="116"/>
      <c r="BV131" s="116"/>
      <c r="BW131" s="116"/>
      <c r="BX131" s="116"/>
      <c r="BY131" s="116"/>
      <c r="BZ131" s="116"/>
      <c r="CA131" s="116"/>
      <c r="CB131" s="116"/>
      <c r="CC131" s="116"/>
      <c r="CD131" s="116"/>
    </row>
    <row r="132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2"/>
      <c r="R132" s="142"/>
      <c r="S132" s="121"/>
      <c r="T132" s="141"/>
      <c r="U132" s="141"/>
      <c r="V132" s="141"/>
      <c r="W132" s="141"/>
      <c r="X132" s="141"/>
      <c r="Y132" s="141"/>
      <c r="Z132" s="143"/>
      <c r="AA132" s="141"/>
      <c r="AB132" s="143"/>
      <c r="AC132" s="143"/>
      <c r="AD132" s="141"/>
      <c r="AE132" s="143"/>
      <c r="AF132" s="141"/>
      <c r="AG132" s="141"/>
      <c r="AH132" s="141"/>
      <c r="AI132" s="141"/>
      <c r="AJ132" s="141"/>
      <c r="AK132" s="141"/>
      <c r="AL132" s="141"/>
      <c r="AM132" s="141"/>
      <c r="AN132" s="142"/>
      <c r="AO132" s="141"/>
      <c r="AP132" s="141"/>
      <c r="AQ132" s="143"/>
      <c r="AR132" s="141"/>
      <c r="AS132" s="141"/>
      <c r="AT132" s="141"/>
      <c r="AU132" s="143"/>
      <c r="AV132" s="141"/>
      <c r="AW132" s="141"/>
      <c r="AX132" s="141"/>
      <c r="AY132" s="141"/>
      <c r="AZ132" s="141"/>
      <c r="BA132" s="141"/>
      <c r="BB132" s="141"/>
      <c r="BC132" s="143"/>
      <c r="BD132" s="143"/>
      <c r="BE132" s="143"/>
      <c r="BF132" s="142"/>
      <c r="BG132" s="143"/>
      <c r="BH132" s="141"/>
      <c r="BI132" s="142"/>
      <c r="BJ132" s="142"/>
      <c r="BK132" s="116"/>
      <c r="BL132" s="116"/>
      <c r="BM132" s="116"/>
      <c r="BN132" s="116"/>
      <c r="BO132" s="116"/>
      <c r="BP132" s="116"/>
      <c r="BQ132" s="116"/>
      <c r="BR132" s="116"/>
      <c r="BS132" s="116"/>
      <c r="BT132" s="116"/>
      <c r="BU132" s="116"/>
      <c r="BV132" s="116"/>
      <c r="BW132" s="116"/>
      <c r="BX132" s="116"/>
      <c r="BY132" s="116"/>
      <c r="BZ132" s="116"/>
      <c r="CA132" s="116"/>
      <c r="CB132" s="116"/>
      <c r="CC132" s="116"/>
      <c r="CD132" s="116"/>
    </row>
    <row r="133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2"/>
      <c r="R133" s="142"/>
      <c r="S133" s="121"/>
      <c r="T133" s="141"/>
      <c r="U133" s="141"/>
      <c r="V133" s="141"/>
      <c r="W133" s="141"/>
      <c r="X133" s="141"/>
      <c r="Y133" s="141"/>
      <c r="Z133" s="143"/>
      <c r="AA133" s="141"/>
      <c r="AB133" s="143"/>
      <c r="AC133" s="143"/>
      <c r="AD133" s="141"/>
      <c r="AE133" s="143"/>
      <c r="AF133" s="141"/>
      <c r="AG133" s="141"/>
      <c r="AH133" s="141"/>
      <c r="AI133" s="141"/>
      <c r="AJ133" s="141"/>
      <c r="AK133" s="141"/>
      <c r="AL133" s="141"/>
      <c r="AM133" s="141"/>
      <c r="AN133" s="142"/>
      <c r="AO133" s="141"/>
      <c r="AP133" s="141"/>
      <c r="AQ133" s="143"/>
      <c r="AR133" s="141"/>
      <c r="AS133" s="141"/>
      <c r="AT133" s="141"/>
      <c r="AU133" s="143"/>
      <c r="AV133" s="141"/>
      <c r="AW133" s="141"/>
      <c r="AX133" s="141"/>
      <c r="AY133" s="141"/>
      <c r="AZ133" s="141"/>
      <c r="BA133" s="141"/>
      <c r="BB133" s="141"/>
      <c r="BC133" s="143"/>
      <c r="BD133" s="143"/>
      <c r="BE133" s="143"/>
      <c r="BF133" s="142"/>
      <c r="BG133" s="143"/>
      <c r="BH133" s="141"/>
      <c r="BI133" s="142"/>
      <c r="BJ133" s="142"/>
      <c r="BK133" s="116"/>
      <c r="BL133" s="116"/>
      <c r="BM133" s="116"/>
      <c r="BN133" s="116"/>
      <c r="BO133" s="116"/>
      <c r="BP133" s="116"/>
      <c r="BQ133" s="116"/>
      <c r="BR133" s="116"/>
      <c r="BS133" s="116"/>
      <c r="BT133" s="116"/>
      <c r="BU133" s="116"/>
      <c r="BV133" s="116"/>
      <c r="BW133" s="116"/>
      <c r="BX133" s="116"/>
      <c r="BY133" s="116"/>
      <c r="BZ133" s="116"/>
      <c r="CA133" s="116"/>
      <c r="CB133" s="116"/>
      <c r="CC133" s="116"/>
      <c r="CD133" s="116"/>
    </row>
    <row r="134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2"/>
      <c r="R134" s="142"/>
      <c r="S134" s="121"/>
      <c r="T134" s="141"/>
      <c r="U134" s="141"/>
      <c r="V134" s="141"/>
      <c r="W134" s="141"/>
      <c r="X134" s="141"/>
      <c r="Y134" s="141"/>
      <c r="Z134" s="143"/>
      <c r="AA134" s="141"/>
      <c r="AB134" s="143"/>
      <c r="AC134" s="143"/>
      <c r="AD134" s="141"/>
      <c r="AE134" s="143"/>
      <c r="AF134" s="141"/>
      <c r="AG134" s="141"/>
      <c r="AH134" s="141"/>
      <c r="AI134" s="141"/>
      <c r="AJ134" s="141"/>
      <c r="AK134" s="141"/>
      <c r="AL134" s="141"/>
      <c r="AM134" s="141"/>
      <c r="AN134" s="142"/>
      <c r="AO134" s="141"/>
      <c r="AP134" s="141"/>
      <c r="AQ134" s="143"/>
      <c r="AR134" s="141"/>
      <c r="AS134" s="141"/>
      <c r="AT134" s="141"/>
      <c r="AU134" s="143"/>
      <c r="AV134" s="141"/>
      <c r="AW134" s="141"/>
      <c r="AX134" s="141"/>
      <c r="AY134" s="141"/>
      <c r="AZ134" s="141"/>
      <c r="BA134" s="141"/>
      <c r="BB134" s="141"/>
      <c r="BC134" s="143"/>
      <c r="BD134" s="143"/>
      <c r="BE134" s="143"/>
      <c r="BF134" s="142"/>
      <c r="BG134" s="143"/>
      <c r="BH134" s="141"/>
      <c r="BI134" s="142"/>
      <c r="BJ134" s="142"/>
      <c r="BK134" s="116"/>
      <c r="BL134" s="116"/>
      <c r="BM134" s="116"/>
      <c r="BN134" s="116"/>
      <c r="BO134" s="116"/>
      <c r="BP134" s="116"/>
      <c r="BQ134" s="116"/>
      <c r="BR134" s="116"/>
      <c r="BS134" s="116"/>
      <c r="BT134" s="116"/>
      <c r="BU134" s="116"/>
      <c r="BV134" s="116"/>
      <c r="BW134" s="116"/>
      <c r="BX134" s="116"/>
      <c r="BY134" s="116"/>
      <c r="BZ134" s="116"/>
      <c r="CA134" s="116"/>
      <c r="CB134" s="116"/>
      <c r="CC134" s="116"/>
      <c r="CD134" s="116"/>
    </row>
    <row r="135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2"/>
      <c r="R135" s="142"/>
      <c r="S135" s="121"/>
      <c r="T135" s="141"/>
      <c r="U135" s="141"/>
      <c r="V135" s="141"/>
      <c r="W135" s="141"/>
      <c r="X135" s="141"/>
      <c r="Y135" s="141"/>
      <c r="Z135" s="143"/>
      <c r="AA135" s="141"/>
      <c r="AB135" s="143"/>
      <c r="AC135" s="143"/>
      <c r="AD135" s="141"/>
      <c r="AE135" s="143"/>
      <c r="AF135" s="141"/>
      <c r="AG135" s="141"/>
      <c r="AH135" s="141"/>
      <c r="AI135" s="141"/>
      <c r="AJ135" s="141"/>
      <c r="AK135" s="141"/>
      <c r="AL135" s="141"/>
      <c r="AM135" s="141"/>
      <c r="AN135" s="142"/>
      <c r="AO135" s="141"/>
      <c r="AP135" s="141"/>
      <c r="AQ135" s="143"/>
      <c r="AR135" s="141"/>
      <c r="AS135" s="141"/>
      <c r="AT135" s="141"/>
      <c r="AU135" s="143"/>
      <c r="AV135" s="141"/>
      <c r="AW135" s="141"/>
      <c r="AX135" s="141"/>
      <c r="AY135" s="141"/>
      <c r="AZ135" s="141"/>
      <c r="BA135" s="141"/>
      <c r="BB135" s="141"/>
      <c r="BC135" s="143"/>
      <c r="BD135" s="143"/>
      <c r="BE135" s="143"/>
      <c r="BF135" s="142"/>
      <c r="BG135" s="143"/>
      <c r="BH135" s="141"/>
      <c r="BI135" s="142"/>
      <c r="BJ135" s="142"/>
      <c r="BK135" s="116"/>
      <c r="BL135" s="116"/>
      <c r="BM135" s="116"/>
      <c r="BN135" s="116"/>
      <c r="BO135" s="116"/>
      <c r="BP135" s="116"/>
      <c r="BQ135" s="116"/>
      <c r="BR135" s="116"/>
      <c r="BS135" s="116"/>
      <c r="BT135" s="116"/>
      <c r="BU135" s="116"/>
      <c r="BV135" s="116"/>
      <c r="BW135" s="116"/>
      <c r="BX135" s="116"/>
      <c r="BY135" s="116"/>
      <c r="BZ135" s="116"/>
      <c r="CA135" s="116"/>
      <c r="CB135" s="116"/>
      <c r="CC135" s="116"/>
      <c r="CD135" s="116"/>
    </row>
    <row r="136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2"/>
      <c r="R136" s="142"/>
      <c r="S136" s="121"/>
      <c r="T136" s="141"/>
      <c r="U136" s="141"/>
      <c r="V136" s="141"/>
      <c r="W136" s="141"/>
      <c r="X136" s="141"/>
      <c r="Y136" s="141"/>
      <c r="Z136" s="143"/>
      <c r="AA136" s="141"/>
      <c r="AB136" s="143"/>
      <c r="AC136" s="143"/>
      <c r="AD136" s="141"/>
      <c r="AE136" s="143"/>
      <c r="AF136" s="141"/>
      <c r="AG136" s="141"/>
      <c r="AH136" s="141"/>
      <c r="AI136" s="141"/>
      <c r="AJ136" s="141"/>
      <c r="AK136" s="141"/>
      <c r="AL136" s="141"/>
      <c r="AM136" s="141"/>
      <c r="AN136" s="142"/>
      <c r="AO136" s="141"/>
      <c r="AP136" s="141"/>
      <c r="AQ136" s="143"/>
      <c r="AR136" s="141"/>
      <c r="AS136" s="141"/>
      <c r="AT136" s="141"/>
      <c r="AU136" s="143"/>
      <c r="AV136" s="141"/>
      <c r="AW136" s="141"/>
      <c r="AX136" s="141"/>
      <c r="AY136" s="141"/>
      <c r="AZ136" s="141"/>
      <c r="BA136" s="141"/>
      <c r="BB136" s="141"/>
      <c r="BC136" s="143"/>
      <c r="BD136" s="143"/>
      <c r="BE136" s="143"/>
      <c r="BF136" s="142"/>
      <c r="BG136" s="143"/>
      <c r="BH136" s="141"/>
      <c r="BI136" s="142"/>
      <c r="BJ136" s="142"/>
      <c r="BK136" s="116"/>
      <c r="BL136" s="116"/>
      <c r="BM136" s="116"/>
      <c r="BN136" s="116"/>
      <c r="BO136" s="116"/>
      <c r="BP136" s="116"/>
      <c r="BQ136" s="116"/>
      <c r="BR136" s="116"/>
      <c r="BS136" s="116"/>
      <c r="BT136" s="116"/>
      <c r="BU136" s="116"/>
      <c r="BV136" s="116"/>
      <c r="BW136" s="116"/>
      <c r="BX136" s="116"/>
      <c r="BY136" s="116"/>
      <c r="BZ136" s="116"/>
      <c r="CA136" s="116"/>
      <c r="CB136" s="116"/>
      <c r="CC136" s="116"/>
      <c r="CD136" s="116"/>
    </row>
    <row r="137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2"/>
      <c r="R137" s="142"/>
      <c r="S137" s="121"/>
      <c r="T137" s="141"/>
      <c r="U137" s="141"/>
      <c r="V137" s="141"/>
      <c r="W137" s="141"/>
      <c r="X137" s="141"/>
      <c r="Y137" s="141"/>
      <c r="Z137" s="143"/>
      <c r="AA137" s="141"/>
      <c r="AB137" s="143"/>
      <c r="AC137" s="143"/>
      <c r="AD137" s="141"/>
      <c r="AE137" s="143"/>
      <c r="AF137" s="141"/>
      <c r="AG137" s="141"/>
      <c r="AH137" s="141"/>
      <c r="AI137" s="141"/>
      <c r="AJ137" s="141"/>
      <c r="AK137" s="141"/>
      <c r="AL137" s="141"/>
      <c r="AM137" s="141"/>
      <c r="AN137" s="142"/>
      <c r="AO137" s="141"/>
      <c r="AP137" s="141"/>
      <c r="AQ137" s="143"/>
      <c r="AR137" s="141"/>
      <c r="AS137" s="141"/>
      <c r="AT137" s="141"/>
      <c r="AU137" s="143"/>
      <c r="AV137" s="141"/>
      <c r="AW137" s="141"/>
      <c r="AX137" s="141"/>
      <c r="AY137" s="141"/>
      <c r="AZ137" s="141"/>
      <c r="BA137" s="141"/>
      <c r="BB137" s="141"/>
      <c r="BC137" s="143"/>
      <c r="BD137" s="143"/>
      <c r="BE137" s="143"/>
      <c r="BF137" s="142"/>
      <c r="BG137" s="143"/>
      <c r="BH137" s="141"/>
      <c r="BI137" s="142"/>
      <c r="BJ137" s="142"/>
      <c r="BK137" s="116"/>
      <c r="BL137" s="116"/>
      <c r="BM137" s="116"/>
      <c r="BN137" s="116"/>
      <c r="BO137" s="116"/>
      <c r="BP137" s="116"/>
      <c r="BQ137" s="116"/>
      <c r="BR137" s="116"/>
      <c r="BS137" s="116"/>
      <c r="BT137" s="116"/>
      <c r="BU137" s="116"/>
      <c r="BV137" s="116"/>
      <c r="BW137" s="116"/>
      <c r="BX137" s="116"/>
      <c r="BY137" s="116"/>
      <c r="BZ137" s="116"/>
      <c r="CA137" s="116"/>
      <c r="CB137" s="116"/>
      <c r="CC137" s="116"/>
      <c r="CD137" s="116"/>
    </row>
    <row r="138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2"/>
      <c r="R138" s="142"/>
      <c r="S138" s="121"/>
      <c r="T138" s="141"/>
      <c r="U138" s="141"/>
      <c r="V138" s="141"/>
      <c r="W138" s="141"/>
      <c r="X138" s="141"/>
      <c r="Y138" s="141"/>
      <c r="Z138" s="143"/>
      <c r="AA138" s="141"/>
      <c r="AB138" s="143"/>
      <c r="AC138" s="143"/>
      <c r="AD138" s="141"/>
      <c r="AE138" s="143"/>
      <c r="AF138" s="141"/>
      <c r="AG138" s="141"/>
      <c r="AH138" s="141"/>
      <c r="AI138" s="141"/>
      <c r="AJ138" s="141"/>
      <c r="AK138" s="141"/>
      <c r="AL138" s="141"/>
      <c r="AM138" s="141"/>
      <c r="AN138" s="142"/>
      <c r="AO138" s="141"/>
      <c r="AP138" s="141"/>
      <c r="AQ138" s="143"/>
      <c r="AR138" s="141"/>
      <c r="AS138" s="141"/>
      <c r="AT138" s="141"/>
      <c r="AU138" s="143"/>
      <c r="AV138" s="141"/>
      <c r="AW138" s="141"/>
      <c r="AX138" s="141"/>
      <c r="AY138" s="141"/>
      <c r="AZ138" s="141"/>
      <c r="BA138" s="141"/>
      <c r="BB138" s="141"/>
      <c r="BC138" s="143"/>
      <c r="BD138" s="143"/>
      <c r="BE138" s="143"/>
      <c r="BF138" s="142"/>
      <c r="BG138" s="143"/>
      <c r="BH138" s="141"/>
      <c r="BI138" s="142"/>
      <c r="BJ138" s="142"/>
      <c r="BK138" s="116"/>
      <c r="BL138" s="116"/>
      <c r="BM138" s="116"/>
      <c r="BN138" s="116"/>
      <c r="BO138" s="116"/>
      <c r="BP138" s="116"/>
      <c r="BQ138" s="116"/>
      <c r="BR138" s="116"/>
      <c r="BS138" s="116"/>
      <c r="BT138" s="116"/>
      <c r="BU138" s="116"/>
      <c r="BV138" s="116"/>
      <c r="BW138" s="116"/>
      <c r="BX138" s="116"/>
      <c r="BY138" s="116"/>
      <c r="BZ138" s="116"/>
      <c r="CA138" s="116"/>
      <c r="CB138" s="116"/>
      <c r="CC138" s="116"/>
      <c r="CD138" s="116"/>
    </row>
    <row r="139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2"/>
      <c r="R139" s="142"/>
      <c r="S139" s="121"/>
      <c r="T139" s="141"/>
      <c r="U139" s="141"/>
      <c r="V139" s="141"/>
      <c r="W139" s="141"/>
      <c r="X139" s="141"/>
      <c r="Y139" s="141"/>
      <c r="Z139" s="143"/>
      <c r="AA139" s="141"/>
      <c r="AB139" s="143"/>
      <c r="AC139" s="143"/>
      <c r="AD139" s="141"/>
      <c r="AE139" s="143"/>
      <c r="AF139" s="141"/>
      <c r="AG139" s="141"/>
      <c r="AH139" s="141"/>
      <c r="AI139" s="141"/>
      <c r="AJ139" s="141"/>
      <c r="AK139" s="141"/>
      <c r="AL139" s="141"/>
      <c r="AM139" s="141"/>
      <c r="AN139" s="142"/>
      <c r="AO139" s="141"/>
      <c r="AP139" s="141"/>
      <c r="AQ139" s="143"/>
      <c r="AR139" s="141"/>
      <c r="AS139" s="141"/>
      <c r="AT139" s="141"/>
      <c r="AU139" s="143"/>
      <c r="AV139" s="141"/>
      <c r="AW139" s="141"/>
      <c r="AX139" s="141"/>
      <c r="AY139" s="141"/>
      <c r="AZ139" s="141"/>
      <c r="BA139" s="141"/>
      <c r="BB139" s="141"/>
      <c r="BC139" s="143"/>
      <c r="BD139" s="143"/>
      <c r="BE139" s="143"/>
      <c r="BF139" s="142"/>
      <c r="BG139" s="143"/>
      <c r="BH139" s="141"/>
      <c r="BI139" s="142"/>
      <c r="BJ139" s="142"/>
      <c r="BK139" s="116"/>
      <c r="BL139" s="116"/>
      <c r="BM139" s="116"/>
      <c r="BN139" s="116"/>
      <c r="BO139" s="116"/>
      <c r="BP139" s="116"/>
      <c r="BQ139" s="116"/>
      <c r="BR139" s="116"/>
      <c r="BS139" s="116"/>
      <c r="BT139" s="116"/>
      <c r="BU139" s="116"/>
      <c r="BV139" s="116"/>
      <c r="BW139" s="116"/>
      <c r="BX139" s="116"/>
      <c r="BY139" s="116"/>
      <c r="BZ139" s="116"/>
      <c r="CA139" s="116"/>
      <c r="CB139" s="116"/>
      <c r="CC139" s="116"/>
      <c r="CD139" s="116"/>
    </row>
    <row r="140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2"/>
      <c r="R140" s="142"/>
      <c r="S140" s="121"/>
      <c r="T140" s="141"/>
      <c r="U140" s="141"/>
      <c r="V140" s="141"/>
      <c r="W140" s="141"/>
      <c r="X140" s="141"/>
      <c r="Y140" s="141"/>
      <c r="Z140" s="143"/>
      <c r="AA140" s="141"/>
      <c r="AB140" s="143"/>
      <c r="AC140" s="143"/>
      <c r="AD140" s="141"/>
      <c r="AE140" s="143"/>
      <c r="AF140" s="141"/>
      <c r="AG140" s="141"/>
      <c r="AH140" s="141"/>
      <c r="AI140" s="141"/>
      <c r="AJ140" s="141"/>
      <c r="AK140" s="141"/>
      <c r="AL140" s="141"/>
      <c r="AM140" s="141"/>
      <c r="AN140" s="142"/>
      <c r="AO140" s="141"/>
      <c r="AP140" s="141"/>
      <c r="AQ140" s="143"/>
      <c r="AR140" s="141"/>
      <c r="AS140" s="141"/>
      <c r="AT140" s="141"/>
      <c r="AU140" s="143"/>
      <c r="AV140" s="141"/>
      <c r="AW140" s="141"/>
      <c r="AX140" s="141"/>
      <c r="AY140" s="141"/>
      <c r="AZ140" s="141"/>
      <c r="BA140" s="141"/>
      <c r="BB140" s="141"/>
      <c r="BC140" s="143"/>
      <c r="BD140" s="143"/>
      <c r="BE140" s="143"/>
      <c r="BF140" s="142"/>
      <c r="BG140" s="143"/>
      <c r="BH140" s="141"/>
      <c r="BI140" s="142"/>
      <c r="BJ140" s="142"/>
      <c r="BK140" s="116"/>
      <c r="BL140" s="116"/>
      <c r="BM140" s="116"/>
      <c r="BN140" s="116"/>
      <c r="BO140" s="116"/>
      <c r="BP140" s="116"/>
      <c r="BQ140" s="116"/>
      <c r="BR140" s="116"/>
      <c r="BS140" s="116"/>
      <c r="BT140" s="116"/>
      <c r="BU140" s="116"/>
      <c r="BV140" s="116"/>
      <c r="BW140" s="116"/>
      <c r="BX140" s="116"/>
      <c r="BY140" s="116"/>
      <c r="BZ140" s="116"/>
      <c r="CA140" s="116"/>
      <c r="CB140" s="116"/>
      <c r="CC140" s="116"/>
      <c r="CD140" s="116"/>
    </row>
    <row r="14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2"/>
      <c r="R141" s="142"/>
      <c r="S141" s="121"/>
      <c r="T141" s="141"/>
      <c r="U141" s="141"/>
      <c r="V141" s="141"/>
      <c r="W141" s="141"/>
      <c r="X141" s="141"/>
      <c r="Y141" s="141"/>
      <c r="Z141" s="143"/>
      <c r="AA141" s="141"/>
      <c r="AB141" s="143"/>
      <c r="AC141" s="143"/>
      <c r="AD141" s="141"/>
      <c r="AE141" s="143"/>
      <c r="AF141" s="141"/>
      <c r="AG141" s="141"/>
      <c r="AH141" s="141"/>
      <c r="AI141" s="141"/>
      <c r="AJ141" s="141"/>
      <c r="AK141" s="141"/>
      <c r="AL141" s="141"/>
      <c r="AM141" s="141"/>
      <c r="AN141" s="142"/>
      <c r="AO141" s="141"/>
      <c r="AP141" s="141"/>
      <c r="AQ141" s="143"/>
      <c r="AR141" s="141"/>
      <c r="AS141" s="141"/>
      <c r="AT141" s="141"/>
      <c r="AU141" s="143"/>
      <c r="AV141" s="141"/>
      <c r="AW141" s="141"/>
      <c r="AX141" s="141"/>
      <c r="AY141" s="141"/>
      <c r="AZ141" s="141"/>
      <c r="BA141" s="141"/>
      <c r="BB141" s="141"/>
      <c r="BC141" s="143"/>
      <c r="BD141" s="143"/>
      <c r="BE141" s="143"/>
      <c r="BF141" s="142"/>
      <c r="BG141" s="143"/>
      <c r="BH141" s="141"/>
      <c r="BI141" s="142"/>
      <c r="BJ141" s="142"/>
      <c r="BK141" s="116"/>
      <c r="BL141" s="116"/>
      <c r="BM141" s="116"/>
      <c r="BN141" s="116"/>
      <c r="BO141" s="116"/>
      <c r="BP141" s="116"/>
      <c r="BQ141" s="116"/>
      <c r="BR141" s="116"/>
      <c r="BS141" s="116"/>
      <c r="BT141" s="116"/>
      <c r="BU141" s="116"/>
      <c r="BV141" s="116"/>
      <c r="BW141" s="116"/>
      <c r="BX141" s="116"/>
      <c r="BY141" s="116"/>
      <c r="BZ141" s="116"/>
      <c r="CA141" s="116"/>
      <c r="CB141" s="116"/>
      <c r="CC141" s="116"/>
      <c r="CD141" s="116"/>
    </row>
    <row r="142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2"/>
      <c r="R142" s="142"/>
      <c r="S142" s="121"/>
      <c r="T142" s="141"/>
      <c r="U142" s="141"/>
      <c r="V142" s="141"/>
      <c r="W142" s="141"/>
      <c r="X142" s="141"/>
      <c r="Y142" s="141"/>
      <c r="Z142" s="143"/>
      <c r="AA142" s="141"/>
      <c r="AB142" s="143"/>
      <c r="AC142" s="143"/>
      <c r="AD142" s="141"/>
      <c r="AE142" s="143"/>
      <c r="AF142" s="141"/>
      <c r="AG142" s="141"/>
      <c r="AH142" s="141"/>
      <c r="AI142" s="141"/>
      <c r="AJ142" s="141"/>
      <c r="AK142" s="141"/>
      <c r="AL142" s="141"/>
      <c r="AM142" s="141"/>
      <c r="AN142" s="142"/>
      <c r="AO142" s="141"/>
      <c r="AP142" s="141"/>
      <c r="AQ142" s="143"/>
      <c r="AR142" s="141"/>
      <c r="AS142" s="141"/>
      <c r="AT142" s="141"/>
      <c r="AU142" s="143"/>
      <c r="AV142" s="141"/>
      <c r="AW142" s="141"/>
      <c r="AX142" s="141"/>
      <c r="AY142" s="141"/>
      <c r="AZ142" s="141"/>
      <c r="BA142" s="141"/>
      <c r="BB142" s="141"/>
      <c r="BC142" s="143"/>
      <c r="BD142" s="143"/>
      <c r="BE142" s="143"/>
      <c r="BF142" s="142"/>
      <c r="BG142" s="143"/>
      <c r="BH142" s="141"/>
      <c r="BI142" s="142"/>
      <c r="BJ142" s="142"/>
      <c r="BK142" s="116"/>
      <c r="BL142" s="116"/>
      <c r="BM142" s="116"/>
      <c r="BN142" s="116"/>
      <c r="BO142" s="116"/>
      <c r="BP142" s="116"/>
      <c r="BQ142" s="116"/>
      <c r="BR142" s="116"/>
      <c r="BS142" s="116"/>
      <c r="BT142" s="116"/>
      <c r="BU142" s="116"/>
      <c r="BV142" s="116"/>
      <c r="BW142" s="116"/>
      <c r="BX142" s="116"/>
      <c r="BY142" s="116"/>
      <c r="BZ142" s="116"/>
      <c r="CA142" s="116"/>
      <c r="CB142" s="116"/>
      <c r="CC142" s="116"/>
      <c r="CD142" s="116"/>
    </row>
    <row r="143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2"/>
      <c r="R143" s="142"/>
      <c r="S143" s="121"/>
      <c r="T143" s="141"/>
      <c r="U143" s="141"/>
      <c r="V143" s="141"/>
      <c r="W143" s="141"/>
      <c r="X143" s="141"/>
      <c r="Y143" s="141"/>
      <c r="Z143" s="143"/>
      <c r="AA143" s="141"/>
      <c r="AB143" s="143"/>
      <c r="AC143" s="143"/>
      <c r="AD143" s="141"/>
      <c r="AE143" s="143"/>
      <c r="AF143" s="141"/>
      <c r="AG143" s="141"/>
      <c r="AH143" s="141"/>
      <c r="AI143" s="141"/>
      <c r="AJ143" s="141"/>
      <c r="AK143" s="141"/>
      <c r="AL143" s="141"/>
      <c r="AM143" s="141"/>
      <c r="AN143" s="142"/>
      <c r="AO143" s="141"/>
      <c r="AP143" s="141"/>
      <c r="AQ143" s="143"/>
      <c r="AR143" s="141"/>
      <c r="AS143" s="141"/>
      <c r="AT143" s="141"/>
      <c r="AU143" s="143"/>
      <c r="AV143" s="141"/>
      <c r="AW143" s="141"/>
      <c r="AX143" s="141"/>
      <c r="AY143" s="141"/>
      <c r="AZ143" s="141"/>
      <c r="BA143" s="141"/>
      <c r="BB143" s="141"/>
      <c r="BC143" s="143"/>
      <c r="BD143" s="143"/>
      <c r="BE143" s="143"/>
      <c r="BF143" s="142"/>
      <c r="BG143" s="143"/>
      <c r="BH143" s="141"/>
      <c r="BI143" s="142"/>
      <c r="BJ143" s="142"/>
      <c r="BK143" s="116"/>
      <c r="BL143" s="116"/>
      <c r="BM143" s="116"/>
      <c r="BN143" s="116"/>
      <c r="BO143" s="116"/>
      <c r="BP143" s="116"/>
      <c r="BQ143" s="116"/>
      <c r="BR143" s="116"/>
      <c r="BS143" s="116"/>
      <c r="BT143" s="116"/>
      <c r="BU143" s="116"/>
      <c r="BV143" s="116"/>
      <c r="BW143" s="116"/>
      <c r="BX143" s="116"/>
      <c r="BY143" s="116"/>
      <c r="BZ143" s="116"/>
      <c r="CA143" s="116"/>
      <c r="CB143" s="116"/>
      <c r="CC143" s="116"/>
      <c r="CD143" s="116"/>
    </row>
    <row r="144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2"/>
      <c r="R144" s="142"/>
      <c r="S144" s="121"/>
      <c r="T144" s="141"/>
      <c r="U144" s="141"/>
      <c r="V144" s="141"/>
      <c r="W144" s="141"/>
      <c r="X144" s="141"/>
      <c r="Y144" s="141"/>
      <c r="Z144" s="143"/>
      <c r="AA144" s="141"/>
      <c r="AB144" s="143"/>
      <c r="AC144" s="143"/>
      <c r="AD144" s="141"/>
      <c r="AE144" s="143"/>
      <c r="AF144" s="141"/>
      <c r="AG144" s="141"/>
      <c r="AH144" s="141"/>
      <c r="AI144" s="141"/>
      <c r="AJ144" s="141"/>
      <c r="AK144" s="141"/>
      <c r="AL144" s="141"/>
      <c r="AM144" s="141"/>
      <c r="AN144" s="142"/>
      <c r="AO144" s="141"/>
      <c r="AP144" s="141"/>
      <c r="AQ144" s="143"/>
      <c r="AR144" s="141"/>
      <c r="AS144" s="141"/>
      <c r="AT144" s="141"/>
      <c r="AU144" s="143"/>
      <c r="AV144" s="141"/>
      <c r="AW144" s="141"/>
      <c r="AX144" s="141"/>
      <c r="AY144" s="141"/>
      <c r="AZ144" s="141"/>
      <c r="BA144" s="141"/>
      <c r="BB144" s="141"/>
      <c r="BC144" s="143"/>
      <c r="BD144" s="143"/>
      <c r="BE144" s="143"/>
      <c r="BF144" s="142"/>
      <c r="BG144" s="143"/>
      <c r="BH144" s="141"/>
      <c r="BI144" s="142"/>
      <c r="BJ144" s="142"/>
      <c r="BK144" s="116"/>
      <c r="BL144" s="116"/>
      <c r="BM144" s="116"/>
      <c r="BN144" s="116"/>
      <c r="BO144" s="116"/>
      <c r="BP144" s="116"/>
      <c r="BQ144" s="116"/>
      <c r="BR144" s="116"/>
      <c r="BS144" s="116"/>
      <c r="BT144" s="116"/>
      <c r="BU144" s="116"/>
      <c r="BV144" s="116"/>
      <c r="BW144" s="116"/>
      <c r="BX144" s="116"/>
      <c r="BY144" s="116"/>
      <c r="BZ144" s="116"/>
      <c r="CA144" s="116"/>
      <c r="CB144" s="116"/>
      <c r="CC144" s="116"/>
      <c r="CD144" s="116"/>
    </row>
    <row r="145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2"/>
      <c r="R145" s="142"/>
      <c r="S145" s="121"/>
      <c r="T145" s="141"/>
      <c r="U145" s="141"/>
      <c r="V145" s="141"/>
      <c r="W145" s="141"/>
      <c r="X145" s="141"/>
      <c r="Y145" s="141"/>
      <c r="Z145" s="143"/>
      <c r="AA145" s="141"/>
      <c r="AB145" s="143"/>
      <c r="AC145" s="143"/>
      <c r="AD145" s="141"/>
      <c r="AE145" s="143"/>
      <c r="AF145" s="141"/>
      <c r="AG145" s="141"/>
      <c r="AH145" s="141"/>
      <c r="AI145" s="141"/>
      <c r="AJ145" s="141"/>
      <c r="AK145" s="141"/>
      <c r="AL145" s="141"/>
      <c r="AM145" s="141"/>
      <c r="AN145" s="142"/>
      <c r="AO145" s="141"/>
      <c r="AP145" s="141"/>
      <c r="AQ145" s="143"/>
      <c r="AR145" s="141"/>
      <c r="AS145" s="141"/>
      <c r="AT145" s="141"/>
      <c r="AU145" s="143"/>
      <c r="AV145" s="141"/>
      <c r="AW145" s="141"/>
      <c r="AX145" s="141"/>
      <c r="AY145" s="141"/>
      <c r="AZ145" s="141"/>
      <c r="BA145" s="141"/>
      <c r="BB145" s="141"/>
      <c r="BC145" s="143"/>
      <c r="BD145" s="143"/>
      <c r="BE145" s="143"/>
      <c r="BF145" s="142"/>
      <c r="BG145" s="143"/>
      <c r="BH145" s="141"/>
      <c r="BI145" s="142"/>
      <c r="BJ145" s="142"/>
      <c r="BK145" s="116"/>
      <c r="BL145" s="116"/>
      <c r="BM145" s="116"/>
      <c r="BN145" s="116"/>
      <c r="BO145" s="116"/>
      <c r="BP145" s="116"/>
      <c r="BQ145" s="116"/>
      <c r="BR145" s="116"/>
      <c r="BS145" s="116"/>
      <c r="BT145" s="116"/>
      <c r="BU145" s="116"/>
      <c r="BV145" s="116"/>
      <c r="BW145" s="116"/>
      <c r="BX145" s="116"/>
      <c r="BY145" s="116"/>
      <c r="BZ145" s="116"/>
      <c r="CA145" s="116"/>
      <c r="CB145" s="116"/>
      <c r="CC145" s="116"/>
      <c r="CD145" s="116"/>
    </row>
    <row r="146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2"/>
      <c r="R146" s="142"/>
      <c r="S146" s="121"/>
      <c r="T146" s="141"/>
      <c r="U146" s="141"/>
      <c r="V146" s="141"/>
      <c r="W146" s="141"/>
      <c r="X146" s="141"/>
      <c r="Y146" s="141"/>
      <c r="Z146" s="143"/>
      <c r="AA146" s="141"/>
      <c r="AB146" s="143"/>
      <c r="AC146" s="143"/>
      <c r="AD146" s="141"/>
      <c r="AE146" s="143"/>
      <c r="AF146" s="141"/>
      <c r="AG146" s="141"/>
      <c r="AH146" s="141"/>
      <c r="AI146" s="141"/>
      <c r="AJ146" s="141"/>
      <c r="AK146" s="141"/>
      <c r="AL146" s="141"/>
      <c r="AM146" s="141"/>
      <c r="AN146" s="142"/>
      <c r="AO146" s="141"/>
      <c r="AP146" s="141"/>
      <c r="AQ146" s="143"/>
      <c r="AR146" s="141"/>
      <c r="AS146" s="141"/>
      <c r="AT146" s="141"/>
      <c r="AU146" s="143"/>
      <c r="AV146" s="141"/>
      <c r="AW146" s="141"/>
      <c r="AX146" s="141"/>
      <c r="AY146" s="141"/>
      <c r="AZ146" s="141"/>
      <c r="BA146" s="141"/>
      <c r="BB146" s="141"/>
      <c r="BC146" s="143"/>
      <c r="BD146" s="143"/>
      <c r="BE146" s="143"/>
      <c r="BF146" s="142"/>
      <c r="BG146" s="143"/>
      <c r="BH146" s="141"/>
      <c r="BI146" s="142"/>
      <c r="BJ146" s="142"/>
      <c r="BK146" s="116"/>
      <c r="BL146" s="116"/>
      <c r="BM146" s="116"/>
      <c r="BN146" s="116"/>
      <c r="BO146" s="116"/>
      <c r="BP146" s="116"/>
      <c r="BQ146" s="116"/>
      <c r="BR146" s="116"/>
      <c r="BS146" s="116"/>
      <c r="BT146" s="116"/>
      <c r="BU146" s="116"/>
      <c r="BV146" s="116"/>
      <c r="BW146" s="116"/>
      <c r="BX146" s="116"/>
      <c r="BY146" s="116"/>
      <c r="BZ146" s="116"/>
      <c r="CA146" s="116"/>
      <c r="CB146" s="116"/>
      <c r="CC146" s="116"/>
      <c r="CD146" s="116"/>
    </row>
    <row r="147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2"/>
      <c r="R147" s="142"/>
      <c r="S147" s="121"/>
      <c r="T147" s="141"/>
      <c r="U147" s="141"/>
      <c r="V147" s="141"/>
      <c r="W147" s="141"/>
      <c r="X147" s="141"/>
      <c r="Y147" s="141"/>
      <c r="Z147" s="143"/>
      <c r="AA147" s="141"/>
      <c r="AB147" s="143"/>
      <c r="AC147" s="143"/>
      <c r="AD147" s="141"/>
      <c r="AE147" s="143"/>
      <c r="AF147" s="141"/>
      <c r="AG147" s="141"/>
      <c r="AH147" s="141"/>
      <c r="AI147" s="141"/>
      <c r="AJ147" s="141"/>
      <c r="AK147" s="141"/>
      <c r="AL147" s="141"/>
      <c r="AM147" s="141"/>
      <c r="AN147" s="142"/>
      <c r="AO147" s="141"/>
      <c r="AP147" s="141"/>
      <c r="AQ147" s="143"/>
      <c r="AR147" s="141"/>
      <c r="AS147" s="141"/>
      <c r="AT147" s="141"/>
      <c r="AU147" s="143"/>
      <c r="AV147" s="141"/>
      <c r="AW147" s="141"/>
      <c r="AX147" s="141"/>
      <c r="AY147" s="141"/>
      <c r="AZ147" s="141"/>
      <c r="BA147" s="141"/>
      <c r="BB147" s="141"/>
      <c r="BC147" s="143"/>
      <c r="BD147" s="143"/>
      <c r="BE147" s="143"/>
      <c r="BF147" s="142"/>
      <c r="BG147" s="143"/>
      <c r="BH147" s="141"/>
      <c r="BI147" s="142"/>
      <c r="BJ147" s="142"/>
      <c r="BK147" s="116"/>
      <c r="BL147" s="116"/>
      <c r="BM147" s="116"/>
      <c r="BN147" s="116"/>
      <c r="BO147" s="116"/>
      <c r="BP147" s="116"/>
      <c r="BQ147" s="116"/>
      <c r="BR147" s="116"/>
      <c r="BS147" s="116"/>
      <c r="BT147" s="116"/>
      <c r="BU147" s="116"/>
      <c r="BV147" s="116"/>
      <c r="BW147" s="116"/>
      <c r="BX147" s="116"/>
      <c r="BY147" s="116"/>
      <c r="BZ147" s="116"/>
      <c r="CA147" s="116"/>
      <c r="CB147" s="116"/>
      <c r="CC147" s="116"/>
      <c r="CD147" s="116"/>
    </row>
    <row r="148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2"/>
      <c r="R148" s="142"/>
      <c r="S148" s="121"/>
      <c r="T148" s="141"/>
      <c r="U148" s="141"/>
      <c r="V148" s="141"/>
      <c r="W148" s="141"/>
      <c r="X148" s="141"/>
      <c r="Y148" s="141"/>
      <c r="Z148" s="143"/>
      <c r="AA148" s="141"/>
      <c r="AB148" s="143"/>
      <c r="AC148" s="143"/>
      <c r="AD148" s="141"/>
      <c r="AE148" s="143"/>
      <c r="AF148" s="141"/>
      <c r="AG148" s="141"/>
      <c r="AH148" s="141"/>
      <c r="AI148" s="141"/>
      <c r="AJ148" s="141"/>
      <c r="AK148" s="141"/>
      <c r="AL148" s="141"/>
      <c r="AM148" s="141"/>
      <c r="AN148" s="142"/>
      <c r="AO148" s="141"/>
      <c r="AP148" s="141"/>
      <c r="AQ148" s="143"/>
      <c r="AR148" s="141"/>
      <c r="AS148" s="141"/>
      <c r="AT148" s="141"/>
      <c r="AU148" s="143"/>
      <c r="AV148" s="141"/>
      <c r="AW148" s="141"/>
      <c r="AX148" s="141"/>
      <c r="AY148" s="141"/>
      <c r="AZ148" s="141"/>
      <c r="BA148" s="141"/>
      <c r="BB148" s="141"/>
      <c r="BC148" s="143"/>
      <c r="BD148" s="143"/>
      <c r="BE148" s="143"/>
      <c r="BF148" s="142"/>
      <c r="BG148" s="143"/>
      <c r="BH148" s="141"/>
      <c r="BI148" s="142"/>
      <c r="BJ148" s="142"/>
      <c r="BK148" s="116"/>
      <c r="BL148" s="116"/>
      <c r="BM148" s="116"/>
      <c r="BN148" s="116"/>
      <c r="BO148" s="116"/>
      <c r="BP148" s="116"/>
      <c r="BQ148" s="116"/>
      <c r="BR148" s="116"/>
      <c r="BS148" s="116"/>
      <c r="BT148" s="116"/>
      <c r="BU148" s="116"/>
      <c r="BV148" s="116"/>
      <c r="BW148" s="116"/>
      <c r="BX148" s="116"/>
      <c r="BY148" s="116"/>
      <c r="BZ148" s="116"/>
      <c r="CA148" s="116"/>
      <c r="CB148" s="116"/>
      <c r="CC148" s="116"/>
      <c r="CD148" s="116"/>
    </row>
    <row r="149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2"/>
      <c r="R149" s="142"/>
      <c r="S149" s="121"/>
      <c r="T149" s="141"/>
      <c r="U149" s="141"/>
      <c r="V149" s="141"/>
      <c r="W149" s="141"/>
      <c r="X149" s="141"/>
      <c r="Y149" s="141"/>
      <c r="Z149" s="143"/>
      <c r="AA149" s="141"/>
      <c r="AB149" s="143"/>
      <c r="AC149" s="143"/>
      <c r="AD149" s="141"/>
      <c r="AE149" s="143"/>
      <c r="AF149" s="141"/>
      <c r="AG149" s="141"/>
      <c r="AH149" s="141"/>
      <c r="AI149" s="141"/>
      <c r="AJ149" s="141"/>
      <c r="AK149" s="141"/>
      <c r="AL149" s="141"/>
      <c r="AM149" s="141"/>
      <c r="AN149" s="142"/>
      <c r="AO149" s="141"/>
      <c r="AP149" s="141"/>
      <c r="AQ149" s="143"/>
      <c r="AR149" s="141"/>
      <c r="AS149" s="141"/>
      <c r="AT149" s="141"/>
      <c r="AU149" s="143"/>
      <c r="AV149" s="141"/>
      <c r="AW149" s="141"/>
      <c r="AX149" s="141"/>
      <c r="AY149" s="141"/>
      <c r="AZ149" s="141"/>
      <c r="BA149" s="141"/>
      <c r="BB149" s="141"/>
      <c r="BC149" s="143"/>
      <c r="BD149" s="143"/>
      <c r="BE149" s="143"/>
      <c r="BF149" s="142"/>
      <c r="BG149" s="143"/>
      <c r="BH149" s="141"/>
      <c r="BI149" s="142"/>
      <c r="BJ149" s="142"/>
      <c r="BK149" s="116"/>
      <c r="BL149" s="116"/>
      <c r="BM149" s="116"/>
      <c r="BN149" s="116"/>
      <c r="BO149" s="116"/>
      <c r="BP149" s="116"/>
      <c r="BQ149" s="116"/>
      <c r="BR149" s="116"/>
      <c r="BS149" s="116"/>
      <c r="BT149" s="116"/>
      <c r="BU149" s="116"/>
      <c r="BV149" s="116"/>
      <c r="BW149" s="116"/>
      <c r="BX149" s="116"/>
      <c r="BY149" s="116"/>
      <c r="BZ149" s="116"/>
      <c r="CA149" s="116"/>
      <c r="CB149" s="116"/>
      <c r="CC149" s="116"/>
      <c r="CD149" s="116"/>
    </row>
    <row r="150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2"/>
      <c r="R150" s="142"/>
      <c r="S150" s="121"/>
      <c r="T150" s="141"/>
      <c r="U150" s="141"/>
      <c r="V150" s="141"/>
      <c r="W150" s="141"/>
      <c r="X150" s="141"/>
      <c r="Y150" s="141"/>
      <c r="Z150" s="143"/>
      <c r="AA150" s="141"/>
      <c r="AB150" s="143"/>
      <c r="AC150" s="143"/>
      <c r="AD150" s="141"/>
      <c r="AE150" s="143"/>
      <c r="AF150" s="141"/>
      <c r="AG150" s="141"/>
      <c r="AH150" s="141"/>
      <c r="AI150" s="141"/>
      <c r="AJ150" s="141"/>
      <c r="AK150" s="141"/>
      <c r="AL150" s="141"/>
      <c r="AM150" s="141"/>
      <c r="AN150" s="142"/>
      <c r="AO150" s="141"/>
      <c r="AP150" s="141"/>
      <c r="AQ150" s="143"/>
      <c r="AR150" s="141"/>
      <c r="AS150" s="141"/>
      <c r="AT150" s="141"/>
      <c r="AU150" s="143"/>
      <c r="AV150" s="141"/>
      <c r="AW150" s="141"/>
      <c r="AX150" s="141"/>
      <c r="AY150" s="141"/>
      <c r="AZ150" s="141"/>
      <c r="BA150" s="141"/>
      <c r="BB150" s="141"/>
      <c r="BC150" s="143"/>
      <c r="BD150" s="143"/>
      <c r="BE150" s="143"/>
      <c r="BF150" s="142"/>
      <c r="BG150" s="143"/>
      <c r="BH150" s="141"/>
      <c r="BI150" s="142"/>
      <c r="BJ150" s="142"/>
      <c r="BK150" s="116"/>
      <c r="BL150" s="116"/>
      <c r="BM150" s="116"/>
      <c r="BN150" s="116"/>
      <c r="BO150" s="116"/>
      <c r="BP150" s="116"/>
      <c r="BQ150" s="116"/>
      <c r="BR150" s="116"/>
      <c r="BS150" s="116"/>
      <c r="BT150" s="116"/>
      <c r="BU150" s="116"/>
      <c r="BV150" s="116"/>
      <c r="BW150" s="116"/>
      <c r="BX150" s="116"/>
      <c r="BY150" s="116"/>
      <c r="BZ150" s="116"/>
      <c r="CA150" s="116"/>
      <c r="CB150" s="116"/>
      <c r="CC150" s="116"/>
      <c r="CD150" s="116"/>
    </row>
    <row r="15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2"/>
      <c r="R151" s="142"/>
      <c r="S151" s="121"/>
      <c r="T151" s="141"/>
      <c r="U151" s="141"/>
      <c r="V151" s="141"/>
      <c r="W151" s="141"/>
      <c r="X151" s="141"/>
      <c r="Y151" s="141"/>
      <c r="Z151" s="143"/>
      <c r="AA151" s="141"/>
      <c r="AB151" s="143"/>
      <c r="AC151" s="143"/>
      <c r="AD151" s="141"/>
      <c r="AE151" s="143"/>
      <c r="AF151" s="141"/>
      <c r="AG151" s="141"/>
      <c r="AH151" s="141"/>
      <c r="AI151" s="141"/>
      <c r="AJ151" s="141"/>
      <c r="AK151" s="141"/>
      <c r="AL151" s="141"/>
      <c r="AM151" s="141"/>
      <c r="AN151" s="142"/>
      <c r="AO151" s="141"/>
      <c r="AP151" s="141"/>
      <c r="AQ151" s="143"/>
      <c r="AR151" s="141"/>
      <c r="AS151" s="141"/>
      <c r="AT151" s="141"/>
      <c r="AU151" s="143"/>
      <c r="AV151" s="141"/>
      <c r="AW151" s="141"/>
      <c r="AX151" s="141"/>
      <c r="AY151" s="141"/>
      <c r="AZ151" s="141"/>
      <c r="BA151" s="141"/>
      <c r="BB151" s="141"/>
      <c r="BC151" s="143"/>
      <c r="BD151" s="143"/>
      <c r="BE151" s="143"/>
      <c r="BF151" s="142"/>
      <c r="BG151" s="143"/>
      <c r="BH151" s="141"/>
      <c r="BI151" s="142"/>
      <c r="BJ151" s="142"/>
      <c r="BK151" s="116"/>
      <c r="BL151" s="116"/>
      <c r="BM151" s="116"/>
      <c r="BN151" s="116"/>
      <c r="BO151" s="116"/>
      <c r="BP151" s="116"/>
      <c r="BQ151" s="116"/>
      <c r="BR151" s="116"/>
      <c r="BS151" s="116"/>
      <c r="BT151" s="116"/>
      <c r="BU151" s="116"/>
      <c r="BV151" s="116"/>
      <c r="BW151" s="116"/>
      <c r="BX151" s="116"/>
      <c r="BY151" s="116"/>
      <c r="BZ151" s="116"/>
      <c r="CA151" s="116"/>
      <c r="CB151" s="116"/>
      <c r="CC151" s="116"/>
      <c r="CD151" s="116"/>
    </row>
    <row r="152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2"/>
      <c r="R152" s="142"/>
      <c r="S152" s="121"/>
      <c r="T152" s="141"/>
      <c r="U152" s="141"/>
      <c r="V152" s="141"/>
      <c r="W152" s="141"/>
      <c r="X152" s="141"/>
      <c r="Y152" s="141"/>
      <c r="Z152" s="143"/>
      <c r="AA152" s="141"/>
      <c r="AB152" s="143"/>
      <c r="AC152" s="143"/>
      <c r="AD152" s="141"/>
      <c r="AE152" s="143"/>
      <c r="AF152" s="141"/>
      <c r="AG152" s="141"/>
      <c r="AH152" s="141"/>
      <c r="AI152" s="141"/>
      <c r="AJ152" s="141"/>
      <c r="AK152" s="141"/>
      <c r="AL152" s="141"/>
      <c r="AM152" s="141"/>
      <c r="AN152" s="142"/>
      <c r="AO152" s="141"/>
      <c r="AP152" s="141"/>
      <c r="AQ152" s="143"/>
      <c r="AR152" s="141"/>
      <c r="AS152" s="141"/>
      <c r="AT152" s="141"/>
      <c r="AU152" s="143"/>
      <c r="AV152" s="141"/>
      <c r="AW152" s="141"/>
      <c r="AX152" s="141"/>
      <c r="AY152" s="141"/>
      <c r="AZ152" s="141"/>
      <c r="BA152" s="141"/>
      <c r="BB152" s="141"/>
      <c r="BC152" s="143"/>
      <c r="BD152" s="143"/>
      <c r="BE152" s="143"/>
      <c r="BF152" s="142"/>
      <c r="BG152" s="143"/>
      <c r="BH152" s="141"/>
      <c r="BI152" s="142"/>
      <c r="BJ152" s="142"/>
      <c r="BK152" s="116"/>
      <c r="BL152" s="116"/>
      <c r="BM152" s="116"/>
      <c r="BN152" s="116"/>
      <c r="BO152" s="116"/>
      <c r="BP152" s="116"/>
      <c r="BQ152" s="116"/>
      <c r="BR152" s="116"/>
      <c r="BS152" s="116"/>
      <c r="BT152" s="116"/>
      <c r="BU152" s="116"/>
      <c r="BV152" s="116"/>
      <c r="BW152" s="116"/>
      <c r="BX152" s="116"/>
      <c r="BY152" s="116"/>
      <c r="BZ152" s="116"/>
      <c r="CA152" s="116"/>
      <c r="CB152" s="116"/>
      <c r="CC152" s="116"/>
      <c r="CD152" s="116"/>
    </row>
    <row r="153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2"/>
      <c r="R153" s="142"/>
      <c r="S153" s="121"/>
      <c r="T153" s="141"/>
      <c r="U153" s="141"/>
      <c r="V153" s="141"/>
      <c r="W153" s="141"/>
      <c r="X153" s="141"/>
      <c r="Y153" s="141"/>
      <c r="Z153" s="143"/>
      <c r="AA153" s="141"/>
      <c r="AB153" s="143"/>
      <c r="AC153" s="143"/>
      <c r="AD153" s="141"/>
      <c r="AE153" s="143"/>
      <c r="AF153" s="141"/>
      <c r="AG153" s="141"/>
      <c r="AH153" s="141"/>
      <c r="AI153" s="141"/>
      <c r="AJ153" s="141"/>
      <c r="AK153" s="141"/>
      <c r="AL153" s="141"/>
      <c r="AM153" s="141"/>
      <c r="AN153" s="142"/>
      <c r="AO153" s="141"/>
      <c r="AP153" s="141"/>
      <c r="AQ153" s="143"/>
      <c r="AR153" s="141"/>
      <c r="AS153" s="141"/>
      <c r="AT153" s="141"/>
      <c r="AU153" s="143"/>
      <c r="AV153" s="141"/>
      <c r="AW153" s="141"/>
      <c r="AX153" s="141"/>
      <c r="AY153" s="141"/>
      <c r="AZ153" s="141"/>
      <c r="BA153" s="141"/>
      <c r="BB153" s="141"/>
      <c r="BC153" s="143"/>
      <c r="BD153" s="143"/>
      <c r="BE153" s="143"/>
      <c r="BF153" s="142"/>
      <c r="BG153" s="143"/>
      <c r="BH153" s="141"/>
      <c r="BI153" s="142"/>
      <c r="BJ153" s="142"/>
      <c r="BK153" s="116"/>
      <c r="BL153" s="116"/>
      <c r="BM153" s="116"/>
      <c r="BN153" s="116"/>
      <c r="BO153" s="116"/>
      <c r="BP153" s="116"/>
      <c r="BQ153" s="116"/>
      <c r="BR153" s="116"/>
      <c r="BS153" s="116"/>
      <c r="BT153" s="116"/>
      <c r="BU153" s="116"/>
      <c r="BV153" s="116"/>
      <c r="BW153" s="116"/>
      <c r="BX153" s="116"/>
      <c r="BY153" s="116"/>
      <c r="BZ153" s="116"/>
      <c r="CA153" s="116"/>
      <c r="CB153" s="116"/>
      <c r="CC153" s="116"/>
      <c r="CD153" s="116"/>
    </row>
    <row r="154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2"/>
      <c r="R154" s="142"/>
      <c r="S154" s="121"/>
      <c r="T154" s="141"/>
      <c r="U154" s="141"/>
      <c r="V154" s="141"/>
      <c r="W154" s="141"/>
      <c r="X154" s="141"/>
      <c r="Y154" s="141"/>
      <c r="Z154" s="143"/>
      <c r="AA154" s="141"/>
      <c r="AB154" s="143"/>
      <c r="AC154" s="143"/>
      <c r="AD154" s="141"/>
      <c r="AE154" s="143"/>
      <c r="AF154" s="141"/>
      <c r="AG154" s="141"/>
      <c r="AH154" s="141"/>
      <c r="AI154" s="141"/>
      <c r="AJ154" s="141"/>
      <c r="AK154" s="141"/>
      <c r="AL154" s="141"/>
      <c r="AM154" s="141"/>
      <c r="AN154" s="142"/>
      <c r="AO154" s="141"/>
      <c r="AP154" s="141"/>
      <c r="AQ154" s="143"/>
      <c r="AR154" s="141"/>
      <c r="AS154" s="141"/>
      <c r="AT154" s="141"/>
      <c r="AU154" s="143"/>
      <c r="AV154" s="141"/>
      <c r="AW154" s="141"/>
      <c r="AX154" s="141"/>
      <c r="AY154" s="141"/>
      <c r="AZ154" s="141"/>
      <c r="BA154" s="141"/>
      <c r="BB154" s="141"/>
      <c r="BC154" s="143"/>
      <c r="BD154" s="143"/>
      <c r="BE154" s="143"/>
      <c r="BF154" s="142"/>
      <c r="BG154" s="143"/>
      <c r="BH154" s="141"/>
      <c r="BI154" s="142"/>
      <c r="BJ154" s="142"/>
      <c r="BK154" s="116"/>
      <c r="BL154" s="116"/>
      <c r="BM154" s="116"/>
      <c r="BN154" s="116"/>
      <c r="BO154" s="116"/>
      <c r="BP154" s="116"/>
      <c r="BQ154" s="116"/>
      <c r="BR154" s="116"/>
      <c r="BS154" s="116"/>
      <c r="BT154" s="116"/>
      <c r="BU154" s="116"/>
      <c r="BV154" s="116"/>
      <c r="BW154" s="116"/>
      <c r="BX154" s="116"/>
      <c r="BY154" s="116"/>
      <c r="BZ154" s="116"/>
      <c r="CA154" s="116"/>
      <c r="CB154" s="116"/>
      <c r="CC154" s="116"/>
      <c r="CD154" s="116"/>
    </row>
    <row r="155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2"/>
      <c r="R155" s="142"/>
      <c r="S155" s="121"/>
      <c r="T155" s="141"/>
      <c r="U155" s="141"/>
      <c r="V155" s="141"/>
      <c r="W155" s="141"/>
      <c r="X155" s="141"/>
      <c r="Y155" s="141"/>
      <c r="Z155" s="143"/>
      <c r="AA155" s="141"/>
      <c r="AB155" s="143"/>
      <c r="AC155" s="143"/>
      <c r="AD155" s="141"/>
      <c r="AE155" s="143"/>
      <c r="AF155" s="141"/>
      <c r="AG155" s="141"/>
      <c r="AH155" s="141"/>
      <c r="AI155" s="141"/>
      <c r="AJ155" s="141"/>
      <c r="AK155" s="141"/>
      <c r="AL155" s="141"/>
      <c r="AM155" s="141"/>
      <c r="AN155" s="142"/>
      <c r="AO155" s="141"/>
      <c r="AP155" s="141"/>
      <c r="AQ155" s="143"/>
      <c r="AR155" s="141"/>
      <c r="AS155" s="141"/>
      <c r="AT155" s="141"/>
      <c r="AU155" s="143"/>
      <c r="AV155" s="141"/>
      <c r="AW155" s="141"/>
      <c r="AX155" s="141"/>
      <c r="AY155" s="141"/>
      <c r="AZ155" s="141"/>
      <c r="BA155" s="141"/>
      <c r="BB155" s="141"/>
      <c r="BC155" s="143"/>
      <c r="BD155" s="143"/>
      <c r="BE155" s="143"/>
      <c r="BF155" s="142"/>
      <c r="BG155" s="143"/>
      <c r="BH155" s="141"/>
      <c r="BI155" s="142"/>
      <c r="BJ155" s="142"/>
      <c r="BK155" s="116"/>
      <c r="BL155" s="116"/>
      <c r="BM155" s="116"/>
      <c r="BN155" s="116"/>
      <c r="BO155" s="116"/>
      <c r="BP155" s="116"/>
      <c r="BQ155" s="116"/>
      <c r="BR155" s="116"/>
      <c r="BS155" s="116"/>
      <c r="BT155" s="116"/>
      <c r="BU155" s="116"/>
      <c r="BV155" s="116"/>
      <c r="BW155" s="116"/>
      <c r="BX155" s="116"/>
      <c r="BY155" s="116"/>
      <c r="BZ155" s="116"/>
      <c r="CA155" s="116"/>
      <c r="CB155" s="116"/>
      <c r="CC155" s="116"/>
      <c r="CD155" s="116"/>
    </row>
    <row r="156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2"/>
      <c r="R156" s="142"/>
      <c r="S156" s="121"/>
      <c r="T156" s="141"/>
      <c r="U156" s="141"/>
      <c r="V156" s="141"/>
      <c r="W156" s="141"/>
      <c r="X156" s="141"/>
      <c r="Y156" s="141"/>
      <c r="Z156" s="143"/>
      <c r="AA156" s="141"/>
      <c r="AB156" s="143"/>
      <c r="AC156" s="143"/>
      <c r="AD156" s="141"/>
      <c r="AE156" s="143"/>
      <c r="AF156" s="141"/>
      <c r="AG156" s="141"/>
      <c r="AH156" s="141"/>
      <c r="AI156" s="141"/>
      <c r="AJ156" s="141"/>
      <c r="AK156" s="141"/>
      <c r="AL156" s="141"/>
      <c r="AM156" s="141"/>
      <c r="AN156" s="142"/>
      <c r="AO156" s="141"/>
      <c r="AP156" s="141"/>
      <c r="AQ156" s="143"/>
      <c r="AR156" s="141"/>
      <c r="AS156" s="141"/>
      <c r="AT156" s="141"/>
      <c r="AU156" s="143"/>
      <c r="AV156" s="141"/>
      <c r="AW156" s="141"/>
      <c r="AX156" s="141"/>
      <c r="AY156" s="141"/>
      <c r="AZ156" s="141"/>
      <c r="BA156" s="141"/>
      <c r="BB156" s="141"/>
      <c r="BC156" s="143"/>
      <c r="BD156" s="143"/>
      <c r="BE156" s="143"/>
      <c r="BF156" s="142"/>
      <c r="BG156" s="143"/>
      <c r="BH156" s="141"/>
      <c r="BI156" s="142"/>
      <c r="BJ156" s="142"/>
      <c r="BK156" s="116"/>
      <c r="BL156" s="116"/>
      <c r="BM156" s="116"/>
      <c r="BN156" s="116"/>
      <c r="BO156" s="116"/>
      <c r="BP156" s="116"/>
      <c r="BQ156" s="116"/>
      <c r="BR156" s="116"/>
      <c r="BS156" s="116"/>
      <c r="BT156" s="116"/>
      <c r="BU156" s="116"/>
      <c r="BV156" s="116"/>
      <c r="BW156" s="116"/>
      <c r="BX156" s="116"/>
      <c r="BY156" s="116"/>
      <c r="BZ156" s="116"/>
      <c r="CA156" s="116"/>
      <c r="CB156" s="116"/>
      <c r="CC156" s="116"/>
      <c r="CD156" s="116"/>
    </row>
    <row r="157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2"/>
      <c r="R157" s="142"/>
      <c r="S157" s="121"/>
      <c r="T157" s="141"/>
      <c r="U157" s="141"/>
      <c r="V157" s="141"/>
      <c r="W157" s="141"/>
      <c r="X157" s="141"/>
      <c r="Y157" s="141"/>
      <c r="Z157" s="143"/>
      <c r="AA157" s="141"/>
      <c r="AB157" s="143"/>
      <c r="AC157" s="143"/>
      <c r="AD157" s="141"/>
      <c r="AE157" s="143"/>
      <c r="AF157" s="141"/>
      <c r="AG157" s="141"/>
      <c r="AH157" s="141"/>
      <c r="AI157" s="141"/>
      <c r="AJ157" s="141"/>
      <c r="AK157" s="141"/>
      <c r="AL157" s="141"/>
      <c r="AM157" s="141"/>
      <c r="AN157" s="142"/>
      <c r="AO157" s="141"/>
      <c r="AP157" s="141"/>
      <c r="AQ157" s="143"/>
      <c r="AR157" s="141"/>
      <c r="AS157" s="141"/>
      <c r="AT157" s="141"/>
      <c r="AU157" s="143"/>
      <c r="AV157" s="141"/>
      <c r="AW157" s="141"/>
      <c r="AX157" s="141"/>
      <c r="AY157" s="141"/>
      <c r="AZ157" s="141"/>
      <c r="BA157" s="141"/>
      <c r="BB157" s="141"/>
      <c r="BC157" s="143"/>
      <c r="BD157" s="143"/>
      <c r="BE157" s="143"/>
      <c r="BF157" s="142"/>
      <c r="BG157" s="143"/>
      <c r="BH157" s="141"/>
      <c r="BI157" s="142"/>
      <c r="BJ157" s="142"/>
      <c r="BK157" s="116"/>
      <c r="BL157" s="116"/>
      <c r="BM157" s="116"/>
      <c r="BN157" s="116"/>
      <c r="BO157" s="116"/>
      <c r="BP157" s="116"/>
      <c r="BQ157" s="116"/>
      <c r="BR157" s="116"/>
      <c r="BS157" s="116"/>
      <c r="BT157" s="116"/>
      <c r="BU157" s="116"/>
      <c r="BV157" s="116"/>
      <c r="BW157" s="116"/>
      <c r="BX157" s="116"/>
      <c r="BY157" s="116"/>
      <c r="BZ157" s="116"/>
      <c r="CA157" s="116"/>
      <c r="CB157" s="116"/>
      <c r="CC157" s="116"/>
      <c r="CD157" s="116"/>
    </row>
    <row r="158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2"/>
      <c r="R158" s="142"/>
      <c r="S158" s="121"/>
      <c r="T158" s="141"/>
      <c r="U158" s="141"/>
      <c r="V158" s="141"/>
      <c r="W158" s="141"/>
      <c r="X158" s="141"/>
      <c r="Y158" s="141"/>
      <c r="Z158" s="143"/>
      <c r="AA158" s="141"/>
      <c r="AB158" s="143"/>
      <c r="AC158" s="143"/>
      <c r="AD158" s="141"/>
      <c r="AE158" s="143"/>
      <c r="AF158" s="141"/>
      <c r="AG158" s="141"/>
      <c r="AH158" s="141"/>
      <c r="AI158" s="141"/>
      <c r="AJ158" s="141"/>
      <c r="AK158" s="141"/>
      <c r="AL158" s="141"/>
      <c r="AM158" s="141"/>
      <c r="AN158" s="142"/>
      <c r="AO158" s="141"/>
      <c r="AP158" s="141"/>
      <c r="AQ158" s="143"/>
      <c r="AR158" s="141"/>
      <c r="AS158" s="141"/>
      <c r="AT158" s="141"/>
      <c r="AU158" s="143"/>
      <c r="AV158" s="141"/>
      <c r="AW158" s="141"/>
      <c r="AX158" s="141"/>
      <c r="AY158" s="141"/>
      <c r="AZ158" s="141"/>
      <c r="BA158" s="141"/>
      <c r="BB158" s="141"/>
      <c r="BC158" s="143"/>
      <c r="BD158" s="143"/>
      <c r="BE158" s="143"/>
      <c r="BF158" s="142"/>
      <c r="BG158" s="143"/>
      <c r="BH158" s="141"/>
      <c r="BI158" s="142"/>
      <c r="BJ158" s="142"/>
      <c r="BK158" s="116"/>
      <c r="BL158" s="116"/>
      <c r="BM158" s="116"/>
      <c r="BN158" s="116"/>
      <c r="BO158" s="116"/>
      <c r="BP158" s="116"/>
      <c r="BQ158" s="116"/>
      <c r="BR158" s="116"/>
      <c r="BS158" s="116"/>
      <c r="BT158" s="116"/>
      <c r="BU158" s="116"/>
      <c r="BV158" s="116"/>
      <c r="BW158" s="116"/>
      <c r="BX158" s="116"/>
      <c r="BY158" s="116"/>
      <c r="BZ158" s="116"/>
      <c r="CA158" s="116"/>
      <c r="CB158" s="116"/>
      <c r="CC158" s="116"/>
      <c r="CD158" s="116"/>
    </row>
    <row r="159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2"/>
      <c r="R159" s="142"/>
      <c r="S159" s="121"/>
      <c r="T159" s="141"/>
      <c r="U159" s="141"/>
      <c r="V159" s="141"/>
      <c r="W159" s="141"/>
      <c r="X159" s="141"/>
      <c r="Y159" s="141"/>
      <c r="Z159" s="143"/>
      <c r="AA159" s="141"/>
      <c r="AB159" s="143"/>
      <c r="AC159" s="143"/>
      <c r="AD159" s="141"/>
      <c r="AE159" s="143"/>
      <c r="AF159" s="141"/>
      <c r="AG159" s="141"/>
      <c r="AH159" s="141"/>
      <c r="AI159" s="141"/>
      <c r="AJ159" s="141"/>
      <c r="AK159" s="141"/>
      <c r="AL159" s="141"/>
      <c r="AM159" s="141"/>
      <c r="AN159" s="142"/>
      <c r="AO159" s="141"/>
      <c r="AP159" s="141"/>
      <c r="AQ159" s="143"/>
      <c r="AR159" s="141"/>
      <c r="AS159" s="141"/>
      <c r="AT159" s="141"/>
      <c r="AU159" s="143"/>
      <c r="AV159" s="141"/>
      <c r="AW159" s="141"/>
      <c r="AX159" s="141"/>
      <c r="AY159" s="141"/>
      <c r="AZ159" s="141"/>
      <c r="BA159" s="141"/>
      <c r="BB159" s="141"/>
      <c r="BC159" s="143"/>
      <c r="BD159" s="143"/>
      <c r="BE159" s="143"/>
      <c r="BF159" s="142"/>
      <c r="BG159" s="143"/>
      <c r="BH159" s="141"/>
      <c r="BI159" s="142"/>
      <c r="BJ159" s="142"/>
      <c r="BK159" s="116"/>
      <c r="BL159" s="116"/>
      <c r="BM159" s="116"/>
      <c r="BN159" s="116"/>
      <c r="BO159" s="116"/>
      <c r="BP159" s="116"/>
      <c r="BQ159" s="116"/>
      <c r="BR159" s="116"/>
      <c r="BS159" s="116"/>
      <c r="BT159" s="116"/>
      <c r="BU159" s="116"/>
      <c r="BV159" s="116"/>
      <c r="BW159" s="116"/>
      <c r="BX159" s="116"/>
      <c r="BY159" s="116"/>
      <c r="BZ159" s="116"/>
      <c r="CA159" s="116"/>
      <c r="CB159" s="116"/>
      <c r="CC159" s="116"/>
      <c r="CD159" s="116"/>
    </row>
    <row r="160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2"/>
      <c r="R160" s="142"/>
      <c r="S160" s="121"/>
      <c r="T160" s="141"/>
      <c r="U160" s="141"/>
      <c r="V160" s="141"/>
      <c r="W160" s="141"/>
      <c r="X160" s="141"/>
      <c r="Y160" s="141"/>
      <c r="Z160" s="143"/>
      <c r="AA160" s="141"/>
      <c r="AB160" s="143"/>
      <c r="AC160" s="143"/>
      <c r="AD160" s="141"/>
      <c r="AE160" s="143"/>
      <c r="AF160" s="141"/>
      <c r="AG160" s="141"/>
      <c r="AH160" s="141"/>
      <c r="AI160" s="141"/>
      <c r="AJ160" s="141"/>
      <c r="AK160" s="141"/>
      <c r="AL160" s="141"/>
      <c r="AM160" s="141"/>
      <c r="AN160" s="142"/>
      <c r="AO160" s="141"/>
      <c r="AP160" s="141"/>
      <c r="AQ160" s="143"/>
      <c r="AR160" s="141"/>
      <c r="AS160" s="141"/>
      <c r="AT160" s="141"/>
      <c r="AU160" s="143"/>
      <c r="AV160" s="141"/>
      <c r="AW160" s="141"/>
      <c r="AX160" s="141"/>
      <c r="AY160" s="141"/>
      <c r="AZ160" s="141"/>
      <c r="BA160" s="141"/>
      <c r="BB160" s="141"/>
      <c r="BC160" s="143"/>
      <c r="BD160" s="143"/>
      <c r="BE160" s="143"/>
      <c r="BF160" s="142"/>
      <c r="BG160" s="143"/>
      <c r="BH160" s="141"/>
      <c r="BI160" s="142"/>
      <c r="BJ160" s="142"/>
      <c r="BK160" s="116"/>
      <c r="BL160" s="116"/>
      <c r="BM160" s="116"/>
      <c r="BN160" s="116"/>
      <c r="BO160" s="116"/>
      <c r="BP160" s="116"/>
      <c r="BQ160" s="116"/>
      <c r="BR160" s="116"/>
      <c r="BS160" s="116"/>
      <c r="BT160" s="116"/>
      <c r="BU160" s="116"/>
      <c r="BV160" s="116"/>
      <c r="BW160" s="116"/>
      <c r="BX160" s="116"/>
      <c r="BY160" s="116"/>
      <c r="BZ160" s="116"/>
      <c r="CA160" s="116"/>
      <c r="CB160" s="116"/>
      <c r="CC160" s="116"/>
      <c r="CD160" s="116"/>
    </row>
    <row r="16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2"/>
      <c r="R161" s="142"/>
      <c r="S161" s="121"/>
      <c r="T161" s="141"/>
      <c r="U161" s="141"/>
      <c r="V161" s="141"/>
      <c r="W161" s="141"/>
      <c r="X161" s="141"/>
      <c r="Y161" s="141"/>
      <c r="Z161" s="143"/>
      <c r="AA161" s="141"/>
      <c r="AB161" s="143"/>
      <c r="AC161" s="143"/>
      <c r="AD161" s="141"/>
      <c r="AE161" s="143"/>
      <c r="AF161" s="141"/>
      <c r="AG161" s="141"/>
      <c r="AH161" s="141"/>
      <c r="AI161" s="141"/>
      <c r="AJ161" s="141"/>
      <c r="AK161" s="141"/>
      <c r="AL161" s="141"/>
      <c r="AM161" s="141"/>
      <c r="AN161" s="142"/>
      <c r="AO161" s="141"/>
      <c r="AP161" s="141"/>
      <c r="AQ161" s="143"/>
      <c r="AR161" s="141"/>
      <c r="AS161" s="141"/>
      <c r="AT161" s="141"/>
      <c r="AU161" s="143"/>
      <c r="AV161" s="141"/>
      <c r="AW161" s="141"/>
      <c r="AX161" s="141"/>
      <c r="AY161" s="141"/>
      <c r="AZ161" s="141"/>
      <c r="BA161" s="141"/>
      <c r="BB161" s="141"/>
      <c r="BC161" s="143"/>
      <c r="BD161" s="143"/>
      <c r="BE161" s="143"/>
      <c r="BF161" s="142"/>
      <c r="BG161" s="143"/>
      <c r="BH161" s="141"/>
      <c r="BI161" s="142"/>
      <c r="BJ161" s="142"/>
      <c r="BK161" s="116"/>
      <c r="BL161" s="116"/>
      <c r="BM161" s="116"/>
      <c r="BN161" s="116"/>
      <c r="BO161" s="116"/>
      <c r="BP161" s="116"/>
      <c r="BQ161" s="116"/>
      <c r="BR161" s="116"/>
      <c r="BS161" s="116"/>
      <c r="BT161" s="116"/>
      <c r="BU161" s="116"/>
      <c r="BV161" s="116"/>
      <c r="BW161" s="116"/>
      <c r="BX161" s="116"/>
      <c r="BY161" s="116"/>
      <c r="BZ161" s="116"/>
      <c r="CA161" s="116"/>
      <c r="CB161" s="116"/>
      <c r="CC161" s="116"/>
      <c r="CD161" s="116"/>
    </row>
    <row r="162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2"/>
      <c r="R162" s="142"/>
      <c r="S162" s="121"/>
      <c r="T162" s="141"/>
      <c r="U162" s="141"/>
      <c r="V162" s="141"/>
      <c r="W162" s="141"/>
      <c r="X162" s="141"/>
      <c r="Y162" s="141"/>
      <c r="Z162" s="143"/>
      <c r="AA162" s="141"/>
      <c r="AB162" s="143"/>
      <c r="AC162" s="143"/>
      <c r="AD162" s="141"/>
      <c r="AE162" s="143"/>
      <c r="AF162" s="141"/>
      <c r="AG162" s="141"/>
      <c r="AH162" s="141"/>
      <c r="AI162" s="141"/>
      <c r="AJ162" s="141"/>
      <c r="AK162" s="141"/>
      <c r="AL162" s="141"/>
      <c r="AM162" s="141"/>
      <c r="AN162" s="142"/>
      <c r="AO162" s="141"/>
      <c r="AP162" s="141"/>
      <c r="AQ162" s="143"/>
      <c r="AR162" s="141"/>
      <c r="AS162" s="141"/>
      <c r="AT162" s="141"/>
      <c r="AU162" s="143"/>
      <c r="AV162" s="141"/>
      <c r="AW162" s="141"/>
      <c r="AX162" s="141"/>
      <c r="AY162" s="141"/>
      <c r="AZ162" s="141"/>
      <c r="BA162" s="141"/>
      <c r="BB162" s="141"/>
      <c r="BC162" s="143"/>
      <c r="BD162" s="143"/>
      <c r="BE162" s="143"/>
      <c r="BF162" s="142"/>
      <c r="BG162" s="143"/>
      <c r="BH162" s="141"/>
      <c r="BI162" s="142"/>
      <c r="BJ162" s="142"/>
      <c r="BK162" s="116"/>
      <c r="BL162" s="116"/>
      <c r="BM162" s="116"/>
      <c r="BN162" s="116"/>
      <c r="BO162" s="116"/>
      <c r="BP162" s="116"/>
      <c r="BQ162" s="116"/>
      <c r="BR162" s="116"/>
      <c r="BS162" s="116"/>
      <c r="BT162" s="116"/>
      <c r="BU162" s="116"/>
      <c r="BV162" s="116"/>
      <c r="BW162" s="116"/>
      <c r="BX162" s="116"/>
      <c r="BY162" s="116"/>
      <c r="BZ162" s="116"/>
      <c r="CA162" s="116"/>
      <c r="CB162" s="116"/>
      <c r="CC162" s="116"/>
      <c r="CD162" s="116"/>
    </row>
    <row r="163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2"/>
      <c r="R163" s="142"/>
      <c r="S163" s="121"/>
      <c r="T163" s="141"/>
      <c r="U163" s="141"/>
      <c r="V163" s="141"/>
      <c r="W163" s="141"/>
      <c r="X163" s="141"/>
      <c r="Y163" s="141"/>
      <c r="Z163" s="143"/>
      <c r="AA163" s="141"/>
      <c r="AB163" s="143"/>
      <c r="AC163" s="143"/>
      <c r="AD163" s="141"/>
      <c r="AE163" s="143"/>
      <c r="AF163" s="141"/>
      <c r="AG163" s="141"/>
      <c r="AH163" s="141"/>
      <c r="AI163" s="141"/>
      <c r="AJ163" s="141"/>
      <c r="AK163" s="141"/>
      <c r="AL163" s="141"/>
      <c r="AM163" s="141"/>
      <c r="AN163" s="142"/>
      <c r="AO163" s="141"/>
      <c r="AP163" s="141"/>
      <c r="AQ163" s="143"/>
      <c r="AR163" s="141"/>
      <c r="AS163" s="141"/>
      <c r="AT163" s="141"/>
      <c r="AU163" s="143"/>
      <c r="AV163" s="141"/>
      <c r="AW163" s="141"/>
      <c r="AX163" s="141"/>
      <c r="AY163" s="141"/>
      <c r="AZ163" s="141"/>
      <c r="BA163" s="141"/>
      <c r="BB163" s="141"/>
      <c r="BC163" s="143"/>
      <c r="BD163" s="143"/>
      <c r="BE163" s="143"/>
      <c r="BF163" s="142"/>
      <c r="BG163" s="143"/>
      <c r="BH163" s="141"/>
      <c r="BI163" s="142"/>
      <c r="BJ163" s="142"/>
      <c r="BK163" s="116"/>
      <c r="BL163" s="116"/>
      <c r="BM163" s="116"/>
      <c r="BN163" s="116"/>
      <c r="BO163" s="116"/>
      <c r="BP163" s="116"/>
      <c r="BQ163" s="116"/>
      <c r="BR163" s="116"/>
      <c r="BS163" s="116"/>
      <c r="BT163" s="116"/>
      <c r="BU163" s="116"/>
      <c r="BV163" s="116"/>
      <c r="BW163" s="116"/>
      <c r="BX163" s="116"/>
      <c r="BY163" s="116"/>
      <c r="BZ163" s="116"/>
      <c r="CA163" s="116"/>
      <c r="CB163" s="116"/>
      <c r="CC163" s="116"/>
      <c r="CD163" s="116"/>
    </row>
    <row r="164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2"/>
      <c r="R164" s="142"/>
      <c r="S164" s="121"/>
      <c r="T164" s="141"/>
      <c r="U164" s="141"/>
      <c r="V164" s="141"/>
      <c r="W164" s="141"/>
      <c r="X164" s="141"/>
      <c r="Y164" s="141"/>
      <c r="Z164" s="143"/>
      <c r="AA164" s="141"/>
      <c r="AB164" s="143"/>
      <c r="AC164" s="143"/>
      <c r="AD164" s="141"/>
      <c r="AE164" s="143"/>
      <c r="AF164" s="141"/>
      <c r="AG164" s="141"/>
      <c r="AH164" s="141"/>
      <c r="AI164" s="141"/>
      <c r="AJ164" s="141"/>
      <c r="AK164" s="141"/>
      <c r="AL164" s="141"/>
      <c r="AM164" s="141"/>
      <c r="AN164" s="142"/>
      <c r="AO164" s="141"/>
      <c r="AP164" s="141"/>
      <c r="AQ164" s="143"/>
      <c r="AR164" s="141"/>
      <c r="AS164" s="141"/>
      <c r="AT164" s="141"/>
      <c r="AU164" s="143"/>
      <c r="AV164" s="141"/>
      <c r="AW164" s="141"/>
      <c r="AX164" s="141"/>
      <c r="AY164" s="141"/>
      <c r="AZ164" s="141"/>
      <c r="BA164" s="141"/>
      <c r="BB164" s="141"/>
      <c r="BC164" s="143"/>
      <c r="BD164" s="143"/>
      <c r="BE164" s="143"/>
      <c r="BF164" s="142"/>
      <c r="BG164" s="143"/>
      <c r="BH164" s="141"/>
      <c r="BI164" s="142"/>
      <c r="BJ164" s="142"/>
      <c r="BK164" s="116"/>
      <c r="BL164" s="116"/>
      <c r="BM164" s="116"/>
      <c r="BN164" s="116"/>
      <c r="BO164" s="116"/>
      <c r="BP164" s="116"/>
      <c r="BQ164" s="116"/>
      <c r="BR164" s="116"/>
      <c r="BS164" s="116"/>
      <c r="BT164" s="116"/>
      <c r="BU164" s="116"/>
      <c r="BV164" s="116"/>
      <c r="BW164" s="116"/>
      <c r="BX164" s="116"/>
      <c r="BY164" s="116"/>
      <c r="BZ164" s="116"/>
      <c r="CA164" s="116"/>
      <c r="CB164" s="116"/>
      <c r="CC164" s="116"/>
      <c r="CD164" s="116"/>
    </row>
    <row r="165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2"/>
      <c r="R165" s="142"/>
      <c r="S165" s="121"/>
      <c r="T165" s="141"/>
      <c r="U165" s="141"/>
      <c r="V165" s="141"/>
      <c r="W165" s="141"/>
      <c r="X165" s="141"/>
      <c r="Y165" s="141"/>
      <c r="Z165" s="143"/>
      <c r="AA165" s="141"/>
      <c r="AB165" s="143"/>
      <c r="AC165" s="143"/>
      <c r="AD165" s="141"/>
      <c r="AE165" s="143"/>
      <c r="AF165" s="141"/>
      <c r="AG165" s="141"/>
      <c r="AH165" s="141"/>
      <c r="AI165" s="141"/>
      <c r="AJ165" s="141"/>
      <c r="AK165" s="141"/>
      <c r="AL165" s="141"/>
      <c r="AM165" s="141"/>
      <c r="AN165" s="142"/>
      <c r="AO165" s="141"/>
      <c r="AP165" s="141"/>
      <c r="AQ165" s="143"/>
      <c r="AR165" s="141"/>
      <c r="AS165" s="141"/>
      <c r="AT165" s="141"/>
      <c r="AU165" s="143"/>
      <c r="AV165" s="141"/>
      <c r="AW165" s="141"/>
      <c r="AX165" s="141"/>
      <c r="AY165" s="141"/>
      <c r="AZ165" s="141"/>
      <c r="BA165" s="141"/>
      <c r="BB165" s="141"/>
      <c r="BC165" s="143"/>
      <c r="BD165" s="143"/>
      <c r="BE165" s="143"/>
      <c r="BF165" s="142"/>
      <c r="BG165" s="143"/>
      <c r="BH165" s="141"/>
      <c r="BI165" s="142"/>
      <c r="BJ165" s="142"/>
      <c r="BK165" s="116"/>
      <c r="BL165" s="116"/>
      <c r="BM165" s="116"/>
      <c r="BN165" s="116"/>
      <c r="BO165" s="116"/>
      <c r="BP165" s="116"/>
      <c r="BQ165" s="116"/>
      <c r="BR165" s="116"/>
      <c r="BS165" s="116"/>
      <c r="BT165" s="116"/>
      <c r="BU165" s="116"/>
      <c r="BV165" s="116"/>
      <c r="BW165" s="116"/>
      <c r="BX165" s="116"/>
      <c r="BY165" s="116"/>
      <c r="BZ165" s="116"/>
      <c r="CA165" s="116"/>
      <c r="CB165" s="116"/>
      <c r="CC165" s="116"/>
      <c r="CD165" s="116"/>
    </row>
    <row r="166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2"/>
      <c r="R166" s="142"/>
      <c r="S166" s="121"/>
      <c r="T166" s="141"/>
      <c r="U166" s="141"/>
      <c r="V166" s="141"/>
      <c r="W166" s="141"/>
      <c r="X166" s="141"/>
      <c r="Y166" s="141"/>
      <c r="Z166" s="143"/>
      <c r="AA166" s="141"/>
      <c r="AB166" s="143"/>
      <c r="AC166" s="143"/>
      <c r="AD166" s="141"/>
      <c r="AE166" s="143"/>
      <c r="AF166" s="141"/>
      <c r="AG166" s="141"/>
      <c r="AH166" s="141"/>
      <c r="AI166" s="141"/>
      <c r="AJ166" s="141"/>
      <c r="AK166" s="141"/>
      <c r="AL166" s="141"/>
      <c r="AM166" s="141"/>
      <c r="AN166" s="142"/>
      <c r="AO166" s="141"/>
      <c r="AP166" s="141"/>
      <c r="AQ166" s="143"/>
      <c r="AR166" s="141"/>
      <c r="AS166" s="141"/>
      <c r="AT166" s="141"/>
      <c r="AU166" s="143"/>
      <c r="AV166" s="141"/>
      <c r="AW166" s="141"/>
      <c r="AX166" s="141"/>
      <c r="AY166" s="141"/>
      <c r="AZ166" s="141"/>
      <c r="BA166" s="141"/>
      <c r="BB166" s="141"/>
      <c r="BC166" s="143"/>
      <c r="BD166" s="143"/>
      <c r="BE166" s="143"/>
      <c r="BF166" s="142"/>
      <c r="BG166" s="143"/>
      <c r="BH166" s="141"/>
      <c r="BI166" s="142"/>
      <c r="BJ166" s="142"/>
      <c r="BK166" s="116"/>
      <c r="BL166" s="116"/>
      <c r="BM166" s="116"/>
      <c r="BN166" s="116"/>
      <c r="BO166" s="116"/>
      <c r="BP166" s="116"/>
      <c r="BQ166" s="116"/>
      <c r="BR166" s="116"/>
      <c r="BS166" s="116"/>
      <c r="BT166" s="116"/>
      <c r="BU166" s="116"/>
      <c r="BV166" s="116"/>
      <c r="BW166" s="116"/>
      <c r="BX166" s="116"/>
      <c r="BY166" s="116"/>
      <c r="BZ166" s="116"/>
      <c r="CA166" s="116"/>
      <c r="CB166" s="116"/>
      <c r="CC166" s="116"/>
      <c r="CD166" s="116"/>
    </row>
    <row r="167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2"/>
      <c r="R167" s="142"/>
      <c r="S167" s="121"/>
      <c r="T167" s="141"/>
      <c r="U167" s="141"/>
      <c r="V167" s="141"/>
      <c r="W167" s="141"/>
      <c r="X167" s="141"/>
      <c r="Y167" s="141"/>
      <c r="Z167" s="143"/>
      <c r="AA167" s="141"/>
      <c r="AB167" s="143"/>
      <c r="AC167" s="143"/>
      <c r="AD167" s="141"/>
      <c r="AE167" s="143"/>
      <c r="AF167" s="141"/>
      <c r="AG167" s="141"/>
      <c r="AH167" s="141"/>
      <c r="AI167" s="141"/>
      <c r="AJ167" s="141"/>
      <c r="AK167" s="141"/>
      <c r="AL167" s="141"/>
      <c r="AM167" s="141"/>
      <c r="AN167" s="142"/>
      <c r="AO167" s="141"/>
      <c r="AP167" s="141"/>
      <c r="AQ167" s="143"/>
      <c r="AR167" s="141"/>
      <c r="AS167" s="141"/>
      <c r="AT167" s="141"/>
      <c r="AU167" s="143"/>
      <c r="AV167" s="141"/>
      <c r="AW167" s="141"/>
      <c r="AX167" s="141"/>
      <c r="AY167" s="141"/>
      <c r="AZ167" s="141"/>
      <c r="BA167" s="141"/>
      <c r="BB167" s="141"/>
      <c r="BC167" s="143"/>
      <c r="BD167" s="143"/>
      <c r="BE167" s="143"/>
      <c r="BF167" s="142"/>
      <c r="BG167" s="143"/>
      <c r="BH167" s="141"/>
      <c r="BI167" s="142"/>
      <c r="BJ167" s="142"/>
      <c r="BK167" s="116"/>
      <c r="BL167" s="116"/>
      <c r="BM167" s="116"/>
      <c r="BN167" s="116"/>
      <c r="BO167" s="116"/>
      <c r="BP167" s="116"/>
      <c r="BQ167" s="116"/>
      <c r="BR167" s="116"/>
      <c r="BS167" s="116"/>
      <c r="BT167" s="116"/>
      <c r="BU167" s="116"/>
      <c r="BV167" s="116"/>
      <c r="BW167" s="116"/>
      <c r="BX167" s="116"/>
      <c r="BY167" s="116"/>
      <c r="BZ167" s="116"/>
      <c r="CA167" s="116"/>
      <c r="CB167" s="116"/>
      <c r="CC167" s="116"/>
      <c r="CD167" s="116"/>
    </row>
    <row r="168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2"/>
      <c r="R168" s="142"/>
      <c r="S168" s="121"/>
      <c r="T168" s="141"/>
      <c r="U168" s="141"/>
      <c r="V168" s="141"/>
      <c r="W168" s="141"/>
      <c r="X168" s="141"/>
      <c r="Y168" s="141"/>
      <c r="Z168" s="143"/>
      <c r="AA168" s="141"/>
      <c r="AB168" s="143"/>
      <c r="AC168" s="143"/>
      <c r="AD168" s="141"/>
      <c r="AE168" s="143"/>
      <c r="AF168" s="141"/>
      <c r="AG168" s="141"/>
      <c r="AH168" s="141"/>
      <c r="AI168" s="141"/>
      <c r="AJ168" s="141"/>
      <c r="AK168" s="141"/>
      <c r="AL168" s="141"/>
      <c r="AM168" s="141"/>
      <c r="AN168" s="142"/>
      <c r="AO168" s="141"/>
      <c r="AP168" s="141"/>
      <c r="AQ168" s="143"/>
      <c r="AR168" s="141"/>
      <c r="AS168" s="141"/>
      <c r="AT168" s="141"/>
      <c r="AU168" s="143"/>
      <c r="AV168" s="141"/>
      <c r="AW168" s="141"/>
      <c r="AX168" s="141"/>
      <c r="AY168" s="141"/>
      <c r="AZ168" s="141"/>
      <c r="BA168" s="141"/>
      <c r="BB168" s="141"/>
      <c r="BC168" s="143"/>
      <c r="BD168" s="143"/>
      <c r="BE168" s="143"/>
      <c r="BF168" s="142"/>
      <c r="BG168" s="143"/>
      <c r="BH168" s="141"/>
      <c r="BI168" s="142"/>
      <c r="BJ168" s="142"/>
      <c r="BK168" s="116"/>
      <c r="BL168" s="116"/>
      <c r="BM168" s="116"/>
      <c r="BN168" s="116"/>
      <c r="BO168" s="116"/>
      <c r="BP168" s="116"/>
      <c r="BQ168" s="116"/>
      <c r="BR168" s="116"/>
      <c r="BS168" s="116"/>
      <c r="BT168" s="116"/>
      <c r="BU168" s="116"/>
      <c r="BV168" s="116"/>
      <c r="BW168" s="116"/>
      <c r="BX168" s="116"/>
      <c r="BY168" s="116"/>
      <c r="BZ168" s="116"/>
      <c r="CA168" s="116"/>
      <c r="CB168" s="116"/>
      <c r="CC168" s="116"/>
      <c r="CD168" s="116"/>
    </row>
    <row r="169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2"/>
      <c r="R169" s="142"/>
      <c r="S169" s="121"/>
      <c r="T169" s="141"/>
      <c r="U169" s="141"/>
      <c r="V169" s="141"/>
      <c r="W169" s="141"/>
      <c r="X169" s="141"/>
      <c r="Y169" s="141"/>
      <c r="Z169" s="143"/>
      <c r="AA169" s="141"/>
      <c r="AB169" s="143"/>
      <c r="AC169" s="143"/>
      <c r="AD169" s="141"/>
      <c r="AE169" s="143"/>
      <c r="AF169" s="141"/>
      <c r="AG169" s="141"/>
      <c r="AH169" s="141"/>
      <c r="AI169" s="141"/>
      <c r="AJ169" s="141"/>
      <c r="AK169" s="141"/>
      <c r="AL169" s="141"/>
      <c r="AM169" s="141"/>
      <c r="AN169" s="142"/>
      <c r="AO169" s="141"/>
      <c r="AP169" s="141"/>
      <c r="AQ169" s="143"/>
      <c r="AR169" s="141"/>
      <c r="AS169" s="141"/>
      <c r="AT169" s="141"/>
      <c r="AU169" s="143"/>
      <c r="AV169" s="141"/>
      <c r="AW169" s="141"/>
      <c r="AX169" s="141"/>
      <c r="AY169" s="141"/>
      <c r="AZ169" s="141"/>
      <c r="BA169" s="141"/>
      <c r="BB169" s="141"/>
      <c r="BC169" s="143"/>
      <c r="BD169" s="143"/>
      <c r="BE169" s="143"/>
      <c r="BF169" s="142"/>
      <c r="BG169" s="143"/>
      <c r="BH169" s="141"/>
      <c r="BI169" s="142"/>
      <c r="BJ169" s="142"/>
      <c r="BK169" s="116"/>
      <c r="BL169" s="116"/>
      <c r="BM169" s="116"/>
      <c r="BN169" s="116"/>
      <c r="BO169" s="116"/>
      <c r="BP169" s="116"/>
      <c r="BQ169" s="116"/>
      <c r="BR169" s="116"/>
      <c r="BS169" s="116"/>
      <c r="BT169" s="116"/>
      <c r="BU169" s="116"/>
      <c r="BV169" s="116"/>
      <c r="BW169" s="116"/>
      <c r="BX169" s="116"/>
      <c r="BY169" s="116"/>
      <c r="BZ169" s="116"/>
      <c r="CA169" s="116"/>
      <c r="CB169" s="116"/>
      <c r="CC169" s="116"/>
      <c r="CD169" s="116"/>
    </row>
    <row r="170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2"/>
      <c r="R170" s="142"/>
      <c r="S170" s="121"/>
      <c r="T170" s="141"/>
      <c r="U170" s="141"/>
      <c r="V170" s="141"/>
      <c r="W170" s="141"/>
      <c r="X170" s="141"/>
      <c r="Y170" s="141"/>
      <c r="Z170" s="143"/>
      <c r="AA170" s="141"/>
      <c r="AB170" s="143"/>
      <c r="AC170" s="143"/>
      <c r="AD170" s="141"/>
      <c r="AE170" s="143"/>
      <c r="AF170" s="141"/>
      <c r="AG170" s="141"/>
      <c r="AH170" s="141"/>
      <c r="AI170" s="141"/>
      <c r="AJ170" s="141"/>
      <c r="AK170" s="141"/>
      <c r="AL170" s="141"/>
      <c r="AM170" s="141"/>
      <c r="AN170" s="142"/>
      <c r="AO170" s="141"/>
      <c r="AP170" s="141"/>
      <c r="AQ170" s="143"/>
      <c r="AR170" s="141"/>
      <c r="AS170" s="141"/>
      <c r="AT170" s="141"/>
      <c r="AU170" s="143"/>
      <c r="AV170" s="141"/>
      <c r="AW170" s="141"/>
      <c r="AX170" s="141"/>
      <c r="AY170" s="141"/>
      <c r="AZ170" s="141"/>
      <c r="BA170" s="141"/>
      <c r="BB170" s="141"/>
      <c r="BC170" s="143"/>
      <c r="BD170" s="143"/>
      <c r="BE170" s="143"/>
      <c r="BF170" s="142"/>
      <c r="BG170" s="143"/>
      <c r="BH170" s="141"/>
      <c r="BI170" s="142"/>
      <c r="BJ170" s="142"/>
      <c r="BK170" s="116"/>
      <c r="BL170" s="116"/>
      <c r="BM170" s="116"/>
      <c r="BN170" s="116"/>
      <c r="BO170" s="116"/>
      <c r="BP170" s="116"/>
      <c r="BQ170" s="116"/>
      <c r="BR170" s="116"/>
      <c r="BS170" s="116"/>
      <c r="BT170" s="116"/>
      <c r="BU170" s="116"/>
      <c r="BV170" s="116"/>
      <c r="BW170" s="116"/>
      <c r="BX170" s="116"/>
      <c r="BY170" s="116"/>
      <c r="BZ170" s="116"/>
      <c r="CA170" s="116"/>
      <c r="CB170" s="116"/>
      <c r="CC170" s="116"/>
      <c r="CD170" s="116"/>
    </row>
    <row r="17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2"/>
      <c r="R171" s="142"/>
      <c r="S171" s="121"/>
      <c r="T171" s="141"/>
      <c r="U171" s="141"/>
      <c r="V171" s="141"/>
      <c r="W171" s="141"/>
      <c r="X171" s="141"/>
      <c r="Y171" s="141"/>
      <c r="Z171" s="143"/>
      <c r="AA171" s="141"/>
      <c r="AB171" s="143"/>
      <c r="AC171" s="143"/>
      <c r="AD171" s="141"/>
      <c r="AE171" s="143"/>
      <c r="AF171" s="141"/>
      <c r="AG171" s="141"/>
      <c r="AH171" s="141"/>
      <c r="AI171" s="141"/>
      <c r="AJ171" s="141"/>
      <c r="AK171" s="141"/>
      <c r="AL171" s="141"/>
      <c r="AM171" s="141"/>
      <c r="AN171" s="142"/>
      <c r="AO171" s="141"/>
      <c r="AP171" s="141"/>
      <c r="AQ171" s="143"/>
      <c r="AR171" s="141"/>
      <c r="AS171" s="141"/>
      <c r="AT171" s="141"/>
      <c r="AU171" s="143"/>
      <c r="AV171" s="141"/>
      <c r="AW171" s="141"/>
      <c r="AX171" s="141"/>
      <c r="AY171" s="141"/>
      <c r="AZ171" s="141"/>
      <c r="BA171" s="141"/>
      <c r="BB171" s="141"/>
      <c r="BC171" s="143"/>
      <c r="BD171" s="143"/>
      <c r="BE171" s="143"/>
      <c r="BF171" s="142"/>
      <c r="BG171" s="143"/>
      <c r="BH171" s="141"/>
      <c r="BI171" s="142"/>
      <c r="BJ171" s="142"/>
      <c r="BK171" s="116"/>
      <c r="BL171" s="116"/>
      <c r="BM171" s="116"/>
      <c r="BN171" s="116"/>
      <c r="BO171" s="116"/>
      <c r="BP171" s="116"/>
      <c r="BQ171" s="116"/>
      <c r="BR171" s="116"/>
      <c r="BS171" s="116"/>
      <c r="BT171" s="116"/>
      <c r="BU171" s="116"/>
      <c r="BV171" s="116"/>
      <c r="BW171" s="116"/>
      <c r="BX171" s="116"/>
      <c r="BY171" s="116"/>
      <c r="BZ171" s="116"/>
      <c r="CA171" s="116"/>
      <c r="CB171" s="116"/>
      <c r="CC171" s="116"/>
      <c r="CD171" s="116"/>
    </row>
    <row r="172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2"/>
      <c r="R172" s="142"/>
      <c r="S172" s="121"/>
      <c r="T172" s="141"/>
      <c r="U172" s="141"/>
      <c r="V172" s="141"/>
      <c r="W172" s="141"/>
      <c r="X172" s="141"/>
      <c r="Y172" s="141"/>
      <c r="Z172" s="143"/>
      <c r="AA172" s="141"/>
      <c r="AB172" s="143"/>
      <c r="AC172" s="143"/>
      <c r="AD172" s="141"/>
      <c r="AE172" s="143"/>
      <c r="AF172" s="141"/>
      <c r="AG172" s="141"/>
      <c r="AH172" s="141"/>
      <c r="AI172" s="141"/>
      <c r="AJ172" s="141"/>
      <c r="AK172" s="141"/>
      <c r="AL172" s="141"/>
      <c r="AM172" s="141"/>
      <c r="AN172" s="142"/>
      <c r="AO172" s="141"/>
      <c r="AP172" s="141"/>
      <c r="AQ172" s="143"/>
      <c r="AR172" s="141"/>
      <c r="AS172" s="141"/>
      <c r="AT172" s="141"/>
      <c r="AU172" s="143"/>
      <c r="AV172" s="141"/>
      <c r="AW172" s="141"/>
      <c r="AX172" s="141"/>
      <c r="AY172" s="141"/>
      <c r="AZ172" s="141"/>
      <c r="BA172" s="141"/>
      <c r="BB172" s="141"/>
      <c r="BC172" s="143"/>
      <c r="BD172" s="143"/>
      <c r="BE172" s="143"/>
      <c r="BF172" s="142"/>
      <c r="BG172" s="143"/>
      <c r="BH172" s="141"/>
      <c r="BI172" s="142"/>
      <c r="BJ172" s="142"/>
      <c r="BK172" s="116"/>
      <c r="BL172" s="116"/>
      <c r="BM172" s="116"/>
      <c r="BN172" s="116"/>
      <c r="BO172" s="116"/>
      <c r="BP172" s="116"/>
      <c r="BQ172" s="116"/>
      <c r="BR172" s="116"/>
      <c r="BS172" s="116"/>
      <c r="BT172" s="116"/>
      <c r="BU172" s="116"/>
      <c r="BV172" s="116"/>
      <c r="BW172" s="116"/>
      <c r="BX172" s="116"/>
      <c r="BY172" s="116"/>
      <c r="BZ172" s="116"/>
      <c r="CA172" s="116"/>
      <c r="CB172" s="116"/>
      <c r="CC172" s="116"/>
      <c r="CD172" s="116"/>
    </row>
    <row r="173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2"/>
      <c r="R173" s="142"/>
      <c r="S173" s="121"/>
      <c r="T173" s="141"/>
      <c r="U173" s="141"/>
      <c r="V173" s="141"/>
      <c r="W173" s="141"/>
      <c r="X173" s="141"/>
      <c r="Y173" s="141"/>
      <c r="Z173" s="143"/>
      <c r="AA173" s="141"/>
      <c r="AB173" s="143"/>
      <c r="AC173" s="143"/>
      <c r="AD173" s="141"/>
      <c r="AE173" s="143"/>
      <c r="AF173" s="141"/>
      <c r="AG173" s="141"/>
      <c r="AH173" s="141"/>
      <c r="AI173" s="141"/>
      <c r="AJ173" s="141"/>
      <c r="AK173" s="141"/>
      <c r="AL173" s="141"/>
      <c r="AM173" s="141"/>
      <c r="AN173" s="142"/>
      <c r="AO173" s="141"/>
      <c r="AP173" s="141"/>
      <c r="AQ173" s="143"/>
      <c r="AR173" s="141"/>
      <c r="AS173" s="141"/>
      <c r="AT173" s="141"/>
      <c r="AU173" s="143"/>
      <c r="AV173" s="141"/>
      <c r="AW173" s="141"/>
      <c r="AX173" s="141"/>
      <c r="AY173" s="141"/>
      <c r="AZ173" s="141"/>
      <c r="BA173" s="141"/>
      <c r="BB173" s="141"/>
      <c r="BC173" s="143"/>
      <c r="BD173" s="143"/>
      <c r="BE173" s="143"/>
      <c r="BF173" s="142"/>
      <c r="BG173" s="143"/>
      <c r="BH173" s="141"/>
      <c r="BI173" s="142"/>
      <c r="BJ173" s="142"/>
      <c r="BK173" s="116"/>
      <c r="BL173" s="116"/>
      <c r="BM173" s="116"/>
      <c r="BN173" s="116"/>
      <c r="BO173" s="116"/>
      <c r="BP173" s="116"/>
      <c r="BQ173" s="116"/>
      <c r="BR173" s="116"/>
      <c r="BS173" s="116"/>
      <c r="BT173" s="116"/>
      <c r="BU173" s="116"/>
      <c r="BV173" s="116"/>
      <c r="BW173" s="116"/>
      <c r="BX173" s="116"/>
      <c r="BY173" s="116"/>
      <c r="BZ173" s="116"/>
      <c r="CA173" s="116"/>
      <c r="CB173" s="116"/>
      <c r="CC173" s="116"/>
      <c r="CD173" s="116"/>
    </row>
    <row r="174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2"/>
      <c r="R174" s="142"/>
      <c r="S174" s="121"/>
      <c r="T174" s="141"/>
      <c r="U174" s="141"/>
      <c r="V174" s="141"/>
      <c r="W174" s="141"/>
      <c r="X174" s="141"/>
      <c r="Y174" s="141"/>
      <c r="Z174" s="143"/>
      <c r="AA174" s="141"/>
      <c r="AB174" s="143"/>
      <c r="AC174" s="143"/>
      <c r="AD174" s="141"/>
      <c r="AE174" s="143"/>
      <c r="AF174" s="141"/>
      <c r="AG174" s="141"/>
      <c r="AH174" s="141"/>
      <c r="AI174" s="141"/>
      <c r="AJ174" s="141"/>
      <c r="AK174" s="141"/>
      <c r="AL174" s="141"/>
      <c r="AM174" s="141"/>
      <c r="AN174" s="142"/>
      <c r="AO174" s="141"/>
      <c r="AP174" s="141"/>
      <c r="AQ174" s="143"/>
      <c r="AR174" s="141"/>
      <c r="AS174" s="141"/>
      <c r="AT174" s="141"/>
      <c r="AU174" s="143"/>
      <c r="AV174" s="141"/>
      <c r="AW174" s="141"/>
      <c r="AX174" s="141"/>
      <c r="AY174" s="141"/>
      <c r="AZ174" s="141"/>
      <c r="BA174" s="141"/>
      <c r="BB174" s="141"/>
      <c r="BC174" s="143"/>
      <c r="BD174" s="143"/>
      <c r="BE174" s="143"/>
      <c r="BF174" s="142"/>
      <c r="BG174" s="143"/>
      <c r="BH174" s="141"/>
      <c r="BI174" s="142"/>
      <c r="BJ174" s="142"/>
      <c r="BK174" s="116"/>
      <c r="BL174" s="116"/>
      <c r="BM174" s="116"/>
      <c r="BN174" s="116"/>
      <c r="BO174" s="116"/>
      <c r="BP174" s="116"/>
      <c r="BQ174" s="116"/>
      <c r="BR174" s="116"/>
      <c r="BS174" s="116"/>
      <c r="BT174" s="116"/>
      <c r="BU174" s="116"/>
      <c r="BV174" s="116"/>
      <c r="BW174" s="116"/>
      <c r="BX174" s="116"/>
      <c r="BY174" s="116"/>
      <c r="BZ174" s="116"/>
      <c r="CA174" s="116"/>
      <c r="CB174" s="116"/>
      <c r="CC174" s="116"/>
      <c r="CD174" s="116"/>
    </row>
    <row r="175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2"/>
      <c r="R175" s="142"/>
      <c r="S175" s="121"/>
      <c r="T175" s="141"/>
      <c r="U175" s="141"/>
      <c r="V175" s="141"/>
      <c r="W175" s="141"/>
      <c r="X175" s="141"/>
      <c r="Y175" s="141"/>
      <c r="Z175" s="143"/>
      <c r="AA175" s="141"/>
      <c r="AB175" s="143"/>
      <c r="AC175" s="143"/>
      <c r="AD175" s="141"/>
      <c r="AE175" s="143"/>
      <c r="AF175" s="141"/>
      <c r="AG175" s="141"/>
      <c r="AH175" s="141"/>
      <c r="AI175" s="141"/>
      <c r="AJ175" s="141"/>
      <c r="AK175" s="141"/>
      <c r="AL175" s="141"/>
      <c r="AM175" s="141"/>
      <c r="AN175" s="142"/>
      <c r="AO175" s="141"/>
      <c r="AP175" s="141"/>
      <c r="AQ175" s="143"/>
      <c r="AR175" s="141"/>
      <c r="AS175" s="141"/>
      <c r="AT175" s="141"/>
      <c r="AU175" s="143"/>
      <c r="AV175" s="141"/>
      <c r="AW175" s="141"/>
      <c r="AX175" s="141"/>
      <c r="AY175" s="141"/>
      <c r="AZ175" s="141"/>
      <c r="BA175" s="141"/>
      <c r="BB175" s="141"/>
      <c r="BC175" s="143"/>
      <c r="BD175" s="143"/>
      <c r="BE175" s="143"/>
      <c r="BF175" s="142"/>
      <c r="BG175" s="143"/>
      <c r="BH175" s="141"/>
      <c r="BI175" s="142"/>
      <c r="BJ175" s="142"/>
      <c r="BK175" s="116"/>
      <c r="BL175" s="116"/>
      <c r="BM175" s="116"/>
      <c r="BN175" s="116"/>
      <c r="BO175" s="116"/>
      <c r="BP175" s="116"/>
      <c r="BQ175" s="116"/>
      <c r="BR175" s="116"/>
      <c r="BS175" s="116"/>
      <c r="BT175" s="116"/>
      <c r="BU175" s="116"/>
      <c r="BV175" s="116"/>
      <c r="BW175" s="116"/>
      <c r="BX175" s="116"/>
      <c r="BY175" s="116"/>
      <c r="BZ175" s="116"/>
      <c r="CA175" s="116"/>
      <c r="CB175" s="116"/>
      <c r="CC175" s="116"/>
      <c r="CD175" s="116"/>
    </row>
    <row r="176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2"/>
      <c r="R176" s="142"/>
      <c r="S176" s="121"/>
      <c r="T176" s="141"/>
      <c r="U176" s="141"/>
      <c r="V176" s="141"/>
      <c r="W176" s="141"/>
      <c r="X176" s="141"/>
      <c r="Y176" s="141"/>
      <c r="Z176" s="143"/>
      <c r="AA176" s="141"/>
      <c r="AB176" s="143"/>
      <c r="AC176" s="143"/>
      <c r="AD176" s="141"/>
      <c r="AE176" s="143"/>
      <c r="AF176" s="141"/>
      <c r="AG176" s="141"/>
      <c r="AH176" s="141"/>
      <c r="AI176" s="141"/>
      <c r="AJ176" s="141"/>
      <c r="AK176" s="141"/>
      <c r="AL176" s="141"/>
      <c r="AM176" s="141"/>
      <c r="AN176" s="142"/>
      <c r="AO176" s="141"/>
      <c r="AP176" s="141"/>
      <c r="AQ176" s="143"/>
      <c r="AR176" s="141"/>
      <c r="AS176" s="141"/>
      <c r="AT176" s="141"/>
      <c r="AU176" s="143"/>
      <c r="AV176" s="141"/>
      <c r="AW176" s="141"/>
      <c r="AX176" s="141"/>
      <c r="AY176" s="141"/>
      <c r="AZ176" s="141"/>
      <c r="BA176" s="141"/>
      <c r="BB176" s="141"/>
      <c r="BC176" s="143"/>
      <c r="BD176" s="143"/>
      <c r="BE176" s="143"/>
      <c r="BF176" s="142"/>
      <c r="BG176" s="143"/>
      <c r="BH176" s="141"/>
      <c r="BI176" s="142"/>
      <c r="BJ176" s="142"/>
      <c r="BK176" s="116"/>
      <c r="BL176" s="116"/>
      <c r="BM176" s="116"/>
      <c r="BN176" s="116"/>
      <c r="BO176" s="116"/>
      <c r="BP176" s="116"/>
      <c r="BQ176" s="116"/>
      <c r="BR176" s="116"/>
      <c r="BS176" s="116"/>
      <c r="BT176" s="116"/>
      <c r="BU176" s="116"/>
      <c r="BV176" s="116"/>
      <c r="BW176" s="116"/>
      <c r="BX176" s="116"/>
      <c r="BY176" s="116"/>
      <c r="BZ176" s="116"/>
      <c r="CA176" s="116"/>
      <c r="CB176" s="116"/>
      <c r="CC176" s="116"/>
      <c r="CD176" s="116"/>
    </row>
    <row r="177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2"/>
      <c r="R177" s="142"/>
      <c r="S177" s="121"/>
      <c r="T177" s="141"/>
      <c r="U177" s="141"/>
      <c r="V177" s="141"/>
      <c r="W177" s="141"/>
      <c r="X177" s="141"/>
      <c r="Y177" s="141"/>
      <c r="Z177" s="143"/>
      <c r="AA177" s="141"/>
      <c r="AB177" s="143"/>
      <c r="AC177" s="143"/>
      <c r="AD177" s="141"/>
      <c r="AE177" s="143"/>
      <c r="AF177" s="141"/>
      <c r="AG177" s="141"/>
      <c r="AH177" s="141"/>
      <c r="AI177" s="141"/>
      <c r="AJ177" s="141"/>
      <c r="AK177" s="141"/>
      <c r="AL177" s="141"/>
      <c r="AM177" s="141"/>
      <c r="AN177" s="142"/>
      <c r="AO177" s="141"/>
      <c r="AP177" s="141"/>
      <c r="AQ177" s="143"/>
      <c r="AR177" s="141"/>
      <c r="AS177" s="141"/>
      <c r="AT177" s="141"/>
      <c r="AU177" s="143"/>
      <c r="AV177" s="141"/>
      <c r="AW177" s="141"/>
      <c r="AX177" s="141"/>
      <c r="AY177" s="141"/>
      <c r="AZ177" s="141"/>
      <c r="BA177" s="141"/>
      <c r="BB177" s="141"/>
      <c r="BC177" s="143"/>
      <c r="BD177" s="143"/>
      <c r="BE177" s="143"/>
      <c r="BF177" s="142"/>
      <c r="BG177" s="143"/>
      <c r="BH177" s="141"/>
      <c r="BI177" s="142"/>
      <c r="BJ177" s="142"/>
      <c r="BK177" s="116"/>
      <c r="BL177" s="116"/>
      <c r="BM177" s="116"/>
      <c r="BN177" s="116"/>
      <c r="BO177" s="116"/>
      <c r="BP177" s="116"/>
      <c r="BQ177" s="116"/>
      <c r="BR177" s="116"/>
      <c r="BS177" s="116"/>
      <c r="BT177" s="116"/>
      <c r="BU177" s="116"/>
      <c r="BV177" s="116"/>
      <c r="BW177" s="116"/>
      <c r="BX177" s="116"/>
      <c r="BY177" s="116"/>
      <c r="BZ177" s="116"/>
      <c r="CA177" s="116"/>
      <c r="CB177" s="116"/>
      <c r="CC177" s="116"/>
      <c r="CD177" s="116"/>
    </row>
    <row r="178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2"/>
      <c r="R178" s="142"/>
      <c r="S178" s="121"/>
      <c r="T178" s="141"/>
      <c r="U178" s="141"/>
      <c r="V178" s="141"/>
      <c r="W178" s="141"/>
      <c r="X178" s="141"/>
      <c r="Y178" s="141"/>
      <c r="Z178" s="143"/>
      <c r="AA178" s="141"/>
      <c r="AB178" s="143"/>
      <c r="AC178" s="143"/>
      <c r="AD178" s="141"/>
      <c r="AE178" s="143"/>
      <c r="AF178" s="141"/>
      <c r="AG178" s="141"/>
      <c r="AH178" s="141"/>
      <c r="AI178" s="141"/>
      <c r="AJ178" s="141"/>
      <c r="AK178" s="141"/>
      <c r="AL178" s="141"/>
      <c r="AM178" s="141"/>
      <c r="AN178" s="142"/>
      <c r="AO178" s="141"/>
      <c r="AP178" s="141"/>
      <c r="AQ178" s="143"/>
      <c r="AR178" s="141"/>
      <c r="AS178" s="141"/>
      <c r="AT178" s="141"/>
      <c r="AU178" s="143"/>
      <c r="AV178" s="141"/>
      <c r="AW178" s="141"/>
      <c r="AX178" s="141"/>
      <c r="AY178" s="141"/>
      <c r="AZ178" s="141"/>
      <c r="BA178" s="141"/>
      <c r="BB178" s="141"/>
      <c r="BC178" s="143"/>
      <c r="BD178" s="143"/>
      <c r="BE178" s="143"/>
      <c r="BF178" s="142"/>
      <c r="BG178" s="143"/>
      <c r="BH178" s="141"/>
      <c r="BI178" s="142"/>
      <c r="BJ178" s="142"/>
      <c r="BK178" s="116"/>
      <c r="BL178" s="116"/>
      <c r="BM178" s="116"/>
      <c r="BN178" s="116"/>
      <c r="BO178" s="116"/>
      <c r="BP178" s="116"/>
      <c r="BQ178" s="116"/>
      <c r="BR178" s="116"/>
      <c r="BS178" s="116"/>
      <c r="BT178" s="116"/>
      <c r="BU178" s="116"/>
      <c r="BV178" s="116"/>
      <c r="BW178" s="116"/>
      <c r="BX178" s="116"/>
      <c r="BY178" s="116"/>
      <c r="BZ178" s="116"/>
      <c r="CA178" s="116"/>
      <c r="CB178" s="116"/>
      <c r="CC178" s="116"/>
      <c r="CD178" s="116"/>
    </row>
    <row r="179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2"/>
      <c r="R179" s="142"/>
      <c r="S179" s="121"/>
      <c r="T179" s="141"/>
      <c r="U179" s="141"/>
      <c r="V179" s="141"/>
      <c r="W179" s="141"/>
      <c r="X179" s="141"/>
      <c r="Y179" s="141"/>
      <c r="Z179" s="143"/>
      <c r="AA179" s="141"/>
      <c r="AB179" s="143"/>
      <c r="AC179" s="143"/>
      <c r="AD179" s="141"/>
      <c r="AE179" s="143"/>
      <c r="AF179" s="141"/>
      <c r="AG179" s="141"/>
      <c r="AH179" s="141"/>
      <c r="AI179" s="141"/>
      <c r="AJ179" s="141"/>
      <c r="AK179" s="141"/>
      <c r="AL179" s="141"/>
      <c r="AM179" s="141"/>
      <c r="AN179" s="142"/>
      <c r="AO179" s="141"/>
      <c r="AP179" s="141"/>
      <c r="AQ179" s="143"/>
      <c r="AR179" s="141"/>
      <c r="AS179" s="141"/>
      <c r="AT179" s="141"/>
      <c r="AU179" s="143"/>
      <c r="AV179" s="141"/>
      <c r="AW179" s="141"/>
      <c r="AX179" s="141"/>
      <c r="AY179" s="141"/>
      <c r="AZ179" s="141"/>
      <c r="BA179" s="141"/>
      <c r="BB179" s="141"/>
      <c r="BC179" s="143"/>
      <c r="BD179" s="143"/>
      <c r="BE179" s="143"/>
      <c r="BF179" s="142"/>
      <c r="BG179" s="143"/>
      <c r="BH179" s="141"/>
      <c r="BI179" s="142"/>
      <c r="BJ179" s="142"/>
      <c r="BK179" s="116"/>
      <c r="BL179" s="116"/>
      <c r="BM179" s="116"/>
      <c r="BN179" s="116"/>
      <c r="BO179" s="116"/>
      <c r="BP179" s="116"/>
      <c r="BQ179" s="116"/>
      <c r="BR179" s="116"/>
      <c r="BS179" s="116"/>
      <c r="BT179" s="116"/>
      <c r="BU179" s="116"/>
      <c r="BV179" s="116"/>
      <c r="BW179" s="116"/>
      <c r="BX179" s="116"/>
      <c r="BY179" s="116"/>
      <c r="BZ179" s="116"/>
      <c r="CA179" s="116"/>
      <c r="CB179" s="116"/>
      <c r="CC179" s="116"/>
      <c r="CD179" s="116"/>
    </row>
    <row r="180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2"/>
      <c r="R180" s="142"/>
      <c r="S180" s="121"/>
      <c r="T180" s="141"/>
      <c r="U180" s="141"/>
      <c r="V180" s="141"/>
      <c r="W180" s="141"/>
      <c r="X180" s="141"/>
      <c r="Y180" s="141"/>
      <c r="Z180" s="143"/>
      <c r="AA180" s="141"/>
      <c r="AB180" s="143"/>
      <c r="AC180" s="143"/>
      <c r="AD180" s="141"/>
      <c r="AE180" s="143"/>
      <c r="AF180" s="141"/>
      <c r="AG180" s="141"/>
      <c r="AH180" s="141"/>
      <c r="AI180" s="141"/>
      <c r="AJ180" s="141"/>
      <c r="AK180" s="141"/>
      <c r="AL180" s="141"/>
      <c r="AM180" s="141"/>
      <c r="AN180" s="142"/>
      <c r="AO180" s="141"/>
      <c r="AP180" s="141"/>
      <c r="AQ180" s="143"/>
      <c r="AR180" s="141"/>
      <c r="AS180" s="141"/>
      <c r="AT180" s="141"/>
      <c r="AU180" s="143"/>
      <c r="AV180" s="141"/>
      <c r="AW180" s="141"/>
      <c r="AX180" s="141"/>
      <c r="AY180" s="141"/>
      <c r="AZ180" s="141"/>
      <c r="BA180" s="141"/>
      <c r="BB180" s="141"/>
      <c r="BC180" s="143"/>
      <c r="BD180" s="143"/>
      <c r="BE180" s="143"/>
      <c r="BF180" s="142"/>
      <c r="BG180" s="143"/>
      <c r="BH180" s="141"/>
      <c r="BI180" s="142"/>
      <c r="BJ180" s="142"/>
      <c r="BK180" s="116"/>
      <c r="BL180" s="116"/>
      <c r="BM180" s="116"/>
      <c r="BN180" s="116"/>
      <c r="BO180" s="116"/>
      <c r="BP180" s="116"/>
      <c r="BQ180" s="116"/>
      <c r="BR180" s="116"/>
      <c r="BS180" s="116"/>
      <c r="BT180" s="116"/>
      <c r="BU180" s="116"/>
      <c r="BV180" s="116"/>
      <c r="BW180" s="116"/>
      <c r="BX180" s="116"/>
      <c r="BY180" s="116"/>
      <c r="BZ180" s="116"/>
      <c r="CA180" s="116"/>
      <c r="CB180" s="116"/>
      <c r="CC180" s="116"/>
      <c r="CD180" s="116"/>
    </row>
    <row r="18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2"/>
      <c r="R181" s="142"/>
      <c r="S181" s="121"/>
      <c r="T181" s="141"/>
      <c r="U181" s="141"/>
      <c r="V181" s="141"/>
      <c r="W181" s="141"/>
      <c r="X181" s="141"/>
      <c r="Y181" s="141"/>
      <c r="Z181" s="143"/>
      <c r="AA181" s="141"/>
      <c r="AB181" s="143"/>
      <c r="AC181" s="143"/>
      <c r="AD181" s="141"/>
      <c r="AE181" s="143"/>
      <c r="AF181" s="141"/>
      <c r="AG181" s="141"/>
      <c r="AH181" s="141"/>
      <c r="AI181" s="141"/>
      <c r="AJ181" s="141"/>
      <c r="AK181" s="141"/>
      <c r="AL181" s="141"/>
      <c r="AM181" s="141"/>
      <c r="AN181" s="142"/>
      <c r="AO181" s="141"/>
      <c r="AP181" s="141"/>
      <c r="AQ181" s="143"/>
      <c r="AR181" s="141"/>
      <c r="AS181" s="141"/>
      <c r="AT181" s="141"/>
      <c r="AU181" s="143"/>
      <c r="AV181" s="141"/>
      <c r="AW181" s="141"/>
      <c r="AX181" s="141"/>
      <c r="AY181" s="141"/>
      <c r="AZ181" s="141"/>
      <c r="BA181" s="141"/>
      <c r="BB181" s="141"/>
      <c r="BC181" s="143"/>
      <c r="BD181" s="143"/>
      <c r="BE181" s="143"/>
      <c r="BF181" s="142"/>
      <c r="BG181" s="143"/>
      <c r="BH181" s="141"/>
      <c r="BI181" s="142"/>
      <c r="BJ181" s="142"/>
      <c r="BK181" s="116"/>
      <c r="BL181" s="116"/>
      <c r="BM181" s="116"/>
      <c r="BN181" s="116"/>
      <c r="BO181" s="116"/>
      <c r="BP181" s="116"/>
      <c r="BQ181" s="116"/>
      <c r="BR181" s="116"/>
      <c r="BS181" s="116"/>
      <c r="BT181" s="116"/>
      <c r="BU181" s="116"/>
      <c r="BV181" s="116"/>
      <c r="BW181" s="116"/>
      <c r="BX181" s="116"/>
      <c r="BY181" s="116"/>
      <c r="BZ181" s="116"/>
      <c r="CA181" s="116"/>
      <c r="CB181" s="116"/>
      <c r="CC181" s="116"/>
      <c r="CD181" s="116"/>
    </row>
    <row r="182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2"/>
      <c r="R182" s="142"/>
      <c r="S182" s="121"/>
      <c r="T182" s="141"/>
      <c r="U182" s="141"/>
      <c r="V182" s="141"/>
      <c r="W182" s="141"/>
      <c r="X182" s="141"/>
      <c r="Y182" s="141"/>
      <c r="Z182" s="143"/>
      <c r="AA182" s="141"/>
      <c r="AB182" s="143"/>
      <c r="AC182" s="143"/>
      <c r="AD182" s="141"/>
      <c r="AE182" s="143"/>
      <c r="AF182" s="141"/>
      <c r="AG182" s="141"/>
      <c r="AH182" s="141"/>
      <c r="AI182" s="141"/>
      <c r="AJ182" s="141"/>
      <c r="AK182" s="141"/>
      <c r="AL182" s="141"/>
      <c r="AM182" s="141"/>
      <c r="AN182" s="142"/>
      <c r="AO182" s="141"/>
      <c r="AP182" s="141"/>
      <c r="AQ182" s="143"/>
      <c r="AR182" s="141"/>
      <c r="AS182" s="141"/>
      <c r="AT182" s="141"/>
      <c r="AU182" s="143"/>
      <c r="AV182" s="141"/>
      <c r="AW182" s="141"/>
      <c r="AX182" s="141"/>
      <c r="AY182" s="141"/>
      <c r="AZ182" s="141"/>
      <c r="BA182" s="141"/>
      <c r="BB182" s="141"/>
      <c r="BC182" s="143"/>
      <c r="BD182" s="143"/>
      <c r="BE182" s="143"/>
      <c r="BF182" s="142"/>
      <c r="BG182" s="143"/>
      <c r="BH182" s="141"/>
      <c r="BI182" s="142"/>
      <c r="BJ182" s="142"/>
      <c r="BK182" s="116"/>
      <c r="BL182" s="116"/>
      <c r="BM182" s="116"/>
      <c r="BN182" s="116"/>
      <c r="BO182" s="116"/>
      <c r="BP182" s="116"/>
      <c r="BQ182" s="116"/>
      <c r="BR182" s="116"/>
      <c r="BS182" s="116"/>
      <c r="BT182" s="116"/>
      <c r="BU182" s="116"/>
      <c r="BV182" s="116"/>
      <c r="BW182" s="116"/>
      <c r="BX182" s="116"/>
      <c r="BY182" s="116"/>
      <c r="BZ182" s="116"/>
      <c r="CA182" s="116"/>
      <c r="CB182" s="116"/>
      <c r="CC182" s="116"/>
      <c r="CD182" s="116"/>
    </row>
    <row r="183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2"/>
      <c r="R183" s="142"/>
      <c r="S183" s="121"/>
      <c r="T183" s="141"/>
      <c r="U183" s="141"/>
      <c r="V183" s="141"/>
      <c r="W183" s="141"/>
      <c r="X183" s="141"/>
      <c r="Y183" s="141"/>
      <c r="Z183" s="143"/>
      <c r="AA183" s="141"/>
      <c r="AB183" s="143"/>
      <c r="AC183" s="143"/>
      <c r="AD183" s="141"/>
      <c r="AE183" s="143"/>
      <c r="AF183" s="141"/>
      <c r="AG183" s="141"/>
      <c r="AH183" s="141"/>
      <c r="AI183" s="141"/>
      <c r="AJ183" s="141"/>
      <c r="AK183" s="141"/>
      <c r="AL183" s="141"/>
      <c r="AM183" s="141"/>
      <c r="AN183" s="142"/>
      <c r="AO183" s="141"/>
      <c r="AP183" s="141"/>
      <c r="AQ183" s="143"/>
      <c r="AR183" s="141"/>
      <c r="AS183" s="141"/>
      <c r="AT183" s="141"/>
      <c r="AU183" s="143"/>
      <c r="AV183" s="141"/>
      <c r="AW183" s="141"/>
      <c r="AX183" s="141"/>
      <c r="AY183" s="141"/>
      <c r="AZ183" s="141"/>
      <c r="BA183" s="141"/>
      <c r="BB183" s="141"/>
      <c r="BC183" s="143"/>
      <c r="BD183" s="143"/>
      <c r="BE183" s="143"/>
      <c r="BF183" s="142"/>
      <c r="BG183" s="143"/>
      <c r="BH183" s="141"/>
      <c r="BI183" s="142"/>
      <c r="BJ183" s="142"/>
      <c r="BK183" s="116"/>
      <c r="BL183" s="116"/>
      <c r="BM183" s="116"/>
      <c r="BN183" s="116"/>
      <c r="BO183" s="116"/>
      <c r="BP183" s="116"/>
      <c r="BQ183" s="116"/>
      <c r="BR183" s="116"/>
      <c r="BS183" s="116"/>
      <c r="BT183" s="116"/>
      <c r="BU183" s="116"/>
      <c r="BV183" s="116"/>
      <c r="BW183" s="116"/>
      <c r="BX183" s="116"/>
      <c r="BY183" s="116"/>
      <c r="BZ183" s="116"/>
      <c r="CA183" s="116"/>
      <c r="CB183" s="116"/>
      <c r="CC183" s="116"/>
      <c r="CD183" s="116"/>
    </row>
    <row r="184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2"/>
      <c r="R184" s="142"/>
      <c r="S184" s="121"/>
      <c r="T184" s="141"/>
      <c r="U184" s="141"/>
      <c r="V184" s="141"/>
      <c r="W184" s="141"/>
      <c r="X184" s="141"/>
      <c r="Y184" s="141"/>
      <c r="Z184" s="143"/>
      <c r="AA184" s="141"/>
      <c r="AB184" s="143"/>
      <c r="AC184" s="143"/>
      <c r="AD184" s="141"/>
      <c r="AE184" s="143"/>
      <c r="AF184" s="141"/>
      <c r="AG184" s="141"/>
      <c r="AH184" s="141"/>
      <c r="AI184" s="141"/>
      <c r="AJ184" s="141"/>
      <c r="AK184" s="141"/>
      <c r="AL184" s="141"/>
      <c r="AM184" s="141"/>
      <c r="AN184" s="142"/>
      <c r="AO184" s="141"/>
      <c r="AP184" s="141"/>
      <c r="AQ184" s="143"/>
      <c r="AR184" s="141"/>
      <c r="AS184" s="141"/>
      <c r="AT184" s="141"/>
      <c r="AU184" s="143"/>
      <c r="AV184" s="141"/>
      <c r="AW184" s="141"/>
      <c r="AX184" s="141"/>
      <c r="AY184" s="141"/>
      <c r="AZ184" s="141"/>
      <c r="BA184" s="141"/>
      <c r="BB184" s="141"/>
      <c r="BC184" s="143"/>
      <c r="BD184" s="143"/>
      <c r="BE184" s="143"/>
      <c r="BF184" s="142"/>
      <c r="BG184" s="143"/>
      <c r="BH184" s="141"/>
      <c r="BI184" s="142"/>
      <c r="BJ184" s="142"/>
      <c r="BK184" s="116"/>
      <c r="BL184" s="116"/>
      <c r="BM184" s="116"/>
      <c r="BN184" s="116"/>
      <c r="BO184" s="116"/>
      <c r="BP184" s="116"/>
      <c r="BQ184" s="116"/>
      <c r="BR184" s="116"/>
      <c r="BS184" s="116"/>
      <c r="BT184" s="116"/>
      <c r="BU184" s="116"/>
      <c r="BV184" s="116"/>
      <c r="BW184" s="116"/>
      <c r="BX184" s="116"/>
      <c r="BY184" s="116"/>
      <c r="BZ184" s="116"/>
      <c r="CA184" s="116"/>
      <c r="CB184" s="116"/>
      <c r="CC184" s="116"/>
      <c r="CD184" s="116"/>
    </row>
    <row r="185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2"/>
      <c r="R185" s="142"/>
      <c r="S185" s="121"/>
      <c r="T185" s="141"/>
      <c r="U185" s="141"/>
      <c r="V185" s="141"/>
      <c r="W185" s="141"/>
      <c r="X185" s="141"/>
      <c r="Y185" s="141"/>
      <c r="Z185" s="143"/>
      <c r="AA185" s="141"/>
      <c r="AB185" s="143"/>
      <c r="AC185" s="143"/>
      <c r="AD185" s="141"/>
      <c r="AE185" s="143"/>
      <c r="AF185" s="141"/>
      <c r="AG185" s="141"/>
      <c r="AH185" s="141"/>
      <c r="AI185" s="141"/>
      <c r="AJ185" s="141"/>
      <c r="AK185" s="141"/>
      <c r="AL185" s="141"/>
      <c r="AM185" s="141"/>
      <c r="AN185" s="142"/>
      <c r="AO185" s="141"/>
      <c r="AP185" s="141"/>
      <c r="AQ185" s="143"/>
      <c r="AR185" s="141"/>
      <c r="AS185" s="141"/>
      <c r="AT185" s="141"/>
      <c r="AU185" s="143"/>
      <c r="AV185" s="141"/>
      <c r="AW185" s="141"/>
      <c r="AX185" s="141"/>
      <c r="AY185" s="141"/>
      <c r="AZ185" s="141"/>
      <c r="BA185" s="141"/>
      <c r="BB185" s="141"/>
      <c r="BC185" s="143"/>
      <c r="BD185" s="143"/>
      <c r="BE185" s="143"/>
      <c r="BF185" s="142"/>
      <c r="BG185" s="143"/>
      <c r="BH185" s="141"/>
      <c r="BI185" s="142"/>
      <c r="BJ185" s="142"/>
      <c r="BK185" s="116"/>
      <c r="BL185" s="116"/>
      <c r="BM185" s="116"/>
      <c r="BN185" s="116"/>
      <c r="BO185" s="116"/>
      <c r="BP185" s="116"/>
      <c r="BQ185" s="116"/>
      <c r="BR185" s="116"/>
      <c r="BS185" s="116"/>
      <c r="BT185" s="116"/>
      <c r="BU185" s="116"/>
      <c r="BV185" s="116"/>
      <c r="BW185" s="116"/>
      <c r="BX185" s="116"/>
      <c r="BY185" s="116"/>
      <c r="BZ185" s="116"/>
      <c r="CA185" s="116"/>
      <c r="CB185" s="116"/>
      <c r="CC185" s="116"/>
      <c r="CD185" s="116"/>
    </row>
    <row r="186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2"/>
      <c r="R186" s="142"/>
      <c r="S186" s="121"/>
      <c r="T186" s="141"/>
      <c r="U186" s="141"/>
      <c r="V186" s="141"/>
      <c r="W186" s="141"/>
      <c r="X186" s="141"/>
      <c r="Y186" s="141"/>
      <c r="Z186" s="143"/>
      <c r="AA186" s="141"/>
      <c r="AB186" s="143"/>
      <c r="AC186" s="143"/>
      <c r="AD186" s="141"/>
      <c r="AE186" s="143"/>
      <c r="AF186" s="141"/>
      <c r="AG186" s="141"/>
      <c r="AH186" s="141"/>
      <c r="AI186" s="141"/>
      <c r="AJ186" s="141"/>
      <c r="AK186" s="141"/>
      <c r="AL186" s="141"/>
      <c r="AM186" s="141"/>
      <c r="AN186" s="142"/>
      <c r="AO186" s="141"/>
      <c r="AP186" s="141"/>
      <c r="AQ186" s="143"/>
      <c r="AR186" s="141"/>
      <c r="AS186" s="141"/>
      <c r="AT186" s="141"/>
      <c r="AU186" s="143"/>
      <c r="AV186" s="141"/>
      <c r="AW186" s="141"/>
      <c r="AX186" s="141"/>
      <c r="AY186" s="141"/>
      <c r="AZ186" s="141"/>
      <c r="BA186" s="141"/>
      <c r="BB186" s="141"/>
      <c r="BC186" s="143"/>
      <c r="BD186" s="143"/>
      <c r="BE186" s="143"/>
      <c r="BF186" s="142"/>
      <c r="BG186" s="143"/>
      <c r="BH186" s="141"/>
      <c r="BI186" s="142"/>
      <c r="BJ186" s="142"/>
      <c r="BK186" s="116"/>
      <c r="BL186" s="116"/>
      <c r="BM186" s="116"/>
      <c r="BN186" s="116"/>
      <c r="BO186" s="116"/>
      <c r="BP186" s="116"/>
      <c r="BQ186" s="116"/>
      <c r="BR186" s="116"/>
      <c r="BS186" s="116"/>
      <c r="BT186" s="116"/>
      <c r="BU186" s="116"/>
      <c r="BV186" s="116"/>
      <c r="BW186" s="116"/>
      <c r="BX186" s="116"/>
      <c r="BY186" s="116"/>
      <c r="BZ186" s="116"/>
      <c r="CA186" s="116"/>
      <c r="CB186" s="116"/>
      <c r="CC186" s="116"/>
      <c r="CD186" s="116"/>
    </row>
    <row r="187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2"/>
      <c r="R187" s="142"/>
      <c r="S187" s="121"/>
      <c r="T187" s="141"/>
      <c r="U187" s="141"/>
      <c r="V187" s="141"/>
      <c r="W187" s="141"/>
      <c r="X187" s="141"/>
      <c r="Y187" s="141"/>
      <c r="Z187" s="143"/>
      <c r="AA187" s="141"/>
      <c r="AB187" s="143"/>
      <c r="AC187" s="143"/>
      <c r="AD187" s="141"/>
      <c r="AE187" s="143"/>
      <c r="AF187" s="141"/>
      <c r="AG187" s="141"/>
      <c r="AH187" s="141"/>
      <c r="AI187" s="141"/>
      <c r="AJ187" s="141"/>
      <c r="AK187" s="141"/>
      <c r="AL187" s="141"/>
      <c r="AM187" s="141"/>
      <c r="AN187" s="142"/>
      <c r="AO187" s="141"/>
      <c r="AP187" s="141"/>
      <c r="AQ187" s="143"/>
      <c r="AR187" s="141"/>
      <c r="AS187" s="141"/>
      <c r="AT187" s="141"/>
      <c r="AU187" s="143"/>
      <c r="AV187" s="141"/>
      <c r="AW187" s="141"/>
      <c r="AX187" s="141"/>
      <c r="AY187" s="141"/>
      <c r="AZ187" s="141"/>
      <c r="BA187" s="141"/>
      <c r="BB187" s="141"/>
      <c r="BC187" s="143"/>
      <c r="BD187" s="143"/>
      <c r="BE187" s="143"/>
      <c r="BF187" s="142"/>
      <c r="BG187" s="143"/>
      <c r="BH187" s="141"/>
      <c r="BI187" s="142"/>
      <c r="BJ187" s="142"/>
      <c r="BK187" s="116"/>
      <c r="BL187" s="116"/>
      <c r="BM187" s="116"/>
      <c r="BN187" s="116"/>
      <c r="BO187" s="116"/>
      <c r="BP187" s="116"/>
      <c r="BQ187" s="116"/>
      <c r="BR187" s="116"/>
      <c r="BS187" s="116"/>
      <c r="BT187" s="116"/>
      <c r="BU187" s="116"/>
      <c r="BV187" s="116"/>
      <c r="BW187" s="116"/>
      <c r="BX187" s="116"/>
      <c r="BY187" s="116"/>
      <c r="BZ187" s="116"/>
      <c r="CA187" s="116"/>
      <c r="CB187" s="116"/>
      <c r="CC187" s="116"/>
      <c r="CD187" s="116"/>
    </row>
    <row r="188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2"/>
      <c r="R188" s="142"/>
      <c r="S188" s="121"/>
      <c r="T188" s="141"/>
      <c r="U188" s="141"/>
      <c r="V188" s="141"/>
      <c r="W188" s="141"/>
      <c r="X188" s="141"/>
      <c r="Y188" s="141"/>
      <c r="Z188" s="143"/>
      <c r="AA188" s="141"/>
      <c r="AB188" s="143"/>
      <c r="AC188" s="143"/>
      <c r="AD188" s="141"/>
      <c r="AE188" s="143"/>
      <c r="AF188" s="141"/>
      <c r="AG188" s="141"/>
      <c r="AH188" s="141"/>
      <c r="AI188" s="141"/>
      <c r="AJ188" s="141"/>
      <c r="AK188" s="141"/>
      <c r="AL188" s="141"/>
      <c r="AM188" s="141"/>
      <c r="AN188" s="142"/>
      <c r="AO188" s="141"/>
      <c r="AP188" s="141"/>
      <c r="AQ188" s="143"/>
      <c r="AR188" s="141"/>
      <c r="AS188" s="141"/>
      <c r="AT188" s="141"/>
      <c r="AU188" s="143"/>
      <c r="AV188" s="141"/>
      <c r="AW188" s="141"/>
      <c r="AX188" s="141"/>
      <c r="AY188" s="141"/>
      <c r="AZ188" s="141"/>
      <c r="BA188" s="141"/>
      <c r="BB188" s="141"/>
      <c r="BC188" s="143"/>
      <c r="BD188" s="143"/>
      <c r="BE188" s="143"/>
      <c r="BF188" s="142"/>
      <c r="BG188" s="143"/>
      <c r="BH188" s="141"/>
      <c r="BI188" s="142"/>
      <c r="BJ188" s="142"/>
      <c r="BK188" s="116"/>
      <c r="BL188" s="116"/>
      <c r="BM188" s="116"/>
      <c r="BN188" s="116"/>
      <c r="BO188" s="116"/>
      <c r="BP188" s="116"/>
      <c r="BQ188" s="116"/>
      <c r="BR188" s="116"/>
      <c r="BS188" s="116"/>
      <c r="BT188" s="116"/>
      <c r="BU188" s="116"/>
      <c r="BV188" s="116"/>
      <c r="BW188" s="116"/>
      <c r="BX188" s="116"/>
      <c r="BY188" s="116"/>
      <c r="BZ188" s="116"/>
      <c r="CA188" s="116"/>
      <c r="CB188" s="116"/>
      <c r="CC188" s="116"/>
      <c r="CD188" s="116"/>
    </row>
    <row r="189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2"/>
      <c r="R189" s="142"/>
      <c r="S189" s="121"/>
      <c r="T189" s="141"/>
      <c r="U189" s="141"/>
      <c r="V189" s="141"/>
      <c r="W189" s="141"/>
      <c r="X189" s="141"/>
      <c r="Y189" s="141"/>
      <c r="Z189" s="143"/>
      <c r="AA189" s="141"/>
      <c r="AB189" s="143"/>
      <c r="AC189" s="143"/>
      <c r="AD189" s="141"/>
      <c r="AE189" s="143"/>
      <c r="AF189" s="141"/>
      <c r="AG189" s="141"/>
      <c r="AH189" s="141"/>
      <c r="AI189" s="141"/>
      <c r="AJ189" s="141"/>
      <c r="AK189" s="141"/>
      <c r="AL189" s="141"/>
      <c r="AM189" s="141"/>
      <c r="AN189" s="142"/>
      <c r="AO189" s="141"/>
      <c r="AP189" s="141"/>
      <c r="AQ189" s="143"/>
      <c r="AR189" s="141"/>
      <c r="AS189" s="141"/>
      <c r="AT189" s="141"/>
      <c r="AU189" s="143"/>
      <c r="AV189" s="141"/>
      <c r="AW189" s="141"/>
      <c r="AX189" s="141"/>
      <c r="AY189" s="141"/>
      <c r="AZ189" s="141"/>
      <c r="BA189" s="141"/>
      <c r="BB189" s="141"/>
      <c r="BC189" s="143"/>
      <c r="BD189" s="143"/>
      <c r="BE189" s="143"/>
      <c r="BF189" s="142"/>
      <c r="BG189" s="143"/>
      <c r="BH189" s="141"/>
      <c r="BI189" s="142"/>
      <c r="BJ189" s="142"/>
      <c r="BK189" s="116"/>
      <c r="BL189" s="116"/>
      <c r="BM189" s="116"/>
      <c r="BN189" s="116"/>
      <c r="BO189" s="116"/>
      <c r="BP189" s="116"/>
      <c r="BQ189" s="116"/>
      <c r="BR189" s="116"/>
      <c r="BS189" s="116"/>
      <c r="BT189" s="116"/>
      <c r="BU189" s="116"/>
      <c r="BV189" s="116"/>
      <c r="BW189" s="116"/>
      <c r="BX189" s="116"/>
      <c r="BY189" s="116"/>
      <c r="BZ189" s="116"/>
      <c r="CA189" s="116"/>
      <c r="CB189" s="116"/>
      <c r="CC189" s="116"/>
      <c r="CD189" s="116"/>
    </row>
    <row r="190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2"/>
      <c r="R190" s="142"/>
      <c r="S190" s="121"/>
      <c r="T190" s="141"/>
      <c r="U190" s="141"/>
      <c r="V190" s="141"/>
      <c r="W190" s="141"/>
      <c r="X190" s="141"/>
      <c r="Y190" s="141"/>
      <c r="Z190" s="143"/>
      <c r="AA190" s="141"/>
      <c r="AB190" s="143"/>
      <c r="AC190" s="143"/>
      <c r="AD190" s="141"/>
      <c r="AE190" s="143"/>
      <c r="AF190" s="141"/>
      <c r="AG190" s="141"/>
      <c r="AH190" s="141"/>
      <c r="AI190" s="141"/>
      <c r="AJ190" s="141"/>
      <c r="AK190" s="141"/>
      <c r="AL190" s="141"/>
      <c r="AM190" s="141"/>
      <c r="AN190" s="142"/>
      <c r="AO190" s="141"/>
      <c r="AP190" s="141"/>
      <c r="AQ190" s="143"/>
      <c r="AR190" s="141"/>
      <c r="AS190" s="141"/>
      <c r="AT190" s="141"/>
      <c r="AU190" s="143"/>
      <c r="AV190" s="141"/>
      <c r="AW190" s="141"/>
      <c r="AX190" s="141"/>
      <c r="AY190" s="141"/>
      <c r="AZ190" s="141"/>
      <c r="BA190" s="141"/>
      <c r="BB190" s="141"/>
      <c r="BC190" s="143"/>
      <c r="BD190" s="143"/>
      <c r="BE190" s="143"/>
      <c r="BF190" s="142"/>
      <c r="BG190" s="143"/>
      <c r="BH190" s="141"/>
      <c r="BI190" s="142"/>
      <c r="BJ190" s="142"/>
      <c r="BK190" s="116"/>
      <c r="BL190" s="116"/>
      <c r="BM190" s="116"/>
      <c r="BN190" s="116"/>
      <c r="BO190" s="116"/>
      <c r="BP190" s="116"/>
      <c r="BQ190" s="116"/>
      <c r="BR190" s="116"/>
      <c r="BS190" s="116"/>
      <c r="BT190" s="116"/>
      <c r="BU190" s="116"/>
      <c r="BV190" s="116"/>
      <c r="BW190" s="116"/>
      <c r="BX190" s="116"/>
      <c r="BY190" s="116"/>
      <c r="BZ190" s="116"/>
      <c r="CA190" s="116"/>
      <c r="CB190" s="116"/>
      <c r="CC190" s="116"/>
      <c r="CD190" s="116"/>
    </row>
    <row r="19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2"/>
      <c r="R191" s="142"/>
      <c r="S191" s="121"/>
      <c r="T191" s="141"/>
      <c r="U191" s="141"/>
      <c r="V191" s="141"/>
      <c r="W191" s="141"/>
      <c r="X191" s="141"/>
      <c r="Y191" s="141"/>
      <c r="Z191" s="143"/>
      <c r="AA191" s="141"/>
      <c r="AB191" s="143"/>
      <c r="AC191" s="143"/>
      <c r="AD191" s="141"/>
      <c r="AE191" s="143"/>
      <c r="AF191" s="141"/>
      <c r="AG191" s="141"/>
      <c r="AH191" s="141"/>
      <c r="AI191" s="141"/>
      <c r="AJ191" s="141"/>
      <c r="AK191" s="141"/>
      <c r="AL191" s="141"/>
      <c r="AM191" s="141"/>
      <c r="AN191" s="142"/>
      <c r="AO191" s="141"/>
      <c r="AP191" s="141"/>
      <c r="AQ191" s="143"/>
      <c r="AR191" s="141"/>
      <c r="AS191" s="141"/>
      <c r="AT191" s="141"/>
      <c r="AU191" s="143"/>
      <c r="AV191" s="141"/>
      <c r="AW191" s="141"/>
      <c r="AX191" s="141"/>
      <c r="AY191" s="141"/>
      <c r="AZ191" s="141"/>
      <c r="BA191" s="141"/>
      <c r="BB191" s="141"/>
      <c r="BC191" s="143"/>
      <c r="BD191" s="143"/>
      <c r="BE191" s="143"/>
      <c r="BF191" s="142"/>
      <c r="BG191" s="143"/>
      <c r="BH191" s="141"/>
      <c r="BI191" s="142"/>
      <c r="BJ191" s="142"/>
      <c r="BK191" s="116"/>
      <c r="BL191" s="116"/>
      <c r="BM191" s="116"/>
      <c r="BN191" s="116"/>
      <c r="BO191" s="116"/>
      <c r="BP191" s="116"/>
      <c r="BQ191" s="116"/>
      <c r="BR191" s="116"/>
      <c r="BS191" s="116"/>
      <c r="BT191" s="116"/>
      <c r="BU191" s="116"/>
      <c r="BV191" s="116"/>
      <c r="BW191" s="116"/>
      <c r="BX191" s="116"/>
      <c r="BY191" s="116"/>
      <c r="BZ191" s="116"/>
      <c r="CA191" s="116"/>
      <c r="CB191" s="116"/>
      <c r="CC191" s="116"/>
      <c r="CD191" s="116"/>
    </row>
    <row r="192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2"/>
      <c r="R192" s="142"/>
      <c r="S192" s="121"/>
      <c r="T192" s="141"/>
      <c r="U192" s="141"/>
      <c r="V192" s="141"/>
      <c r="W192" s="141"/>
      <c r="X192" s="141"/>
      <c r="Y192" s="141"/>
      <c r="Z192" s="143"/>
      <c r="AA192" s="141"/>
      <c r="AB192" s="143"/>
      <c r="AC192" s="143"/>
      <c r="AD192" s="141"/>
      <c r="AE192" s="143"/>
      <c r="AF192" s="141"/>
      <c r="AG192" s="141"/>
      <c r="AH192" s="141"/>
      <c r="AI192" s="141"/>
      <c r="AJ192" s="141"/>
      <c r="AK192" s="141"/>
      <c r="AL192" s="141"/>
      <c r="AM192" s="141"/>
      <c r="AN192" s="142"/>
      <c r="AO192" s="141"/>
      <c r="AP192" s="141"/>
      <c r="AQ192" s="143"/>
      <c r="AR192" s="141"/>
      <c r="AS192" s="141"/>
      <c r="AT192" s="141"/>
      <c r="AU192" s="143"/>
      <c r="AV192" s="141"/>
      <c r="AW192" s="141"/>
      <c r="AX192" s="141"/>
      <c r="AY192" s="141"/>
      <c r="AZ192" s="141"/>
      <c r="BA192" s="141"/>
      <c r="BB192" s="141"/>
      <c r="BC192" s="143"/>
      <c r="BD192" s="143"/>
      <c r="BE192" s="143"/>
      <c r="BF192" s="142"/>
      <c r="BG192" s="143"/>
      <c r="BH192" s="141"/>
      <c r="BI192" s="142"/>
      <c r="BJ192" s="142"/>
      <c r="BK192" s="116"/>
      <c r="BL192" s="116"/>
      <c r="BM192" s="116"/>
      <c r="BN192" s="116"/>
      <c r="BO192" s="116"/>
      <c r="BP192" s="116"/>
      <c r="BQ192" s="116"/>
      <c r="BR192" s="116"/>
      <c r="BS192" s="116"/>
      <c r="BT192" s="116"/>
      <c r="BU192" s="116"/>
      <c r="BV192" s="116"/>
      <c r="BW192" s="116"/>
      <c r="BX192" s="116"/>
      <c r="BY192" s="116"/>
      <c r="BZ192" s="116"/>
      <c r="CA192" s="116"/>
      <c r="CB192" s="116"/>
      <c r="CC192" s="116"/>
      <c r="CD192" s="116"/>
    </row>
    <row r="193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2"/>
      <c r="R193" s="142"/>
      <c r="S193" s="121"/>
      <c r="T193" s="141"/>
      <c r="U193" s="141"/>
      <c r="V193" s="141"/>
      <c r="W193" s="141"/>
      <c r="X193" s="141"/>
      <c r="Y193" s="141"/>
      <c r="Z193" s="143"/>
      <c r="AA193" s="141"/>
      <c r="AB193" s="143"/>
      <c r="AC193" s="143"/>
      <c r="AD193" s="141"/>
      <c r="AE193" s="143"/>
      <c r="AF193" s="141"/>
      <c r="AG193" s="141"/>
      <c r="AH193" s="141"/>
      <c r="AI193" s="141"/>
      <c r="AJ193" s="141"/>
      <c r="AK193" s="141"/>
      <c r="AL193" s="141"/>
      <c r="AM193" s="141"/>
      <c r="AN193" s="142"/>
      <c r="AO193" s="141"/>
      <c r="AP193" s="141"/>
      <c r="AQ193" s="143"/>
      <c r="AR193" s="141"/>
      <c r="AS193" s="141"/>
      <c r="AT193" s="141"/>
      <c r="AU193" s="143"/>
      <c r="AV193" s="141"/>
      <c r="AW193" s="141"/>
      <c r="AX193" s="141"/>
      <c r="AY193" s="141"/>
      <c r="AZ193" s="141"/>
      <c r="BA193" s="141"/>
      <c r="BB193" s="141"/>
      <c r="BC193" s="143"/>
      <c r="BD193" s="143"/>
      <c r="BE193" s="143"/>
      <c r="BF193" s="142"/>
      <c r="BG193" s="143"/>
      <c r="BH193" s="141"/>
      <c r="BI193" s="142"/>
      <c r="BJ193" s="142"/>
      <c r="BK193" s="116"/>
      <c r="BL193" s="116"/>
      <c r="BM193" s="116"/>
      <c r="BN193" s="116"/>
      <c r="BO193" s="116"/>
      <c r="BP193" s="116"/>
      <c r="BQ193" s="116"/>
      <c r="BR193" s="116"/>
      <c r="BS193" s="116"/>
      <c r="BT193" s="116"/>
      <c r="BU193" s="116"/>
      <c r="BV193" s="116"/>
      <c r="BW193" s="116"/>
      <c r="BX193" s="116"/>
      <c r="BY193" s="116"/>
      <c r="BZ193" s="116"/>
      <c r="CA193" s="116"/>
      <c r="CB193" s="116"/>
      <c r="CC193" s="116"/>
      <c r="CD193" s="116"/>
    </row>
    <row r="194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2"/>
      <c r="R194" s="142"/>
      <c r="S194" s="121"/>
      <c r="T194" s="141"/>
      <c r="U194" s="141"/>
      <c r="V194" s="141"/>
      <c r="W194" s="141"/>
      <c r="X194" s="141"/>
      <c r="Y194" s="141"/>
      <c r="Z194" s="143"/>
      <c r="AA194" s="141"/>
      <c r="AB194" s="143"/>
      <c r="AC194" s="143"/>
      <c r="AD194" s="141"/>
      <c r="AE194" s="143"/>
      <c r="AF194" s="141"/>
      <c r="AG194" s="141"/>
      <c r="AH194" s="141"/>
      <c r="AI194" s="141"/>
      <c r="AJ194" s="141"/>
      <c r="AK194" s="141"/>
      <c r="AL194" s="141"/>
      <c r="AM194" s="141"/>
      <c r="AN194" s="142"/>
      <c r="AO194" s="141"/>
      <c r="AP194" s="141"/>
      <c r="AQ194" s="143"/>
      <c r="AR194" s="141"/>
      <c r="AS194" s="141"/>
      <c r="AT194" s="141"/>
      <c r="AU194" s="143"/>
      <c r="AV194" s="141"/>
      <c r="AW194" s="141"/>
      <c r="AX194" s="141"/>
      <c r="AY194" s="141"/>
      <c r="AZ194" s="141"/>
      <c r="BA194" s="141"/>
      <c r="BB194" s="141"/>
      <c r="BC194" s="143"/>
      <c r="BD194" s="143"/>
      <c r="BE194" s="143"/>
      <c r="BF194" s="142"/>
      <c r="BG194" s="143"/>
      <c r="BH194" s="141"/>
      <c r="BI194" s="142"/>
      <c r="BJ194" s="142"/>
      <c r="BK194" s="116"/>
      <c r="BL194" s="116"/>
      <c r="BM194" s="116"/>
      <c r="BN194" s="116"/>
      <c r="BO194" s="116"/>
      <c r="BP194" s="116"/>
      <c r="BQ194" s="116"/>
      <c r="BR194" s="116"/>
      <c r="BS194" s="116"/>
      <c r="BT194" s="116"/>
      <c r="BU194" s="116"/>
      <c r="BV194" s="116"/>
      <c r="BW194" s="116"/>
      <c r="BX194" s="116"/>
      <c r="BY194" s="116"/>
      <c r="BZ194" s="116"/>
      <c r="CA194" s="116"/>
      <c r="CB194" s="116"/>
      <c r="CC194" s="116"/>
      <c r="CD194" s="116"/>
    </row>
    <row r="195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2"/>
      <c r="R195" s="142"/>
      <c r="S195" s="121"/>
      <c r="T195" s="141"/>
      <c r="U195" s="141"/>
      <c r="V195" s="141"/>
      <c r="W195" s="141"/>
      <c r="X195" s="141"/>
      <c r="Y195" s="141"/>
      <c r="Z195" s="143"/>
      <c r="AA195" s="141"/>
      <c r="AB195" s="143"/>
      <c r="AC195" s="143"/>
      <c r="AD195" s="141"/>
      <c r="AE195" s="143"/>
      <c r="AF195" s="141"/>
      <c r="AG195" s="141"/>
      <c r="AH195" s="141"/>
      <c r="AI195" s="141"/>
      <c r="AJ195" s="141"/>
      <c r="AK195" s="141"/>
      <c r="AL195" s="141"/>
      <c r="AM195" s="141"/>
      <c r="AN195" s="142"/>
      <c r="AO195" s="141"/>
      <c r="AP195" s="141"/>
      <c r="AQ195" s="143"/>
      <c r="AR195" s="141"/>
      <c r="AS195" s="141"/>
      <c r="AT195" s="141"/>
      <c r="AU195" s="143"/>
      <c r="AV195" s="141"/>
      <c r="AW195" s="141"/>
      <c r="AX195" s="141"/>
      <c r="AY195" s="141"/>
      <c r="AZ195" s="141"/>
      <c r="BA195" s="141"/>
      <c r="BB195" s="141"/>
      <c r="BC195" s="143"/>
      <c r="BD195" s="143"/>
      <c r="BE195" s="143"/>
      <c r="BF195" s="142"/>
      <c r="BG195" s="143"/>
      <c r="BH195" s="141"/>
      <c r="BI195" s="142"/>
      <c r="BJ195" s="142"/>
      <c r="BK195" s="116"/>
      <c r="BL195" s="116"/>
      <c r="BM195" s="116"/>
      <c r="BN195" s="116"/>
      <c r="BO195" s="116"/>
      <c r="BP195" s="116"/>
      <c r="BQ195" s="116"/>
      <c r="BR195" s="116"/>
      <c r="BS195" s="116"/>
      <c r="BT195" s="116"/>
      <c r="BU195" s="116"/>
      <c r="BV195" s="116"/>
      <c r="BW195" s="116"/>
      <c r="BX195" s="116"/>
      <c r="BY195" s="116"/>
      <c r="BZ195" s="116"/>
      <c r="CA195" s="116"/>
      <c r="CB195" s="116"/>
      <c r="CC195" s="116"/>
      <c r="CD195" s="116"/>
    </row>
    <row r="196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2"/>
      <c r="R196" s="142"/>
      <c r="S196" s="121"/>
      <c r="T196" s="141"/>
      <c r="U196" s="141"/>
      <c r="V196" s="141"/>
      <c r="W196" s="141"/>
      <c r="X196" s="141"/>
      <c r="Y196" s="141"/>
      <c r="Z196" s="143"/>
      <c r="AA196" s="141"/>
      <c r="AB196" s="143"/>
      <c r="AC196" s="143"/>
      <c r="AD196" s="141"/>
      <c r="AE196" s="143"/>
      <c r="AF196" s="141"/>
      <c r="AG196" s="141"/>
      <c r="AH196" s="141"/>
      <c r="AI196" s="141"/>
      <c r="AJ196" s="141"/>
      <c r="AK196" s="141"/>
      <c r="AL196" s="141"/>
      <c r="AM196" s="141"/>
      <c r="AN196" s="142"/>
      <c r="AO196" s="141"/>
      <c r="AP196" s="141"/>
      <c r="AQ196" s="143"/>
      <c r="AR196" s="141"/>
      <c r="AS196" s="141"/>
      <c r="AT196" s="141"/>
      <c r="AU196" s="143"/>
      <c r="AV196" s="141"/>
      <c r="AW196" s="141"/>
      <c r="AX196" s="141"/>
      <c r="AY196" s="141"/>
      <c r="AZ196" s="141"/>
      <c r="BA196" s="141"/>
      <c r="BB196" s="141"/>
      <c r="BC196" s="143"/>
      <c r="BD196" s="143"/>
      <c r="BE196" s="143"/>
      <c r="BF196" s="142"/>
      <c r="BG196" s="143"/>
      <c r="BH196" s="141"/>
      <c r="BI196" s="142"/>
      <c r="BJ196" s="142"/>
      <c r="BK196" s="116"/>
      <c r="BL196" s="116"/>
      <c r="BM196" s="116"/>
      <c r="BN196" s="116"/>
      <c r="BO196" s="116"/>
      <c r="BP196" s="116"/>
      <c r="BQ196" s="116"/>
      <c r="BR196" s="116"/>
      <c r="BS196" s="116"/>
      <c r="BT196" s="116"/>
      <c r="BU196" s="116"/>
      <c r="BV196" s="116"/>
      <c r="BW196" s="116"/>
      <c r="BX196" s="116"/>
      <c r="BY196" s="116"/>
      <c r="BZ196" s="116"/>
      <c r="CA196" s="116"/>
      <c r="CB196" s="116"/>
      <c r="CC196" s="116"/>
      <c r="CD196" s="116"/>
    </row>
    <row r="197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2"/>
      <c r="R197" s="142"/>
      <c r="S197" s="121"/>
      <c r="T197" s="141"/>
      <c r="U197" s="141"/>
      <c r="V197" s="141"/>
      <c r="W197" s="141"/>
      <c r="X197" s="141"/>
      <c r="Y197" s="141"/>
      <c r="Z197" s="143"/>
      <c r="AA197" s="141"/>
      <c r="AB197" s="143"/>
      <c r="AC197" s="143"/>
      <c r="AD197" s="141"/>
      <c r="AE197" s="143"/>
      <c r="AF197" s="141"/>
      <c r="AG197" s="141"/>
      <c r="AH197" s="141"/>
      <c r="AI197" s="141"/>
      <c r="AJ197" s="141"/>
      <c r="AK197" s="141"/>
      <c r="AL197" s="141"/>
      <c r="AM197" s="141"/>
      <c r="AN197" s="142"/>
      <c r="AO197" s="141"/>
      <c r="AP197" s="141"/>
      <c r="AQ197" s="143"/>
      <c r="AR197" s="141"/>
      <c r="AS197" s="141"/>
      <c r="AT197" s="141"/>
      <c r="AU197" s="143"/>
      <c r="AV197" s="141"/>
      <c r="AW197" s="141"/>
      <c r="AX197" s="141"/>
      <c r="AY197" s="141"/>
      <c r="AZ197" s="141"/>
      <c r="BA197" s="141"/>
      <c r="BB197" s="141"/>
      <c r="BC197" s="143"/>
      <c r="BD197" s="143"/>
      <c r="BE197" s="143"/>
      <c r="BF197" s="142"/>
      <c r="BG197" s="143"/>
      <c r="BH197" s="141"/>
      <c r="BI197" s="142"/>
      <c r="BJ197" s="142"/>
      <c r="BK197" s="116"/>
      <c r="BL197" s="116"/>
      <c r="BM197" s="116"/>
      <c r="BN197" s="116"/>
      <c r="BO197" s="116"/>
      <c r="BP197" s="116"/>
      <c r="BQ197" s="116"/>
      <c r="BR197" s="116"/>
      <c r="BS197" s="116"/>
      <c r="BT197" s="116"/>
      <c r="BU197" s="116"/>
      <c r="BV197" s="116"/>
      <c r="BW197" s="116"/>
      <c r="BX197" s="116"/>
      <c r="BY197" s="116"/>
      <c r="BZ197" s="116"/>
      <c r="CA197" s="116"/>
      <c r="CB197" s="116"/>
      <c r="CC197" s="116"/>
      <c r="CD197" s="116"/>
    </row>
    <row r="198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2"/>
      <c r="R198" s="142"/>
      <c r="S198" s="121"/>
      <c r="T198" s="141"/>
      <c r="U198" s="141"/>
      <c r="V198" s="141"/>
      <c r="W198" s="141"/>
      <c r="X198" s="141"/>
      <c r="Y198" s="141"/>
      <c r="Z198" s="143"/>
      <c r="AA198" s="141"/>
      <c r="AB198" s="143"/>
      <c r="AC198" s="143"/>
      <c r="AD198" s="141"/>
      <c r="AE198" s="143"/>
      <c r="AF198" s="141"/>
      <c r="AG198" s="141"/>
      <c r="AH198" s="141"/>
      <c r="AI198" s="141"/>
      <c r="AJ198" s="141"/>
      <c r="AK198" s="141"/>
      <c r="AL198" s="141"/>
      <c r="AM198" s="141"/>
      <c r="AN198" s="142"/>
      <c r="AO198" s="141"/>
      <c r="AP198" s="141"/>
      <c r="AQ198" s="143"/>
      <c r="AR198" s="141"/>
      <c r="AS198" s="141"/>
      <c r="AT198" s="141"/>
      <c r="AU198" s="143"/>
      <c r="AV198" s="141"/>
      <c r="AW198" s="141"/>
      <c r="AX198" s="141"/>
      <c r="AY198" s="141"/>
      <c r="AZ198" s="141"/>
      <c r="BA198" s="141"/>
      <c r="BB198" s="141"/>
      <c r="BC198" s="143"/>
      <c r="BD198" s="143"/>
      <c r="BE198" s="143"/>
      <c r="BF198" s="142"/>
      <c r="BG198" s="143"/>
      <c r="BH198" s="141"/>
      <c r="BI198" s="142"/>
      <c r="BJ198" s="142"/>
      <c r="BK198" s="116"/>
      <c r="BL198" s="116"/>
      <c r="BM198" s="116"/>
      <c r="BN198" s="116"/>
      <c r="BO198" s="116"/>
      <c r="BP198" s="116"/>
      <c r="BQ198" s="116"/>
      <c r="BR198" s="116"/>
      <c r="BS198" s="116"/>
      <c r="BT198" s="116"/>
      <c r="BU198" s="116"/>
      <c r="BV198" s="116"/>
      <c r="BW198" s="116"/>
      <c r="BX198" s="116"/>
      <c r="BY198" s="116"/>
      <c r="BZ198" s="116"/>
      <c r="CA198" s="116"/>
      <c r="CB198" s="116"/>
      <c r="CC198" s="116"/>
      <c r="CD198" s="116"/>
    </row>
    <row r="199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2"/>
      <c r="R199" s="142"/>
      <c r="S199" s="121"/>
      <c r="T199" s="141"/>
      <c r="U199" s="141"/>
      <c r="V199" s="141"/>
      <c r="W199" s="141"/>
      <c r="X199" s="141"/>
      <c r="Y199" s="141"/>
      <c r="Z199" s="143"/>
      <c r="AA199" s="141"/>
      <c r="AB199" s="143"/>
      <c r="AC199" s="143"/>
      <c r="AD199" s="141"/>
      <c r="AE199" s="143"/>
      <c r="AF199" s="141"/>
      <c r="AG199" s="141"/>
      <c r="AH199" s="141"/>
      <c r="AI199" s="141"/>
      <c r="AJ199" s="141"/>
      <c r="AK199" s="141"/>
      <c r="AL199" s="141"/>
      <c r="AM199" s="141"/>
      <c r="AN199" s="142"/>
      <c r="AO199" s="141"/>
      <c r="AP199" s="141"/>
      <c r="AQ199" s="143"/>
      <c r="AR199" s="141"/>
      <c r="AS199" s="141"/>
      <c r="AT199" s="141"/>
      <c r="AU199" s="143"/>
      <c r="AV199" s="141"/>
      <c r="AW199" s="141"/>
      <c r="AX199" s="141"/>
      <c r="AY199" s="141"/>
      <c r="AZ199" s="141"/>
      <c r="BA199" s="141"/>
      <c r="BB199" s="141"/>
      <c r="BC199" s="143"/>
      <c r="BD199" s="143"/>
      <c r="BE199" s="143"/>
      <c r="BF199" s="142"/>
      <c r="BG199" s="143"/>
      <c r="BH199" s="141"/>
      <c r="BI199" s="142"/>
      <c r="BJ199" s="142"/>
      <c r="BK199" s="116"/>
      <c r="BL199" s="116"/>
      <c r="BM199" s="116"/>
      <c r="BN199" s="116"/>
      <c r="BO199" s="116"/>
      <c r="BP199" s="116"/>
      <c r="BQ199" s="116"/>
      <c r="BR199" s="116"/>
      <c r="BS199" s="116"/>
      <c r="BT199" s="116"/>
      <c r="BU199" s="116"/>
      <c r="BV199" s="116"/>
      <c r="BW199" s="116"/>
      <c r="BX199" s="116"/>
      <c r="BY199" s="116"/>
      <c r="BZ199" s="116"/>
      <c r="CA199" s="116"/>
      <c r="CB199" s="116"/>
      <c r="CC199" s="116"/>
      <c r="CD199" s="116"/>
    </row>
    <row r="200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2"/>
      <c r="R200" s="142"/>
      <c r="S200" s="121"/>
      <c r="T200" s="141"/>
      <c r="U200" s="141"/>
      <c r="V200" s="141"/>
      <c r="W200" s="141"/>
      <c r="X200" s="141"/>
      <c r="Y200" s="141"/>
      <c r="Z200" s="143"/>
      <c r="AA200" s="141"/>
      <c r="AB200" s="143"/>
      <c r="AC200" s="143"/>
      <c r="AD200" s="141"/>
      <c r="AE200" s="143"/>
      <c r="AF200" s="141"/>
      <c r="AG200" s="141"/>
      <c r="AH200" s="141"/>
      <c r="AI200" s="141"/>
      <c r="AJ200" s="141"/>
      <c r="AK200" s="141"/>
      <c r="AL200" s="141"/>
      <c r="AM200" s="141"/>
      <c r="AN200" s="142"/>
      <c r="AO200" s="141"/>
      <c r="AP200" s="141"/>
      <c r="AQ200" s="143"/>
      <c r="AR200" s="141"/>
      <c r="AS200" s="141"/>
      <c r="AT200" s="141"/>
      <c r="AU200" s="143"/>
      <c r="AV200" s="141"/>
      <c r="AW200" s="141"/>
      <c r="AX200" s="141"/>
      <c r="AY200" s="141"/>
      <c r="AZ200" s="141"/>
      <c r="BA200" s="141"/>
      <c r="BB200" s="141"/>
      <c r="BC200" s="143"/>
      <c r="BD200" s="143"/>
      <c r="BE200" s="143"/>
      <c r="BF200" s="142"/>
      <c r="BG200" s="143"/>
      <c r="BH200" s="141"/>
      <c r="BI200" s="142"/>
      <c r="BJ200" s="142"/>
      <c r="BK200" s="116"/>
      <c r="BL200" s="116"/>
      <c r="BM200" s="116"/>
      <c r="BN200" s="116"/>
      <c r="BO200" s="116"/>
      <c r="BP200" s="116"/>
      <c r="BQ200" s="116"/>
      <c r="BR200" s="116"/>
      <c r="BS200" s="116"/>
      <c r="BT200" s="116"/>
      <c r="BU200" s="116"/>
      <c r="BV200" s="116"/>
      <c r="BW200" s="116"/>
      <c r="BX200" s="116"/>
      <c r="BY200" s="116"/>
      <c r="BZ200" s="116"/>
      <c r="CA200" s="116"/>
      <c r="CB200" s="116"/>
      <c r="CC200" s="116"/>
      <c r="CD200" s="116"/>
    </row>
    <row r="20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2"/>
      <c r="R201" s="142"/>
      <c r="S201" s="121"/>
      <c r="T201" s="141"/>
      <c r="U201" s="141"/>
      <c r="V201" s="141"/>
      <c r="W201" s="141"/>
      <c r="X201" s="141"/>
      <c r="Y201" s="141"/>
      <c r="Z201" s="143"/>
      <c r="AA201" s="141"/>
      <c r="AB201" s="143"/>
      <c r="AC201" s="143"/>
      <c r="AD201" s="141"/>
      <c r="AE201" s="143"/>
      <c r="AF201" s="141"/>
      <c r="AG201" s="141"/>
      <c r="AH201" s="141"/>
      <c r="AI201" s="141"/>
      <c r="AJ201" s="141"/>
      <c r="AK201" s="141"/>
      <c r="AL201" s="141"/>
      <c r="AM201" s="141"/>
      <c r="AN201" s="142"/>
      <c r="AO201" s="141"/>
      <c r="AP201" s="141"/>
      <c r="AQ201" s="143"/>
      <c r="AR201" s="141"/>
      <c r="AS201" s="141"/>
      <c r="AT201" s="141"/>
      <c r="AU201" s="143"/>
      <c r="AV201" s="141"/>
      <c r="AW201" s="141"/>
      <c r="AX201" s="141"/>
      <c r="AY201" s="141"/>
      <c r="AZ201" s="141"/>
      <c r="BA201" s="141"/>
      <c r="BB201" s="141"/>
      <c r="BC201" s="143"/>
      <c r="BD201" s="143"/>
      <c r="BE201" s="143"/>
      <c r="BF201" s="142"/>
      <c r="BG201" s="143"/>
      <c r="BH201" s="141"/>
      <c r="BI201" s="142"/>
      <c r="BJ201" s="142"/>
      <c r="BK201" s="116"/>
      <c r="BL201" s="116"/>
      <c r="BM201" s="116"/>
      <c r="BN201" s="116"/>
      <c r="BO201" s="116"/>
      <c r="BP201" s="116"/>
      <c r="BQ201" s="116"/>
      <c r="BR201" s="116"/>
      <c r="BS201" s="116"/>
      <c r="BT201" s="116"/>
      <c r="BU201" s="116"/>
      <c r="BV201" s="116"/>
      <c r="BW201" s="116"/>
      <c r="BX201" s="116"/>
      <c r="BY201" s="116"/>
      <c r="BZ201" s="116"/>
      <c r="CA201" s="116"/>
      <c r="CB201" s="116"/>
      <c r="CC201" s="116"/>
      <c r="CD201" s="116"/>
    </row>
    <row r="202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2"/>
      <c r="R202" s="142"/>
      <c r="S202" s="121"/>
      <c r="T202" s="141"/>
      <c r="U202" s="141"/>
      <c r="V202" s="141"/>
      <c r="W202" s="141"/>
      <c r="X202" s="141"/>
      <c r="Y202" s="141"/>
      <c r="Z202" s="143"/>
      <c r="AA202" s="141"/>
      <c r="AB202" s="143"/>
      <c r="AC202" s="143"/>
      <c r="AD202" s="141"/>
      <c r="AE202" s="143"/>
      <c r="AF202" s="141"/>
      <c r="AG202" s="141"/>
      <c r="AH202" s="141"/>
      <c r="AI202" s="141"/>
      <c r="AJ202" s="141"/>
      <c r="AK202" s="141"/>
      <c r="AL202" s="141"/>
      <c r="AM202" s="141"/>
      <c r="AN202" s="142"/>
      <c r="AO202" s="141"/>
      <c r="AP202" s="141"/>
      <c r="AQ202" s="143"/>
      <c r="AR202" s="141"/>
      <c r="AS202" s="141"/>
      <c r="AT202" s="141"/>
      <c r="AU202" s="143"/>
      <c r="AV202" s="141"/>
      <c r="AW202" s="141"/>
      <c r="AX202" s="141"/>
      <c r="AY202" s="141"/>
      <c r="AZ202" s="141"/>
      <c r="BA202" s="141"/>
      <c r="BB202" s="141"/>
      <c r="BC202" s="143"/>
      <c r="BD202" s="143"/>
      <c r="BE202" s="143"/>
      <c r="BF202" s="142"/>
      <c r="BG202" s="143"/>
      <c r="BH202" s="141"/>
      <c r="BI202" s="142"/>
      <c r="BJ202" s="142"/>
      <c r="BK202" s="116"/>
      <c r="BL202" s="116"/>
      <c r="BM202" s="116"/>
      <c r="BN202" s="116"/>
      <c r="BO202" s="116"/>
      <c r="BP202" s="116"/>
      <c r="BQ202" s="116"/>
      <c r="BR202" s="116"/>
      <c r="BS202" s="116"/>
      <c r="BT202" s="116"/>
      <c r="BU202" s="116"/>
      <c r="BV202" s="116"/>
      <c r="BW202" s="116"/>
      <c r="BX202" s="116"/>
      <c r="BY202" s="116"/>
      <c r="BZ202" s="116"/>
      <c r="CA202" s="116"/>
      <c r="CB202" s="116"/>
      <c r="CC202" s="116"/>
      <c r="CD202" s="116"/>
    </row>
    <row r="203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2"/>
      <c r="R203" s="142"/>
      <c r="S203" s="121"/>
      <c r="T203" s="141"/>
      <c r="U203" s="141"/>
      <c r="V203" s="141"/>
      <c r="W203" s="141"/>
      <c r="X203" s="141"/>
      <c r="Y203" s="141"/>
      <c r="Z203" s="143"/>
      <c r="AA203" s="141"/>
      <c r="AB203" s="143"/>
      <c r="AC203" s="143"/>
      <c r="AD203" s="141"/>
      <c r="AE203" s="143"/>
      <c r="AF203" s="141"/>
      <c r="AG203" s="141"/>
      <c r="AH203" s="141"/>
      <c r="AI203" s="141"/>
      <c r="AJ203" s="141"/>
      <c r="AK203" s="141"/>
      <c r="AL203" s="141"/>
      <c r="AM203" s="141"/>
      <c r="AN203" s="142"/>
      <c r="AO203" s="141"/>
      <c r="AP203" s="141"/>
      <c r="AQ203" s="143"/>
      <c r="AR203" s="141"/>
      <c r="AS203" s="141"/>
      <c r="AT203" s="141"/>
      <c r="AU203" s="143"/>
      <c r="AV203" s="141"/>
      <c r="AW203" s="141"/>
      <c r="AX203" s="141"/>
      <c r="AY203" s="141"/>
      <c r="AZ203" s="141"/>
      <c r="BA203" s="141"/>
      <c r="BB203" s="141"/>
      <c r="BC203" s="143"/>
      <c r="BD203" s="143"/>
      <c r="BE203" s="143"/>
      <c r="BF203" s="142"/>
      <c r="BG203" s="143"/>
      <c r="BH203" s="141"/>
      <c r="BI203" s="142"/>
      <c r="BJ203" s="142"/>
      <c r="BK203" s="116"/>
      <c r="BL203" s="116"/>
      <c r="BM203" s="116"/>
      <c r="BN203" s="116"/>
      <c r="BO203" s="116"/>
      <c r="BP203" s="116"/>
      <c r="BQ203" s="116"/>
      <c r="BR203" s="116"/>
      <c r="BS203" s="116"/>
      <c r="BT203" s="116"/>
      <c r="BU203" s="116"/>
      <c r="BV203" s="116"/>
      <c r="BW203" s="116"/>
      <c r="BX203" s="116"/>
      <c r="BY203" s="116"/>
      <c r="BZ203" s="116"/>
      <c r="CA203" s="116"/>
      <c r="CB203" s="116"/>
      <c r="CC203" s="116"/>
      <c r="CD203" s="116"/>
    </row>
    <row r="204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2"/>
      <c r="R204" s="142"/>
      <c r="S204" s="121"/>
      <c r="T204" s="141"/>
      <c r="U204" s="141"/>
      <c r="V204" s="141"/>
      <c r="W204" s="141"/>
      <c r="X204" s="141"/>
      <c r="Y204" s="141"/>
      <c r="Z204" s="143"/>
      <c r="AA204" s="141"/>
      <c r="AB204" s="143"/>
      <c r="AC204" s="143"/>
      <c r="AD204" s="141"/>
      <c r="AE204" s="143"/>
      <c r="AF204" s="141"/>
      <c r="AG204" s="141"/>
      <c r="AH204" s="141"/>
      <c r="AI204" s="141"/>
      <c r="AJ204" s="141"/>
      <c r="AK204" s="141"/>
      <c r="AL204" s="141"/>
      <c r="AM204" s="141"/>
      <c r="AN204" s="142"/>
      <c r="AO204" s="141"/>
      <c r="AP204" s="141"/>
      <c r="AQ204" s="143"/>
      <c r="AR204" s="141"/>
      <c r="AS204" s="141"/>
      <c r="AT204" s="141"/>
      <c r="AU204" s="143"/>
      <c r="AV204" s="141"/>
      <c r="AW204" s="141"/>
      <c r="AX204" s="141"/>
      <c r="AY204" s="141"/>
      <c r="AZ204" s="141"/>
      <c r="BA204" s="141"/>
      <c r="BB204" s="141"/>
      <c r="BC204" s="143"/>
      <c r="BD204" s="143"/>
      <c r="BE204" s="143"/>
      <c r="BF204" s="142"/>
      <c r="BG204" s="143"/>
      <c r="BH204" s="141"/>
      <c r="BI204" s="142"/>
      <c r="BJ204" s="142"/>
      <c r="BK204" s="116"/>
      <c r="BL204" s="116"/>
      <c r="BM204" s="116"/>
      <c r="BN204" s="116"/>
      <c r="BO204" s="116"/>
      <c r="BP204" s="116"/>
      <c r="BQ204" s="116"/>
      <c r="BR204" s="116"/>
      <c r="BS204" s="116"/>
      <c r="BT204" s="116"/>
      <c r="BU204" s="116"/>
      <c r="BV204" s="116"/>
      <c r="BW204" s="116"/>
      <c r="BX204" s="116"/>
      <c r="BY204" s="116"/>
      <c r="BZ204" s="116"/>
      <c r="CA204" s="116"/>
      <c r="CB204" s="116"/>
      <c r="CC204" s="116"/>
      <c r="CD204" s="116"/>
    </row>
    <row r="205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2"/>
      <c r="R205" s="142"/>
      <c r="S205" s="121"/>
      <c r="T205" s="141"/>
      <c r="U205" s="141"/>
      <c r="V205" s="141"/>
      <c r="W205" s="141"/>
      <c r="X205" s="141"/>
      <c r="Y205" s="141"/>
      <c r="Z205" s="143"/>
      <c r="AA205" s="141"/>
      <c r="AB205" s="143"/>
      <c r="AC205" s="143"/>
      <c r="AD205" s="141"/>
      <c r="AE205" s="143"/>
      <c r="AF205" s="141"/>
      <c r="AG205" s="141"/>
      <c r="AH205" s="141"/>
      <c r="AI205" s="141"/>
      <c r="AJ205" s="141"/>
      <c r="AK205" s="141"/>
      <c r="AL205" s="141"/>
      <c r="AM205" s="141"/>
      <c r="AN205" s="142"/>
      <c r="AO205" s="141"/>
      <c r="AP205" s="141"/>
      <c r="AQ205" s="143"/>
      <c r="AR205" s="141"/>
      <c r="AS205" s="141"/>
      <c r="AT205" s="141"/>
      <c r="AU205" s="143"/>
      <c r="AV205" s="141"/>
      <c r="AW205" s="141"/>
      <c r="AX205" s="141"/>
      <c r="AY205" s="141"/>
      <c r="AZ205" s="141"/>
      <c r="BA205" s="141"/>
      <c r="BB205" s="141"/>
      <c r="BC205" s="143"/>
      <c r="BD205" s="143"/>
      <c r="BE205" s="143"/>
      <c r="BF205" s="142"/>
      <c r="BG205" s="143"/>
      <c r="BH205" s="141"/>
      <c r="BI205" s="142"/>
      <c r="BJ205" s="142"/>
      <c r="BK205" s="116"/>
      <c r="BL205" s="116"/>
      <c r="BM205" s="116"/>
      <c r="BN205" s="116"/>
      <c r="BO205" s="116"/>
      <c r="BP205" s="116"/>
      <c r="BQ205" s="116"/>
      <c r="BR205" s="116"/>
      <c r="BS205" s="116"/>
      <c r="BT205" s="116"/>
      <c r="BU205" s="116"/>
      <c r="BV205" s="116"/>
      <c r="BW205" s="116"/>
      <c r="BX205" s="116"/>
      <c r="BY205" s="116"/>
      <c r="BZ205" s="116"/>
      <c r="CA205" s="116"/>
      <c r="CB205" s="116"/>
      <c r="CC205" s="116"/>
      <c r="CD205" s="116"/>
    </row>
    <row r="206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2"/>
      <c r="R206" s="142"/>
      <c r="S206" s="121"/>
      <c r="T206" s="141"/>
      <c r="U206" s="141"/>
      <c r="V206" s="141"/>
      <c r="W206" s="141"/>
      <c r="X206" s="141"/>
      <c r="Y206" s="141"/>
      <c r="Z206" s="143"/>
      <c r="AA206" s="141"/>
      <c r="AB206" s="143"/>
      <c r="AC206" s="143"/>
      <c r="AD206" s="141"/>
      <c r="AE206" s="143"/>
      <c r="AF206" s="141"/>
      <c r="AG206" s="141"/>
      <c r="AH206" s="141"/>
      <c r="AI206" s="141"/>
      <c r="AJ206" s="141"/>
      <c r="AK206" s="141"/>
      <c r="AL206" s="141"/>
      <c r="AM206" s="141"/>
      <c r="AN206" s="142"/>
      <c r="AO206" s="141"/>
      <c r="AP206" s="141"/>
      <c r="AQ206" s="143"/>
      <c r="AR206" s="141"/>
      <c r="AS206" s="141"/>
      <c r="AT206" s="141"/>
      <c r="AU206" s="143"/>
      <c r="AV206" s="141"/>
      <c r="AW206" s="141"/>
      <c r="AX206" s="141"/>
      <c r="AY206" s="141"/>
      <c r="AZ206" s="141"/>
      <c r="BA206" s="141"/>
      <c r="BB206" s="141"/>
      <c r="BC206" s="143"/>
      <c r="BD206" s="143"/>
      <c r="BE206" s="143"/>
      <c r="BF206" s="142"/>
      <c r="BG206" s="143"/>
      <c r="BH206" s="141"/>
      <c r="BI206" s="142"/>
      <c r="BJ206" s="142"/>
      <c r="BK206" s="116"/>
      <c r="BL206" s="116"/>
      <c r="BM206" s="116"/>
      <c r="BN206" s="116"/>
      <c r="BO206" s="116"/>
      <c r="BP206" s="116"/>
      <c r="BQ206" s="116"/>
      <c r="BR206" s="116"/>
      <c r="BS206" s="116"/>
      <c r="BT206" s="116"/>
      <c r="BU206" s="116"/>
      <c r="BV206" s="116"/>
      <c r="BW206" s="116"/>
      <c r="BX206" s="116"/>
      <c r="BY206" s="116"/>
      <c r="BZ206" s="116"/>
      <c r="CA206" s="116"/>
      <c r="CB206" s="116"/>
      <c r="CC206" s="116"/>
      <c r="CD206" s="116"/>
    </row>
    <row r="207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2"/>
      <c r="R207" s="142"/>
      <c r="S207" s="121"/>
      <c r="T207" s="141"/>
      <c r="U207" s="141"/>
      <c r="V207" s="141"/>
      <c r="W207" s="141"/>
      <c r="X207" s="141"/>
      <c r="Y207" s="141"/>
      <c r="Z207" s="143"/>
      <c r="AA207" s="141"/>
      <c r="AB207" s="143"/>
      <c r="AC207" s="143"/>
      <c r="AD207" s="141"/>
      <c r="AE207" s="143"/>
      <c r="AF207" s="141"/>
      <c r="AG207" s="141"/>
      <c r="AH207" s="141"/>
      <c r="AI207" s="141"/>
      <c r="AJ207" s="141"/>
      <c r="AK207" s="141"/>
      <c r="AL207" s="141"/>
      <c r="AM207" s="141"/>
      <c r="AN207" s="142"/>
      <c r="AO207" s="141"/>
      <c r="AP207" s="141"/>
      <c r="AQ207" s="143"/>
      <c r="AR207" s="141"/>
      <c r="AS207" s="141"/>
      <c r="AT207" s="141"/>
      <c r="AU207" s="143"/>
      <c r="AV207" s="141"/>
      <c r="AW207" s="141"/>
      <c r="AX207" s="141"/>
      <c r="AY207" s="141"/>
      <c r="AZ207" s="141"/>
      <c r="BA207" s="141"/>
      <c r="BB207" s="141"/>
      <c r="BC207" s="143"/>
      <c r="BD207" s="143"/>
      <c r="BE207" s="143"/>
      <c r="BF207" s="142"/>
      <c r="BG207" s="143"/>
      <c r="BH207" s="141"/>
      <c r="BI207" s="142"/>
      <c r="BJ207" s="142"/>
      <c r="BK207" s="116"/>
      <c r="BL207" s="116"/>
      <c r="BM207" s="116"/>
      <c r="BN207" s="116"/>
      <c r="BO207" s="116"/>
      <c r="BP207" s="116"/>
      <c r="BQ207" s="116"/>
      <c r="BR207" s="116"/>
      <c r="BS207" s="116"/>
      <c r="BT207" s="116"/>
      <c r="BU207" s="116"/>
      <c r="BV207" s="116"/>
      <c r="BW207" s="116"/>
      <c r="BX207" s="116"/>
      <c r="BY207" s="116"/>
      <c r="BZ207" s="116"/>
      <c r="CA207" s="116"/>
      <c r="CB207" s="116"/>
      <c r="CC207" s="116"/>
      <c r="CD207" s="116"/>
    </row>
    <row r="208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2"/>
      <c r="R208" s="142"/>
      <c r="S208" s="121"/>
      <c r="T208" s="141"/>
      <c r="U208" s="141"/>
      <c r="V208" s="141"/>
      <c r="W208" s="141"/>
      <c r="X208" s="141"/>
      <c r="Y208" s="141"/>
      <c r="Z208" s="143"/>
      <c r="AA208" s="141"/>
      <c r="AB208" s="143"/>
      <c r="AC208" s="143"/>
      <c r="AD208" s="141"/>
      <c r="AE208" s="143"/>
      <c r="AF208" s="141"/>
      <c r="AG208" s="141"/>
      <c r="AH208" s="141"/>
      <c r="AI208" s="141"/>
      <c r="AJ208" s="141"/>
      <c r="AK208" s="141"/>
      <c r="AL208" s="141"/>
      <c r="AM208" s="141"/>
      <c r="AN208" s="142"/>
      <c r="AO208" s="141"/>
      <c r="AP208" s="141"/>
      <c r="AQ208" s="143"/>
      <c r="AR208" s="141"/>
      <c r="AS208" s="141"/>
      <c r="AT208" s="141"/>
      <c r="AU208" s="143"/>
      <c r="AV208" s="141"/>
      <c r="AW208" s="141"/>
      <c r="AX208" s="141"/>
      <c r="AY208" s="141"/>
      <c r="AZ208" s="141"/>
      <c r="BA208" s="141"/>
      <c r="BB208" s="141"/>
      <c r="BC208" s="143"/>
      <c r="BD208" s="143"/>
      <c r="BE208" s="143"/>
      <c r="BF208" s="142"/>
      <c r="BG208" s="143"/>
      <c r="BH208" s="141"/>
      <c r="BI208" s="142"/>
      <c r="BJ208" s="142"/>
      <c r="BK208" s="116"/>
      <c r="BL208" s="116"/>
      <c r="BM208" s="116"/>
      <c r="BN208" s="116"/>
      <c r="BO208" s="116"/>
      <c r="BP208" s="116"/>
      <c r="BQ208" s="116"/>
      <c r="BR208" s="116"/>
      <c r="BS208" s="116"/>
      <c r="BT208" s="116"/>
      <c r="BU208" s="116"/>
      <c r="BV208" s="116"/>
      <c r="BW208" s="116"/>
      <c r="BX208" s="116"/>
      <c r="BY208" s="116"/>
      <c r="BZ208" s="116"/>
      <c r="CA208" s="116"/>
      <c r="CB208" s="116"/>
      <c r="CC208" s="116"/>
      <c r="CD208" s="116"/>
    </row>
    <row r="209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2"/>
      <c r="R209" s="142"/>
      <c r="S209" s="121"/>
      <c r="T209" s="141"/>
      <c r="U209" s="141"/>
      <c r="V209" s="141"/>
      <c r="W209" s="141"/>
      <c r="X209" s="141"/>
      <c r="Y209" s="141"/>
      <c r="Z209" s="143"/>
      <c r="AA209" s="141"/>
      <c r="AB209" s="143"/>
      <c r="AC209" s="143"/>
      <c r="AD209" s="141"/>
      <c r="AE209" s="143"/>
      <c r="AF209" s="141"/>
      <c r="AG209" s="141"/>
      <c r="AH209" s="141"/>
      <c r="AI209" s="141"/>
      <c r="AJ209" s="141"/>
      <c r="AK209" s="141"/>
      <c r="AL209" s="141"/>
      <c r="AM209" s="141"/>
      <c r="AN209" s="142"/>
      <c r="AO209" s="141"/>
      <c r="AP209" s="141"/>
      <c r="AQ209" s="143"/>
      <c r="AR209" s="141"/>
      <c r="AS209" s="141"/>
      <c r="AT209" s="141"/>
      <c r="AU209" s="143"/>
      <c r="AV209" s="141"/>
      <c r="AW209" s="141"/>
      <c r="AX209" s="141"/>
      <c r="AY209" s="141"/>
      <c r="AZ209" s="141"/>
      <c r="BA209" s="141"/>
      <c r="BB209" s="141"/>
      <c r="BC209" s="143"/>
      <c r="BD209" s="143"/>
      <c r="BE209" s="143"/>
      <c r="BF209" s="142"/>
      <c r="BG209" s="143"/>
      <c r="BH209" s="141"/>
      <c r="BI209" s="142"/>
      <c r="BJ209" s="142"/>
      <c r="BK209" s="116"/>
      <c r="BL209" s="116"/>
      <c r="BM209" s="116"/>
      <c r="BN209" s="116"/>
      <c r="BO209" s="116"/>
      <c r="BP209" s="116"/>
      <c r="BQ209" s="116"/>
      <c r="BR209" s="116"/>
      <c r="BS209" s="116"/>
      <c r="BT209" s="116"/>
      <c r="BU209" s="116"/>
      <c r="BV209" s="116"/>
      <c r="BW209" s="116"/>
      <c r="BX209" s="116"/>
      <c r="BY209" s="116"/>
      <c r="BZ209" s="116"/>
      <c r="CA209" s="116"/>
      <c r="CB209" s="116"/>
      <c r="CC209" s="116"/>
      <c r="CD209" s="116"/>
    </row>
    <row r="210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2"/>
      <c r="R210" s="142"/>
      <c r="S210" s="121"/>
      <c r="T210" s="141"/>
      <c r="U210" s="141"/>
      <c r="V210" s="141"/>
      <c r="W210" s="141"/>
      <c r="X210" s="141"/>
      <c r="Y210" s="141"/>
      <c r="Z210" s="143"/>
      <c r="AA210" s="141"/>
      <c r="AB210" s="143"/>
      <c r="AC210" s="143"/>
      <c r="AD210" s="141"/>
      <c r="AE210" s="143"/>
      <c r="AF210" s="141"/>
      <c r="AG210" s="141"/>
      <c r="AH210" s="141"/>
      <c r="AI210" s="141"/>
      <c r="AJ210" s="141"/>
      <c r="AK210" s="141"/>
      <c r="AL210" s="141"/>
      <c r="AM210" s="141"/>
      <c r="AN210" s="142"/>
      <c r="AO210" s="141"/>
      <c r="AP210" s="141"/>
      <c r="AQ210" s="143"/>
      <c r="AR210" s="141"/>
      <c r="AS210" s="141"/>
      <c r="AT210" s="141"/>
      <c r="AU210" s="143"/>
      <c r="AV210" s="141"/>
      <c r="AW210" s="141"/>
      <c r="AX210" s="141"/>
      <c r="AY210" s="141"/>
      <c r="AZ210" s="141"/>
      <c r="BA210" s="141"/>
      <c r="BB210" s="141"/>
      <c r="BC210" s="143"/>
      <c r="BD210" s="143"/>
      <c r="BE210" s="143"/>
      <c r="BF210" s="142"/>
      <c r="BG210" s="143"/>
      <c r="BH210" s="141"/>
      <c r="BI210" s="142"/>
      <c r="BJ210" s="142"/>
      <c r="BK210" s="116"/>
      <c r="BL210" s="116"/>
      <c r="BM210" s="116"/>
      <c r="BN210" s="116"/>
      <c r="BO210" s="116"/>
      <c r="BP210" s="116"/>
      <c r="BQ210" s="116"/>
      <c r="BR210" s="116"/>
      <c r="BS210" s="116"/>
      <c r="BT210" s="116"/>
      <c r="BU210" s="116"/>
      <c r="BV210" s="116"/>
      <c r="BW210" s="116"/>
      <c r="BX210" s="116"/>
      <c r="BY210" s="116"/>
      <c r="BZ210" s="116"/>
      <c r="CA210" s="116"/>
      <c r="CB210" s="116"/>
      <c r="CC210" s="116"/>
      <c r="CD210" s="116"/>
    </row>
    <row r="21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2"/>
      <c r="R211" s="142"/>
      <c r="S211" s="121"/>
      <c r="T211" s="141"/>
      <c r="U211" s="141"/>
      <c r="V211" s="141"/>
      <c r="W211" s="141"/>
      <c r="X211" s="141"/>
      <c r="Y211" s="141"/>
      <c r="Z211" s="143"/>
      <c r="AA211" s="141"/>
      <c r="AB211" s="143"/>
      <c r="AC211" s="143"/>
      <c r="AD211" s="141"/>
      <c r="AE211" s="143"/>
      <c r="AF211" s="141"/>
      <c r="AG211" s="141"/>
      <c r="AH211" s="141"/>
      <c r="AI211" s="141"/>
      <c r="AJ211" s="141"/>
      <c r="AK211" s="141"/>
      <c r="AL211" s="141"/>
      <c r="AM211" s="141"/>
      <c r="AN211" s="142"/>
      <c r="AO211" s="141"/>
      <c r="AP211" s="141"/>
      <c r="AQ211" s="143"/>
      <c r="AR211" s="141"/>
      <c r="AS211" s="141"/>
      <c r="AT211" s="141"/>
      <c r="AU211" s="143"/>
      <c r="AV211" s="141"/>
      <c r="AW211" s="141"/>
      <c r="AX211" s="141"/>
      <c r="AY211" s="141"/>
      <c r="AZ211" s="141"/>
      <c r="BA211" s="141"/>
      <c r="BB211" s="141"/>
      <c r="BC211" s="143"/>
      <c r="BD211" s="143"/>
      <c r="BE211" s="143"/>
      <c r="BF211" s="142"/>
      <c r="BG211" s="143"/>
      <c r="BH211" s="141"/>
      <c r="BI211" s="142"/>
      <c r="BJ211" s="142"/>
      <c r="BK211" s="116"/>
      <c r="BL211" s="116"/>
      <c r="BM211" s="116"/>
      <c r="BN211" s="116"/>
      <c r="BO211" s="116"/>
      <c r="BP211" s="116"/>
      <c r="BQ211" s="116"/>
      <c r="BR211" s="116"/>
      <c r="BS211" s="116"/>
      <c r="BT211" s="116"/>
      <c r="BU211" s="116"/>
      <c r="BV211" s="116"/>
      <c r="BW211" s="116"/>
      <c r="BX211" s="116"/>
      <c r="BY211" s="116"/>
      <c r="BZ211" s="116"/>
      <c r="CA211" s="116"/>
      <c r="CB211" s="116"/>
      <c r="CC211" s="116"/>
      <c r="CD211" s="116"/>
    </row>
    <row r="212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2"/>
      <c r="R212" s="142"/>
      <c r="S212" s="121"/>
      <c r="T212" s="141"/>
      <c r="U212" s="141"/>
      <c r="V212" s="141"/>
      <c r="W212" s="141"/>
      <c r="X212" s="141"/>
      <c r="Y212" s="141"/>
      <c r="Z212" s="143"/>
      <c r="AA212" s="141"/>
      <c r="AB212" s="143"/>
      <c r="AC212" s="143"/>
      <c r="AD212" s="141"/>
      <c r="AE212" s="143"/>
      <c r="AF212" s="141"/>
      <c r="AG212" s="141"/>
      <c r="AH212" s="141"/>
      <c r="AI212" s="141"/>
      <c r="AJ212" s="141"/>
      <c r="AK212" s="141"/>
      <c r="AL212" s="141"/>
      <c r="AM212" s="141"/>
      <c r="AN212" s="142"/>
      <c r="AO212" s="141"/>
      <c r="AP212" s="141"/>
      <c r="AQ212" s="143"/>
      <c r="AR212" s="141"/>
      <c r="AS212" s="141"/>
      <c r="AT212" s="141"/>
      <c r="AU212" s="143"/>
      <c r="AV212" s="141"/>
      <c r="AW212" s="141"/>
      <c r="AX212" s="141"/>
      <c r="AY212" s="141"/>
      <c r="AZ212" s="141"/>
      <c r="BA212" s="141"/>
      <c r="BB212" s="141"/>
      <c r="BC212" s="143"/>
      <c r="BD212" s="143"/>
      <c r="BE212" s="143"/>
      <c r="BF212" s="142"/>
      <c r="BG212" s="143"/>
      <c r="BH212" s="141"/>
      <c r="BI212" s="142"/>
      <c r="BJ212" s="142"/>
      <c r="BK212" s="116"/>
      <c r="BL212" s="116"/>
      <c r="BM212" s="116"/>
      <c r="BN212" s="116"/>
      <c r="BO212" s="116"/>
      <c r="BP212" s="116"/>
      <c r="BQ212" s="116"/>
      <c r="BR212" s="116"/>
      <c r="BS212" s="116"/>
      <c r="BT212" s="116"/>
      <c r="BU212" s="116"/>
      <c r="BV212" s="116"/>
      <c r="BW212" s="116"/>
      <c r="BX212" s="116"/>
      <c r="BY212" s="116"/>
      <c r="BZ212" s="116"/>
      <c r="CA212" s="116"/>
      <c r="CB212" s="116"/>
      <c r="CC212" s="116"/>
      <c r="CD212" s="116"/>
    </row>
    <row r="213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2"/>
      <c r="R213" s="142"/>
      <c r="S213" s="121"/>
      <c r="T213" s="141"/>
      <c r="U213" s="141"/>
      <c r="V213" s="141"/>
      <c r="W213" s="141"/>
      <c r="X213" s="141"/>
      <c r="Y213" s="141"/>
      <c r="Z213" s="143"/>
      <c r="AA213" s="141"/>
      <c r="AB213" s="143"/>
      <c r="AC213" s="143"/>
      <c r="AD213" s="141"/>
      <c r="AE213" s="143"/>
      <c r="AF213" s="141"/>
      <c r="AG213" s="141"/>
      <c r="AH213" s="141"/>
      <c r="AI213" s="141"/>
      <c r="AJ213" s="141"/>
      <c r="AK213" s="141"/>
      <c r="AL213" s="141"/>
      <c r="AM213" s="141"/>
      <c r="AN213" s="142"/>
      <c r="AO213" s="141"/>
      <c r="AP213" s="141"/>
      <c r="AQ213" s="143"/>
      <c r="AR213" s="141"/>
      <c r="AS213" s="141"/>
      <c r="AT213" s="141"/>
      <c r="AU213" s="143"/>
      <c r="AV213" s="141"/>
      <c r="AW213" s="141"/>
      <c r="AX213" s="141"/>
      <c r="AY213" s="141"/>
      <c r="AZ213" s="141"/>
      <c r="BA213" s="141"/>
      <c r="BB213" s="141"/>
      <c r="BC213" s="143"/>
      <c r="BD213" s="143"/>
      <c r="BE213" s="143"/>
      <c r="BF213" s="142"/>
      <c r="BG213" s="143"/>
      <c r="BH213" s="141"/>
      <c r="BI213" s="142"/>
      <c r="BJ213" s="142"/>
      <c r="BK213" s="116"/>
      <c r="BL213" s="116"/>
      <c r="BM213" s="116"/>
      <c r="BN213" s="116"/>
      <c r="BO213" s="116"/>
      <c r="BP213" s="116"/>
      <c r="BQ213" s="116"/>
      <c r="BR213" s="116"/>
      <c r="BS213" s="116"/>
      <c r="BT213" s="116"/>
      <c r="BU213" s="116"/>
      <c r="BV213" s="116"/>
      <c r="BW213" s="116"/>
      <c r="BX213" s="116"/>
      <c r="BY213" s="116"/>
      <c r="BZ213" s="116"/>
      <c r="CA213" s="116"/>
      <c r="CB213" s="116"/>
      <c r="CC213" s="116"/>
      <c r="CD213" s="116"/>
    </row>
    <row r="214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2"/>
      <c r="R214" s="142"/>
      <c r="S214" s="121"/>
      <c r="T214" s="141"/>
      <c r="U214" s="141"/>
      <c r="V214" s="141"/>
      <c r="W214" s="141"/>
      <c r="X214" s="141"/>
      <c r="Y214" s="141"/>
      <c r="Z214" s="143"/>
      <c r="AA214" s="141"/>
      <c r="AB214" s="143"/>
      <c r="AC214" s="143"/>
      <c r="AD214" s="141"/>
      <c r="AE214" s="143"/>
      <c r="AF214" s="141"/>
      <c r="AG214" s="141"/>
      <c r="AH214" s="141"/>
      <c r="AI214" s="141"/>
      <c r="AJ214" s="141"/>
      <c r="AK214" s="141"/>
      <c r="AL214" s="141"/>
      <c r="AM214" s="141"/>
      <c r="AN214" s="142"/>
      <c r="AO214" s="141"/>
      <c r="AP214" s="141"/>
      <c r="AQ214" s="143"/>
      <c r="AR214" s="141"/>
      <c r="AS214" s="141"/>
      <c r="AT214" s="141"/>
      <c r="AU214" s="143"/>
      <c r="AV214" s="141"/>
      <c r="AW214" s="141"/>
      <c r="AX214" s="141"/>
      <c r="AY214" s="141"/>
      <c r="AZ214" s="141"/>
      <c r="BA214" s="141"/>
      <c r="BB214" s="141"/>
      <c r="BC214" s="143"/>
      <c r="BD214" s="143"/>
      <c r="BE214" s="143"/>
      <c r="BF214" s="142"/>
      <c r="BG214" s="143"/>
      <c r="BH214" s="141"/>
      <c r="BI214" s="142"/>
      <c r="BJ214" s="142"/>
      <c r="BK214" s="116"/>
      <c r="BL214" s="116"/>
      <c r="BM214" s="116"/>
      <c r="BN214" s="116"/>
      <c r="BO214" s="116"/>
      <c r="BP214" s="116"/>
      <c r="BQ214" s="116"/>
      <c r="BR214" s="116"/>
      <c r="BS214" s="116"/>
      <c r="BT214" s="116"/>
      <c r="BU214" s="116"/>
      <c r="BV214" s="116"/>
      <c r="BW214" s="116"/>
      <c r="BX214" s="116"/>
      <c r="BY214" s="116"/>
      <c r="BZ214" s="116"/>
      <c r="CA214" s="116"/>
      <c r="CB214" s="116"/>
      <c r="CC214" s="116"/>
      <c r="CD214" s="116"/>
    </row>
    <row r="215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2"/>
      <c r="R215" s="142"/>
      <c r="S215" s="121"/>
      <c r="T215" s="141"/>
      <c r="U215" s="141"/>
      <c r="V215" s="141"/>
      <c r="W215" s="141"/>
      <c r="X215" s="141"/>
      <c r="Y215" s="141"/>
      <c r="Z215" s="143"/>
      <c r="AA215" s="141"/>
      <c r="AB215" s="143"/>
      <c r="AC215" s="143"/>
      <c r="AD215" s="141"/>
      <c r="AE215" s="143"/>
      <c r="AF215" s="141"/>
      <c r="AG215" s="141"/>
      <c r="AH215" s="141"/>
      <c r="AI215" s="141"/>
      <c r="AJ215" s="141"/>
      <c r="AK215" s="141"/>
      <c r="AL215" s="141"/>
      <c r="AM215" s="141"/>
      <c r="AN215" s="142"/>
      <c r="AO215" s="141"/>
      <c r="AP215" s="141"/>
      <c r="AQ215" s="143"/>
      <c r="AR215" s="141"/>
      <c r="AS215" s="141"/>
      <c r="AT215" s="141"/>
      <c r="AU215" s="143"/>
      <c r="AV215" s="141"/>
      <c r="AW215" s="141"/>
      <c r="AX215" s="141"/>
      <c r="AY215" s="141"/>
      <c r="AZ215" s="141"/>
      <c r="BA215" s="141"/>
      <c r="BB215" s="141"/>
      <c r="BC215" s="143"/>
      <c r="BD215" s="143"/>
      <c r="BE215" s="143"/>
      <c r="BF215" s="142"/>
      <c r="BG215" s="143"/>
      <c r="BH215" s="141"/>
      <c r="BI215" s="142"/>
      <c r="BJ215" s="142"/>
      <c r="BK215" s="116"/>
      <c r="BL215" s="116"/>
      <c r="BM215" s="116"/>
      <c r="BN215" s="116"/>
      <c r="BO215" s="116"/>
      <c r="BP215" s="116"/>
      <c r="BQ215" s="116"/>
      <c r="BR215" s="116"/>
      <c r="BS215" s="116"/>
      <c r="BT215" s="116"/>
      <c r="BU215" s="116"/>
      <c r="BV215" s="116"/>
      <c r="BW215" s="116"/>
      <c r="BX215" s="116"/>
      <c r="BY215" s="116"/>
      <c r="BZ215" s="116"/>
      <c r="CA215" s="116"/>
      <c r="CB215" s="116"/>
      <c r="CC215" s="116"/>
      <c r="CD215" s="116"/>
    </row>
    <row r="216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2"/>
      <c r="R216" s="142"/>
      <c r="S216" s="121"/>
      <c r="T216" s="141"/>
      <c r="U216" s="141"/>
      <c r="V216" s="141"/>
      <c r="W216" s="141"/>
      <c r="X216" s="141"/>
      <c r="Y216" s="141"/>
      <c r="Z216" s="143"/>
      <c r="AA216" s="141"/>
      <c r="AB216" s="143"/>
      <c r="AC216" s="143"/>
      <c r="AD216" s="141"/>
      <c r="AE216" s="143"/>
      <c r="AF216" s="141"/>
      <c r="AG216" s="141"/>
      <c r="AH216" s="141"/>
      <c r="AI216" s="141"/>
      <c r="AJ216" s="141"/>
      <c r="AK216" s="141"/>
      <c r="AL216" s="141"/>
      <c r="AM216" s="141"/>
      <c r="AN216" s="142"/>
      <c r="AO216" s="141"/>
      <c r="AP216" s="141"/>
      <c r="AQ216" s="143"/>
      <c r="AR216" s="141"/>
      <c r="AS216" s="141"/>
      <c r="AT216" s="141"/>
      <c r="AU216" s="143"/>
      <c r="AV216" s="141"/>
      <c r="AW216" s="141"/>
      <c r="AX216" s="141"/>
      <c r="AY216" s="141"/>
      <c r="AZ216" s="141"/>
      <c r="BA216" s="141"/>
      <c r="BB216" s="141"/>
      <c r="BC216" s="143"/>
      <c r="BD216" s="143"/>
      <c r="BE216" s="143"/>
      <c r="BF216" s="142"/>
      <c r="BG216" s="143"/>
      <c r="BH216" s="141"/>
      <c r="BI216" s="142"/>
      <c r="BJ216" s="142"/>
      <c r="BK216" s="116"/>
      <c r="BL216" s="116"/>
      <c r="BM216" s="116"/>
      <c r="BN216" s="116"/>
      <c r="BO216" s="116"/>
      <c r="BP216" s="116"/>
      <c r="BQ216" s="116"/>
      <c r="BR216" s="116"/>
      <c r="BS216" s="116"/>
      <c r="BT216" s="116"/>
      <c r="BU216" s="116"/>
      <c r="BV216" s="116"/>
      <c r="BW216" s="116"/>
      <c r="BX216" s="116"/>
      <c r="BY216" s="116"/>
      <c r="BZ216" s="116"/>
      <c r="CA216" s="116"/>
      <c r="CB216" s="116"/>
      <c r="CC216" s="116"/>
      <c r="CD216" s="116"/>
    </row>
    <row r="217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2"/>
      <c r="R217" s="142"/>
      <c r="S217" s="121"/>
      <c r="T217" s="141"/>
      <c r="U217" s="141"/>
      <c r="V217" s="141"/>
      <c r="W217" s="141"/>
      <c r="X217" s="141"/>
      <c r="Y217" s="141"/>
      <c r="Z217" s="143"/>
      <c r="AA217" s="141"/>
      <c r="AB217" s="143"/>
      <c r="AC217" s="143"/>
      <c r="AD217" s="141"/>
      <c r="AE217" s="143"/>
      <c r="AF217" s="141"/>
      <c r="AG217" s="141"/>
      <c r="AH217" s="141"/>
      <c r="AI217" s="141"/>
      <c r="AJ217" s="141"/>
      <c r="AK217" s="141"/>
      <c r="AL217" s="141"/>
      <c r="AM217" s="141"/>
      <c r="AN217" s="142"/>
      <c r="AO217" s="141"/>
      <c r="AP217" s="141"/>
      <c r="AQ217" s="143"/>
      <c r="AR217" s="141"/>
      <c r="AS217" s="141"/>
      <c r="AT217" s="141"/>
      <c r="AU217" s="143"/>
      <c r="AV217" s="141"/>
      <c r="AW217" s="141"/>
      <c r="AX217" s="141"/>
      <c r="AY217" s="141"/>
      <c r="AZ217" s="141"/>
      <c r="BA217" s="141"/>
      <c r="BB217" s="141"/>
      <c r="BC217" s="143"/>
      <c r="BD217" s="143"/>
      <c r="BE217" s="143"/>
      <c r="BF217" s="142"/>
      <c r="BG217" s="143"/>
      <c r="BH217" s="141"/>
      <c r="BI217" s="142"/>
      <c r="BJ217" s="142"/>
      <c r="BK217" s="116"/>
      <c r="BL217" s="116"/>
      <c r="BM217" s="116"/>
      <c r="BN217" s="116"/>
      <c r="BO217" s="116"/>
      <c r="BP217" s="116"/>
      <c r="BQ217" s="116"/>
      <c r="BR217" s="116"/>
      <c r="BS217" s="116"/>
      <c r="BT217" s="116"/>
      <c r="BU217" s="116"/>
      <c r="BV217" s="116"/>
      <c r="BW217" s="116"/>
      <c r="BX217" s="116"/>
      <c r="BY217" s="116"/>
      <c r="BZ217" s="116"/>
      <c r="CA217" s="116"/>
      <c r="CB217" s="116"/>
      <c r="CC217" s="116"/>
      <c r="CD217" s="116"/>
    </row>
    <row r="218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2"/>
      <c r="R218" s="142"/>
      <c r="S218" s="121"/>
      <c r="T218" s="141"/>
      <c r="U218" s="141"/>
      <c r="V218" s="141"/>
      <c r="W218" s="141"/>
      <c r="X218" s="141"/>
      <c r="Y218" s="141"/>
      <c r="Z218" s="143"/>
      <c r="AA218" s="141"/>
      <c r="AB218" s="143"/>
      <c r="AC218" s="143"/>
      <c r="AD218" s="141"/>
      <c r="AE218" s="143"/>
      <c r="AF218" s="141"/>
      <c r="AG218" s="141"/>
      <c r="AH218" s="141"/>
      <c r="AI218" s="141"/>
      <c r="AJ218" s="141"/>
      <c r="AK218" s="141"/>
      <c r="AL218" s="141"/>
      <c r="AM218" s="141"/>
      <c r="AN218" s="142"/>
      <c r="AO218" s="141"/>
      <c r="AP218" s="141"/>
      <c r="AQ218" s="143"/>
      <c r="AR218" s="141"/>
      <c r="AS218" s="141"/>
      <c r="AT218" s="141"/>
      <c r="AU218" s="143"/>
      <c r="AV218" s="141"/>
      <c r="AW218" s="141"/>
      <c r="AX218" s="141"/>
      <c r="AY218" s="141"/>
      <c r="AZ218" s="141"/>
      <c r="BA218" s="141"/>
      <c r="BB218" s="141"/>
      <c r="BC218" s="143"/>
      <c r="BD218" s="143"/>
      <c r="BE218" s="143"/>
      <c r="BF218" s="142"/>
      <c r="BG218" s="143"/>
      <c r="BH218" s="141"/>
      <c r="BI218" s="142"/>
      <c r="BJ218" s="142"/>
      <c r="BK218" s="116"/>
      <c r="BL218" s="116"/>
      <c r="BM218" s="116"/>
      <c r="BN218" s="116"/>
      <c r="BO218" s="116"/>
      <c r="BP218" s="116"/>
      <c r="BQ218" s="116"/>
      <c r="BR218" s="116"/>
      <c r="BS218" s="116"/>
      <c r="BT218" s="116"/>
      <c r="BU218" s="116"/>
      <c r="BV218" s="116"/>
      <c r="BW218" s="116"/>
      <c r="BX218" s="116"/>
      <c r="BY218" s="116"/>
      <c r="BZ218" s="116"/>
      <c r="CA218" s="116"/>
      <c r="CB218" s="116"/>
      <c r="CC218" s="116"/>
      <c r="CD218" s="116"/>
    </row>
    <row r="219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2"/>
      <c r="R219" s="142"/>
      <c r="S219" s="121"/>
      <c r="T219" s="141"/>
      <c r="U219" s="141"/>
      <c r="V219" s="141"/>
      <c r="W219" s="141"/>
      <c r="X219" s="141"/>
      <c r="Y219" s="141"/>
      <c r="Z219" s="143"/>
      <c r="AA219" s="141"/>
      <c r="AB219" s="143"/>
      <c r="AC219" s="143"/>
      <c r="AD219" s="141"/>
      <c r="AE219" s="143"/>
      <c r="AF219" s="141"/>
      <c r="AG219" s="141"/>
      <c r="AH219" s="141"/>
      <c r="AI219" s="141"/>
      <c r="AJ219" s="141"/>
      <c r="AK219" s="141"/>
      <c r="AL219" s="141"/>
      <c r="AM219" s="141"/>
      <c r="AN219" s="142"/>
      <c r="AO219" s="141"/>
      <c r="AP219" s="141"/>
      <c r="AQ219" s="143"/>
      <c r="AR219" s="141"/>
      <c r="AS219" s="141"/>
      <c r="AT219" s="141"/>
      <c r="AU219" s="143"/>
      <c r="AV219" s="141"/>
      <c r="AW219" s="141"/>
      <c r="AX219" s="141"/>
      <c r="AY219" s="141"/>
      <c r="AZ219" s="141"/>
      <c r="BA219" s="141"/>
      <c r="BB219" s="141"/>
      <c r="BC219" s="143"/>
      <c r="BD219" s="143"/>
      <c r="BE219" s="143"/>
      <c r="BF219" s="142"/>
      <c r="BG219" s="143"/>
      <c r="BH219" s="141"/>
      <c r="BI219" s="142"/>
      <c r="BJ219" s="142"/>
      <c r="BK219" s="116"/>
      <c r="BL219" s="116"/>
      <c r="BM219" s="116"/>
      <c r="BN219" s="116"/>
      <c r="BO219" s="116"/>
      <c r="BP219" s="116"/>
      <c r="BQ219" s="116"/>
      <c r="BR219" s="116"/>
      <c r="BS219" s="116"/>
      <c r="BT219" s="116"/>
      <c r="BU219" s="116"/>
      <c r="BV219" s="116"/>
      <c r="BW219" s="116"/>
      <c r="BX219" s="116"/>
      <c r="BY219" s="116"/>
      <c r="BZ219" s="116"/>
      <c r="CA219" s="116"/>
      <c r="CB219" s="116"/>
      <c r="CC219" s="116"/>
      <c r="CD219" s="116"/>
    </row>
    <row r="220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  <c r="AH220" s="129"/>
      <c r="AI220" s="129"/>
      <c r="AJ220" s="129"/>
      <c r="AK220" s="129"/>
      <c r="AL220" s="129"/>
      <c r="AM220" s="129"/>
      <c r="AN220" s="144"/>
      <c r="AO220" s="129"/>
      <c r="AP220" s="129"/>
      <c r="AQ220" s="129"/>
      <c r="AR220" s="129"/>
      <c r="AS220" s="129"/>
      <c r="AT220" s="129"/>
      <c r="AU220" s="129"/>
      <c r="AV220" s="129"/>
      <c r="AW220" s="129"/>
      <c r="AX220" s="129"/>
      <c r="AY220" s="129"/>
      <c r="AZ220" s="129"/>
      <c r="BA220" s="129"/>
      <c r="BB220" s="129"/>
      <c r="BC220" s="129"/>
      <c r="BD220" s="129"/>
      <c r="BE220" s="129"/>
      <c r="BF220" s="144"/>
      <c r="BG220" s="129"/>
      <c r="BH220" s="129"/>
      <c r="BI220" s="129"/>
      <c r="BJ220" s="129"/>
      <c r="BK220" s="129"/>
      <c r="BL220" s="129"/>
      <c r="BM220" s="129"/>
      <c r="BN220" s="129"/>
      <c r="BO220" s="129"/>
      <c r="BP220" s="129"/>
      <c r="BQ220" s="129"/>
      <c r="BR220" s="129"/>
      <c r="BS220" s="129"/>
      <c r="BT220" s="129"/>
      <c r="BU220" s="129"/>
      <c r="BV220" s="129"/>
      <c r="BW220" s="129"/>
      <c r="BX220" s="129"/>
      <c r="BY220" s="129"/>
      <c r="BZ220" s="129"/>
      <c r="CA220" s="129"/>
      <c r="CB220" s="129"/>
      <c r="CC220" s="129"/>
      <c r="CD220" s="129"/>
    </row>
    <row r="22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  <c r="AH221" s="129"/>
      <c r="AI221" s="129"/>
      <c r="AJ221" s="129"/>
      <c r="AK221" s="129"/>
      <c r="AL221" s="129"/>
      <c r="AM221" s="129"/>
      <c r="AN221" s="144"/>
      <c r="AO221" s="129"/>
      <c r="AP221" s="129"/>
      <c r="AQ221" s="129"/>
      <c r="AR221" s="129"/>
      <c r="AS221" s="129"/>
      <c r="AT221" s="129"/>
      <c r="AU221" s="129"/>
      <c r="AV221" s="129"/>
      <c r="AW221" s="129"/>
      <c r="AX221" s="129"/>
      <c r="AY221" s="129"/>
      <c r="AZ221" s="129"/>
      <c r="BA221" s="129"/>
      <c r="BB221" s="129"/>
      <c r="BC221" s="129"/>
      <c r="BD221" s="129"/>
      <c r="BE221" s="129"/>
      <c r="BF221" s="144"/>
      <c r="BG221" s="129"/>
      <c r="BH221" s="129"/>
      <c r="BI221" s="129"/>
      <c r="BJ221" s="129"/>
      <c r="BK221" s="129"/>
      <c r="BL221" s="129"/>
      <c r="BM221" s="129"/>
      <c r="BN221" s="129"/>
      <c r="BO221" s="129"/>
      <c r="BP221" s="129"/>
      <c r="BQ221" s="129"/>
      <c r="BR221" s="129"/>
      <c r="BS221" s="129"/>
      <c r="BT221" s="129"/>
      <c r="BU221" s="129"/>
      <c r="BV221" s="129"/>
      <c r="BW221" s="129"/>
      <c r="BX221" s="129"/>
      <c r="BY221" s="129"/>
      <c r="BZ221" s="129"/>
      <c r="CA221" s="129"/>
      <c r="CB221" s="129"/>
      <c r="CC221" s="129"/>
      <c r="CD221" s="129"/>
    </row>
    <row r="22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  <c r="AH222" s="129"/>
      <c r="AI222" s="129"/>
      <c r="AJ222" s="129"/>
      <c r="AK222" s="129"/>
      <c r="AL222" s="129"/>
      <c r="AM222" s="129"/>
      <c r="AN222" s="144"/>
      <c r="AO222" s="129"/>
      <c r="AP222" s="129"/>
      <c r="AQ222" s="129"/>
      <c r="AR222" s="129"/>
      <c r="AS222" s="129"/>
      <c r="AT222" s="129"/>
      <c r="AU222" s="129"/>
      <c r="AV222" s="129"/>
      <c r="AW222" s="129"/>
      <c r="AX222" s="129"/>
      <c r="AY222" s="129"/>
      <c r="AZ222" s="129"/>
      <c r="BA222" s="129"/>
      <c r="BB222" s="129"/>
      <c r="BC222" s="129"/>
      <c r="BD222" s="129"/>
      <c r="BE222" s="129"/>
      <c r="BF222" s="144"/>
      <c r="BG222" s="129"/>
      <c r="BH222" s="129"/>
      <c r="BI222" s="129"/>
      <c r="BJ222" s="129"/>
      <c r="BK222" s="129"/>
      <c r="BL222" s="129"/>
      <c r="BM222" s="129"/>
      <c r="BN222" s="129"/>
      <c r="BO222" s="129"/>
      <c r="BP222" s="129"/>
      <c r="BQ222" s="129"/>
      <c r="BR222" s="129"/>
      <c r="BS222" s="129"/>
      <c r="BT222" s="129"/>
      <c r="BU222" s="129"/>
      <c r="BV222" s="129"/>
      <c r="BW222" s="129"/>
      <c r="BX222" s="129"/>
      <c r="BY222" s="129"/>
      <c r="BZ222" s="129"/>
      <c r="CA222" s="129"/>
      <c r="CB222" s="129"/>
      <c r="CC222" s="129"/>
      <c r="CD222" s="129"/>
    </row>
    <row r="22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  <c r="AH223" s="129"/>
      <c r="AI223" s="129"/>
      <c r="AJ223" s="129"/>
      <c r="AK223" s="129"/>
      <c r="AL223" s="129"/>
      <c r="AM223" s="129"/>
      <c r="AN223" s="144"/>
      <c r="AO223" s="129"/>
      <c r="AP223" s="129"/>
      <c r="AQ223" s="129"/>
      <c r="AR223" s="129"/>
      <c r="AS223" s="129"/>
      <c r="AT223" s="129"/>
      <c r="AU223" s="129"/>
      <c r="AV223" s="129"/>
      <c r="AW223" s="129"/>
      <c r="AX223" s="129"/>
      <c r="AY223" s="129"/>
      <c r="AZ223" s="129"/>
      <c r="BA223" s="129"/>
      <c r="BB223" s="129"/>
      <c r="BC223" s="129"/>
      <c r="BD223" s="129"/>
      <c r="BE223" s="129"/>
      <c r="BF223" s="144"/>
      <c r="BG223" s="129"/>
      <c r="BH223" s="129"/>
      <c r="BI223" s="129"/>
      <c r="BJ223" s="129"/>
      <c r="BK223" s="129"/>
      <c r="BL223" s="129"/>
      <c r="BM223" s="129"/>
      <c r="BN223" s="129"/>
      <c r="BO223" s="129"/>
      <c r="BP223" s="129"/>
      <c r="BQ223" s="129"/>
      <c r="BR223" s="129"/>
      <c r="BS223" s="129"/>
      <c r="BT223" s="129"/>
      <c r="BU223" s="129"/>
      <c r="BV223" s="129"/>
      <c r="BW223" s="129"/>
      <c r="BX223" s="129"/>
      <c r="BY223" s="129"/>
      <c r="BZ223" s="129"/>
      <c r="CA223" s="129"/>
      <c r="CB223" s="129"/>
      <c r="CC223" s="129"/>
      <c r="CD223" s="129"/>
    </row>
    <row r="224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  <c r="AH224" s="129"/>
      <c r="AI224" s="129"/>
      <c r="AJ224" s="129"/>
      <c r="AK224" s="129"/>
      <c r="AL224" s="129"/>
      <c r="AM224" s="129"/>
      <c r="AN224" s="144"/>
      <c r="AO224" s="129"/>
      <c r="AP224" s="129"/>
      <c r="AQ224" s="129"/>
      <c r="AR224" s="129"/>
      <c r="AS224" s="129"/>
      <c r="AT224" s="129"/>
      <c r="AU224" s="129"/>
      <c r="AV224" s="129"/>
      <c r="AW224" s="129"/>
      <c r="AX224" s="129"/>
      <c r="AY224" s="129"/>
      <c r="AZ224" s="129"/>
      <c r="BA224" s="129"/>
      <c r="BB224" s="129"/>
      <c r="BC224" s="129"/>
      <c r="BD224" s="129"/>
      <c r="BE224" s="129"/>
      <c r="BF224" s="144"/>
      <c r="BG224" s="129"/>
      <c r="BH224" s="129"/>
      <c r="BI224" s="129"/>
      <c r="BJ224" s="129"/>
      <c r="BK224" s="129"/>
      <c r="BL224" s="129"/>
      <c r="BM224" s="129"/>
      <c r="BN224" s="129"/>
      <c r="BO224" s="129"/>
      <c r="BP224" s="129"/>
      <c r="BQ224" s="129"/>
      <c r="BR224" s="129"/>
      <c r="BS224" s="129"/>
      <c r="BT224" s="129"/>
      <c r="BU224" s="129"/>
      <c r="BV224" s="129"/>
      <c r="BW224" s="129"/>
      <c r="BX224" s="129"/>
      <c r="BY224" s="129"/>
      <c r="BZ224" s="129"/>
      <c r="CA224" s="129"/>
      <c r="CB224" s="129"/>
      <c r="CC224" s="129"/>
      <c r="CD224" s="129"/>
    </row>
    <row r="225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  <c r="AH225" s="129"/>
      <c r="AI225" s="129"/>
      <c r="AJ225" s="129"/>
      <c r="AK225" s="129"/>
      <c r="AL225" s="129"/>
      <c r="AM225" s="129"/>
      <c r="AN225" s="144"/>
      <c r="AO225" s="129"/>
      <c r="AP225" s="129"/>
      <c r="AQ225" s="129"/>
      <c r="AR225" s="129"/>
      <c r="AS225" s="129"/>
      <c r="AT225" s="129"/>
      <c r="AU225" s="129"/>
      <c r="AV225" s="129"/>
      <c r="AW225" s="129"/>
      <c r="AX225" s="129"/>
      <c r="AY225" s="129"/>
      <c r="AZ225" s="129"/>
      <c r="BA225" s="129"/>
      <c r="BB225" s="129"/>
      <c r="BC225" s="129"/>
      <c r="BD225" s="129"/>
      <c r="BE225" s="129"/>
      <c r="BF225" s="144"/>
      <c r="BG225" s="129"/>
      <c r="BH225" s="129"/>
      <c r="BI225" s="129"/>
      <c r="BJ225" s="129"/>
      <c r="BK225" s="129"/>
      <c r="BL225" s="129"/>
      <c r="BM225" s="129"/>
      <c r="BN225" s="129"/>
      <c r="BO225" s="129"/>
      <c r="BP225" s="129"/>
      <c r="BQ225" s="129"/>
      <c r="BR225" s="129"/>
      <c r="BS225" s="129"/>
      <c r="BT225" s="129"/>
      <c r="BU225" s="129"/>
      <c r="BV225" s="129"/>
      <c r="BW225" s="129"/>
      <c r="BX225" s="129"/>
      <c r="BY225" s="129"/>
      <c r="BZ225" s="129"/>
      <c r="CA225" s="129"/>
      <c r="CB225" s="129"/>
      <c r="CC225" s="129"/>
      <c r="CD225" s="129"/>
    </row>
    <row r="226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  <c r="AH226" s="129"/>
      <c r="AI226" s="129"/>
      <c r="AJ226" s="129"/>
      <c r="AK226" s="129"/>
      <c r="AL226" s="129"/>
      <c r="AM226" s="129"/>
      <c r="AN226" s="144"/>
      <c r="AO226" s="129"/>
      <c r="AP226" s="129"/>
      <c r="AQ226" s="129"/>
      <c r="AR226" s="129"/>
      <c r="AS226" s="129"/>
      <c r="AT226" s="129"/>
      <c r="AU226" s="129"/>
      <c r="AV226" s="129"/>
      <c r="AW226" s="129"/>
      <c r="AX226" s="129"/>
      <c r="AY226" s="129"/>
      <c r="AZ226" s="129"/>
      <c r="BA226" s="129"/>
      <c r="BB226" s="129"/>
      <c r="BC226" s="129"/>
      <c r="BD226" s="129"/>
      <c r="BE226" s="129"/>
      <c r="BF226" s="144"/>
      <c r="BG226" s="129"/>
      <c r="BH226" s="129"/>
      <c r="BI226" s="129"/>
      <c r="BJ226" s="129"/>
      <c r="BK226" s="129"/>
      <c r="BL226" s="129"/>
      <c r="BM226" s="129"/>
      <c r="BN226" s="129"/>
      <c r="BO226" s="129"/>
      <c r="BP226" s="129"/>
      <c r="BQ226" s="129"/>
      <c r="BR226" s="129"/>
      <c r="BS226" s="129"/>
      <c r="BT226" s="129"/>
      <c r="BU226" s="129"/>
      <c r="BV226" s="129"/>
      <c r="BW226" s="129"/>
      <c r="BX226" s="129"/>
      <c r="BY226" s="129"/>
      <c r="BZ226" s="129"/>
      <c r="CA226" s="129"/>
      <c r="CB226" s="129"/>
      <c r="CC226" s="129"/>
      <c r="CD226" s="129"/>
    </row>
    <row r="227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  <c r="AH227" s="129"/>
      <c r="AI227" s="129"/>
      <c r="AJ227" s="129"/>
      <c r="AK227" s="129"/>
      <c r="AL227" s="129"/>
      <c r="AM227" s="129"/>
      <c r="AN227" s="144"/>
      <c r="AO227" s="129"/>
      <c r="AP227" s="129"/>
      <c r="AQ227" s="129"/>
      <c r="AR227" s="129"/>
      <c r="AS227" s="129"/>
      <c r="AT227" s="129"/>
      <c r="AU227" s="129"/>
      <c r="AV227" s="129"/>
      <c r="AW227" s="129"/>
      <c r="AX227" s="129"/>
      <c r="AY227" s="129"/>
      <c r="AZ227" s="129"/>
      <c r="BA227" s="129"/>
      <c r="BB227" s="129"/>
      <c r="BC227" s="129"/>
      <c r="BD227" s="129"/>
      <c r="BE227" s="129"/>
      <c r="BF227" s="144"/>
      <c r="BG227" s="129"/>
      <c r="BH227" s="129"/>
      <c r="BI227" s="129"/>
      <c r="BJ227" s="129"/>
      <c r="BK227" s="129"/>
      <c r="BL227" s="129"/>
      <c r="BM227" s="129"/>
      <c r="BN227" s="129"/>
      <c r="BO227" s="129"/>
      <c r="BP227" s="129"/>
      <c r="BQ227" s="129"/>
      <c r="BR227" s="129"/>
      <c r="BS227" s="129"/>
      <c r="BT227" s="129"/>
      <c r="BU227" s="129"/>
      <c r="BV227" s="129"/>
      <c r="BW227" s="129"/>
      <c r="BX227" s="129"/>
      <c r="BY227" s="129"/>
      <c r="BZ227" s="129"/>
      <c r="CA227" s="129"/>
      <c r="CB227" s="129"/>
      <c r="CC227" s="129"/>
      <c r="CD227" s="129"/>
    </row>
    <row r="228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  <c r="AH228" s="129"/>
      <c r="AI228" s="129"/>
      <c r="AJ228" s="129"/>
      <c r="AK228" s="129"/>
      <c r="AL228" s="129"/>
      <c r="AM228" s="129"/>
      <c r="AN228" s="144"/>
      <c r="AO228" s="129"/>
      <c r="AP228" s="129"/>
      <c r="AQ228" s="129"/>
      <c r="AR228" s="129"/>
      <c r="AS228" s="129"/>
      <c r="AT228" s="129"/>
      <c r="AU228" s="129"/>
      <c r="AV228" s="129"/>
      <c r="AW228" s="129"/>
      <c r="AX228" s="129"/>
      <c r="AY228" s="129"/>
      <c r="AZ228" s="129"/>
      <c r="BA228" s="129"/>
      <c r="BB228" s="129"/>
      <c r="BC228" s="129"/>
      <c r="BD228" s="129"/>
      <c r="BE228" s="129"/>
      <c r="BF228" s="144"/>
      <c r="BG228" s="129"/>
      <c r="BH228" s="129"/>
      <c r="BI228" s="129"/>
      <c r="BJ228" s="129"/>
      <c r="BK228" s="129"/>
      <c r="BL228" s="129"/>
      <c r="BM228" s="129"/>
      <c r="BN228" s="129"/>
      <c r="BO228" s="129"/>
      <c r="BP228" s="129"/>
      <c r="BQ228" s="129"/>
      <c r="BR228" s="129"/>
      <c r="BS228" s="129"/>
      <c r="BT228" s="129"/>
      <c r="BU228" s="129"/>
      <c r="BV228" s="129"/>
      <c r="BW228" s="129"/>
      <c r="BX228" s="129"/>
      <c r="BY228" s="129"/>
      <c r="BZ228" s="129"/>
      <c r="CA228" s="129"/>
      <c r="CB228" s="129"/>
      <c r="CC228" s="129"/>
      <c r="CD228" s="129"/>
    </row>
    <row r="229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29"/>
      <c r="AM229" s="129"/>
      <c r="AN229" s="144"/>
      <c r="AO229" s="129"/>
      <c r="AP229" s="129"/>
      <c r="AQ229" s="129"/>
      <c r="AR229" s="129"/>
      <c r="AS229" s="129"/>
      <c r="AT229" s="129"/>
      <c r="AU229" s="129"/>
      <c r="AV229" s="129"/>
      <c r="AW229" s="129"/>
      <c r="AX229" s="129"/>
      <c r="AY229" s="129"/>
      <c r="AZ229" s="129"/>
      <c r="BA229" s="129"/>
      <c r="BB229" s="129"/>
      <c r="BC229" s="129"/>
      <c r="BD229" s="129"/>
      <c r="BE229" s="129"/>
      <c r="BF229" s="144"/>
      <c r="BG229" s="129"/>
      <c r="BH229" s="129"/>
      <c r="BI229" s="129"/>
      <c r="BJ229" s="129"/>
      <c r="BK229" s="129"/>
      <c r="BL229" s="129"/>
      <c r="BM229" s="129"/>
      <c r="BN229" s="129"/>
      <c r="BO229" s="129"/>
      <c r="BP229" s="129"/>
      <c r="BQ229" s="129"/>
      <c r="BR229" s="129"/>
      <c r="BS229" s="129"/>
      <c r="BT229" s="129"/>
      <c r="BU229" s="129"/>
      <c r="BV229" s="129"/>
      <c r="BW229" s="129"/>
      <c r="BX229" s="129"/>
      <c r="BY229" s="129"/>
      <c r="BZ229" s="129"/>
      <c r="CA229" s="129"/>
      <c r="CB229" s="129"/>
      <c r="CC229" s="129"/>
      <c r="CD229" s="129"/>
    </row>
    <row r="230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  <c r="AH230" s="129"/>
      <c r="AI230" s="129"/>
      <c r="AJ230" s="129"/>
      <c r="AK230" s="129"/>
      <c r="AL230" s="129"/>
      <c r="AM230" s="129"/>
      <c r="AN230" s="144"/>
      <c r="AO230" s="129"/>
      <c r="AP230" s="129"/>
      <c r="AQ230" s="129"/>
      <c r="AR230" s="129"/>
      <c r="AS230" s="129"/>
      <c r="AT230" s="129"/>
      <c r="AU230" s="129"/>
      <c r="AV230" s="129"/>
      <c r="AW230" s="129"/>
      <c r="AX230" s="129"/>
      <c r="AY230" s="129"/>
      <c r="AZ230" s="129"/>
      <c r="BA230" s="129"/>
      <c r="BB230" s="129"/>
      <c r="BC230" s="129"/>
      <c r="BD230" s="129"/>
      <c r="BE230" s="129"/>
      <c r="BF230" s="144"/>
      <c r="BG230" s="129"/>
      <c r="BH230" s="129"/>
      <c r="BI230" s="129"/>
      <c r="BJ230" s="129"/>
      <c r="BK230" s="129"/>
      <c r="BL230" s="129"/>
      <c r="BM230" s="129"/>
      <c r="BN230" s="129"/>
      <c r="BO230" s="129"/>
      <c r="BP230" s="129"/>
      <c r="BQ230" s="129"/>
      <c r="BR230" s="129"/>
      <c r="BS230" s="129"/>
      <c r="BT230" s="129"/>
      <c r="BU230" s="129"/>
      <c r="BV230" s="129"/>
      <c r="BW230" s="129"/>
      <c r="BX230" s="129"/>
      <c r="BY230" s="129"/>
      <c r="BZ230" s="129"/>
      <c r="CA230" s="129"/>
      <c r="CB230" s="129"/>
      <c r="CC230" s="129"/>
      <c r="CD230" s="129"/>
    </row>
    <row r="23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  <c r="AH231" s="129"/>
      <c r="AI231" s="129"/>
      <c r="AJ231" s="129"/>
      <c r="AK231" s="129"/>
      <c r="AL231" s="129"/>
      <c r="AM231" s="129"/>
      <c r="AN231" s="144"/>
      <c r="AO231" s="129"/>
      <c r="AP231" s="129"/>
      <c r="AQ231" s="129"/>
      <c r="AR231" s="129"/>
      <c r="AS231" s="129"/>
      <c r="AT231" s="129"/>
      <c r="AU231" s="129"/>
      <c r="AV231" s="129"/>
      <c r="AW231" s="129"/>
      <c r="AX231" s="129"/>
      <c r="AY231" s="129"/>
      <c r="AZ231" s="129"/>
      <c r="BA231" s="129"/>
      <c r="BB231" s="129"/>
      <c r="BC231" s="129"/>
      <c r="BD231" s="129"/>
      <c r="BE231" s="129"/>
      <c r="BF231" s="144"/>
      <c r="BG231" s="129"/>
      <c r="BH231" s="129"/>
      <c r="BI231" s="129"/>
      <c r="BJ231" s="129"/>
      <c r="BK231" s="129"/>
      <c r="BL231" s="129"/>
      <c r="BM231" s="129"/>
      <c r="BN231" s="129"/>
      <c r="BO231" s="129"/>
      <c r="BP231" s="129"/>
      <c r="BQ231" s="129"/>
      <c r="BR231" s="129"/>
      <c r="BS231" s="129"/>
      <c r="BT231" s="129"/>
      <c r="BU231" s="129"/>
      <c r="BV231" s="129"/>
      <c r="BW231" s="129"/>
      <c r="BX231" s="129"/>
      <c r="BY231" s="129"/>
      <c r="BZ231" s="129"/>
      <c r="CA231" s="129"/>
      <c r="CB231" s="129"/>
      <c r="CC231" s="129"/>
      <c r="CD231" s="129"/>
    </row>
    <row r="23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  <c r="AH232" s="129"/>
      <c r="AI232" s="129"/>
      <c r="AJ232" s="129"/>
      <c r="AK232" s="129"/>
      <c r="AL232" s="129"/>
      <c r="AM232" s="129"/>
      <c r="AN232" s="144"/>
      <c r="AO232" s="129"/>
      <c r="AP232" s="129"/>
      <c r="AQ232" s="129"/>
      <c r="AR232" s="129"/>
      <c r="AS232" s="129"/>
      <c r="AT232" s="129"/>
      <c r="AU232" s="129"/>
      <c r="AV232" s="129"/>
      <c r="AW232" s="129"/>
      <c r="AX232" s="129"/>
      <c r="AY232" s="129"/>
      <c r="AZ232" s="129"/>
      <c r="BA232" s="129"/>
      <c r="BB232" s="129"/>
      <c r="BC232" s="129"/>
      <c r="BD232" s="129"/>
      <c r="BE232" s="129"/>
      <c r="BF232" s="144"/>
      <c r="BG232" s="129"/>
      <c r="BH232" s="129"/>
      <c r="BI232" s="129"/>
      <c r="BJ232" s="129"/>
      <c r="BK232" s="129"/>
      <c r="BL232" s="129"/>
      <c r="BM232" s="129"/>
      <c r="BN232" s="129"/>
      <c r="BO232" s="129"/>
      <c r="BP232" s="129"/>
      <c r="BQ232" s="129"/>
      <c r="BR232" s="129"/>
      <c r="BS232" s="129"/>
      <c r="BT232" s="129"/>
      <c r="BU232" s="129"/>
      <c r="BV232" s="129"/>
      <c r="BW232" s="129"/>
      <c r="BX232" s="129"/>
      <c r="BY232" s="129"/>
      <c r="BZ232" s="129"/>
      <c r="CA232" s="129"/>
      <c r="CB232" s="129"/>
      <c r="CC232" s="129"/>
      <c r="CD232" s="129"/>
    </row>
    <row r="233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  <c r="AH233" s="129"/>
      <c r="AI233" s="129"/>
      <c r="AJ233" s="129"/>
      <c r="AK233" s="129"/>
      <c r="AL233" s="129"/>
      <c r="AM233" s="129"/>
      <c r="AN233" s="144"/>
      <c r="AO233" s="129"/>
      <c r="AP233" s="129"/>
      <c r="AQ233" s="129"/>
      <c r="AR233" s="129"/>
      <c r="AS233" s="129"/>
      <c r="AT233" s="129"/>
      <c r="AU233" s="129"/>
      <c r="AV233" s="129"/>
      <c r="AW233" s="129"/>
      <c r="AX233" s="129"/>
      <c r="AY233" s="129"/>
      <c r="AZ233" s="129"/>
      <c r="BA233" s="129"/>
      <c r="BB233" s="129"/>
      <c r="BC233" s="129"/>
      <c r="BD233" s="129"/>
      <c r="BE233" s="129"/>
      <c r="BF233" s="144"/>
      <c r="BG233" s="129"/>
      <c r="BH233" s="129"/>
      <c r="BI233" s="129"/>
      <c r="BJ233" s="129"/>
      <c r="BK233" s="129"/>
      <c r="BL233" s="129"/>
      <c r="BM233" s="129"/>
      <c r="BN233" s="129"/>
      <c r="BO233" s="129"/>
      <c r="BP233" s="129"/>
      <c r="BQ233" s="129"/>
      <c r="BR233" s="129"/>
      <c r="BS233" s="129"/>
      <c r="BT233" s="129"/>
      <c r="BU233" s="129"/>
      <c r="BV233" s="129"/>
      <c r="BW233" s="129"/>
      <c r="BX233" s="129"/>
      <c r="BY233" s="129"/>
      <c r="BZ233" s="129"/>
      <c r="CA233" s="129"/>
      <c r="CB233" s="129"/>
      <c r="CC233" s="129"/>
      <c r="CD233" s="129"/>
    </row>
    <row r="234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44"/>
      <c r="AO234" s="129"/>
      <c r="AP234" s="129"/>
      <c r="AQ234" s="129"/>
      <c r="AR234" s="129"/>
      <c r="AS234" s="129"/>
      <c r="AT234" s="129"/>
      <c r="AU234" s="129"/>
      <c r="AV234" s="129"/>
      <c r="AW234" s="129"/>
      <c r="AX234" s="129"/>
      <c r="AY234" s="129"/>
      <c r="AZ234" s="129"/>
      <c r="BA234" s="129"/>
      <c r="BB234" s="129"/>
      <c r="BC234" s="129"/>
      <c r="BD234" s="129"/>
      <c r="BE234" s="129"/>
      <c r="BF234" s="144"/>
      <c r="BG234" s="129"/>
      <c r="BH234" s="129"/>
      <c r="BI234" s="129"/>
      <c r="BJ234" s="129"/>
      <c r="BK234" s="129"/>
      <c r="BL234" s="129"/>
      <c r="BM234" s="129"/>
      <c r="BN234" s="129"/>
      <c r="BO234" s="129"/>
      <c r="BP234" s="129"/>
      <c r="BQ234" s="129"/>
      <c r="BR234" s="129"/>
      <c r="BS234" s="129"/>
      <c r="BT234" s="129"/>
      <c r="BU234" s="129"/>
      <c r="BV234" s="129"/>
      <c r="BW234" s="129"/>
      <c r="BX234" s="129"/>
      <c r="BY234" s="129"/>
      <c r="BZ234" s="129"/>
      <c r="CA234" s="129"/>
      <c r="CB234" s="129"/>
      <c r="CC234" s="129"/>
      <c r="CD234" s="129"/>
    </row>
    <row r="235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44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44"/>
      <c r="BG235" s="129"/>
      <c r="BH235" s="129"/>
      <c r="BI235" s="129"/>
      <c r="BJ235" s="129"/>
      <c r="BK235" s="129"/>
      <c r="BL235" s="129"/>
      <c r="BM235" s="129"/>
      <c r="BN235" s="129"/>
      <c r="BO235" s="129"/>
      <c r="BP235" s="129"/>
      <c r="BQ235" s="129"/>
      <c r="BR235" s="129"/>
      <c r="BS235" s="129"/>
      <c r="BT235" s="129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</row>
    <row r="236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129"/>
      <c r="AN236" s="144"/>
      <c r="AO236" s="129"/>
      <c r="AP236" s="129"/>
      <c r="AQ236" s="129"/>
      <c r="AR236" s="129"/>
      <c r="AS236" s="129"/>
      <c r="AT236" s="129"/>
      <c r="AU236" s="129"/>
      <c r="AV236" s="129"/>
      <c r="AW236" s="129"/>
      <c r="AX236" s="129"/>
      <c r="AY236" s="129"/>
      <c r="AZ236" s="129"/>
      <c r="BA236" s="129"/>
      <c r="BB236" s="129"/>
      <c r="BC236" s="129"/>
      <c r="BD236" s="129"/>
      <c r="BE236" s="129"/>
      <c r="BF236" s="144"/>
      <c r="BG236" s="129"/>
      <c r="BH236" s="129"/>
      <c r="BI236" s="129"/>
      <c r="BJ236" s="129"/>
      <c r="BK236" s="129"/>
      <c r="BL236" s="129"/>
      <c r="BM236" s="129"/>
      <c r="BN236" s="129"/>
      <c r="BO236" s="129"/>
      <c r="BP236" s="129"/>
      <c r="BQ236" s="129"/>
      <c r="BR236" s="129"/>
      <c r="BS236" s="129"/>
      <c r="BT236" s="129"/>
      <c r="BU236" s="129"/>
      <c r="BV236" s="129"/>
      <c r="BW236" s="129"/>
      <c r="BX236" s="129"/>
      <c r="BY236" s="129"/>
      <c r="BZ236" s="129"/>
      <c r="CA236" s="129"/>
      <c r="CB236" s="129"/>
      <c r="CC236" s="129"/>
      <c r="CD236" s="129"/>
    </row>
    <row r="237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29"/>
      <c r="AL237" s="129"/>
      <c r="AM237" s="129"/>
      <c r="AN237" s="144"/>
      <c r="AO237" s="129"/>
      <c r="AP237" s="129"/>
      <c r="AQ237" s="129"/>
      <c r="AR237" s="129"/>
      <c r="AS237" s="129"/>
      <c r="AT237" s="129"/>
      <c r="AU237" s="129"/>
      <c r="AV237" s="129"/>
      <c r="AW237" s="129"/>
      <c r="AX237" s="129"/>
      <c r="AY237" s="129"/>
      <c r="AZ237" s="129"/>
      <c r="BA237" s="129"/>
      <c r="BB237" s="129"/>
      <c r="BC237" s="129"/>
      <c r="BD237" s="129"/>
      <c r="BE237" s="129"/>
      <c r="BF237" s="144"/>
      <c r="BG237" s="129"/>
      <c r="BH237" s="129"/>
      <c r="BI237" s="129"/>
      <c r="BJ237" s="129"/>
      <c r="BK237" s="129"/>
      <c r="BL237" s="129"/>
      <c r="BM237" s="129"/>
      <c r="BN237" s="129"/>
      <c r="BO237" s="129"/>
      <c r="BP237" s="129"/>
      <c r="BQ237" s="129"/>
      <c r="BR237" s="129"/>
      <c r="BS237" s="129"/>
      <c r="BT237" s="129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</row>
    <row r="238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44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44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</row>
    <row r="239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44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44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</row>
    <row r="240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44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44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</row>
    <row r="24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44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44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</row>
    <row r="24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44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44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</row>
    <row r="24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44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44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</row>
    <row r="244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44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44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</row>
    <row r="245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44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44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</row>
    <row r="246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44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44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</row>
    <row r="247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44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44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</row>
    <row r="248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  <c r="AH248" s="129"/>
      <c r="AI248" s="129"/>
      <c r="AJ248" s="129"/>
      <c r="AK248" s="129"/>
      <c r="AL248" s="129"/>
      <c r="AM248" s="129"/>
      <c r="AN248" s="144"/>
      <c r="AO248" s="129"/>
      <c r="AP248" s="129"/>
      <c r="AQ248" s="129"/>
      <c r="AR248" s="129"/>
      <c r="AS248" s="129"/>
      <c r="AT248" s="129"/>
      <c r="AU248" s="129"/>
      <c r="AV248" s="129"/>
      <c r="AW248" s="129"/>
      <c r="AX248" s="129"/>
      <c r="AY248" s="129"/>
      <c r="AZ248" s="129"/>
      <c r="BA248" s="129"/>
      <c r="BB248" s="129"/>
      <c r="BC248" s="129"/>
      <c r="BD248" s="129"/>
      <c r="BE248" s="129"/>
      <c r="BF248" s="144"/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29"/>
      <c r="BT248" s="129"/>
      <c r="BU248" s="129"/>
      <c r="BV248" s="129"/>
      <c r="BW248" s="129"/>
      <c r="BX248" s="129"/>
      <c r="BY248" s="129"/>
      <c r="BZ248" s="129"/>
      <c r="CA248" s="129"/>
      <c r="CB248" s="129"/>
      <c r="CC248" s="129"/>
      <c r="CD248" s="129"/>
    </row>
    <row r="249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  <c r="AH249" s="129"/>
      <c r="AI249" s="129"/>
      <c r="AJ249" s="129"/>
      <c r="AK249" s="129"/>
      <c r="AL249" s="129"/>
      <c r="AM249" s="129"/>
      <c r="AN249" s="144"/>
      <c r="AO249" s="129"/>
      <c r="AP249" s="129"/>
      <c r="AQ249" s="129"/>
      <c r="AR249" s="129"/>
      <c r="AS249" s="129"/>
      <c r="AT249" s="129"/>
      <c r="AU249" s="129"/>
      <c r="AV249" s="129"/>
      <c r="AW249" s="129"/>
      <c r="AX249" s="129"/>
      <c r="AY249" s="129"/>
      <c r="AZ249" s="129"/>
      <c r="BA249" s="129"/>
      <c r="BB249" s="129"/>
      <c r="BC249" s="129"/>
      <c r="BD249" s="129"/>
      <c r="BE249" s="129"/>
      <c r="BF249" s="144"/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29"/>
      <c r="BT249" s="129"/>
      <c r="BU249" s="129"/>
      <c r="BV249" s="129"/>
      <c r="BW249" s="129"/>
      <c r="BX249" s="129"/>
      <c r="BY249" s="129"/>
      <c r="BZ249" s="129"/>
      <c r="CA249" s="129"/>
      <c r="CB249" s="129"/>
      <c r="CC249" s="129"/>
      <c r="CD249" s="129"/>
    </row>
    <row r="250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29"/>
      <c r="AM250" s="129"/>
      <c r="AN250" s="144"/>
      <c r="AO250" s="129"/>
      <c r="AP250" s="129"/>
      <c r="AQ250" s="129"/>
      <c r="AR250" s="129"/>
      <c r="AS250" s="129"/>
      <c r="AT250" s="129"/>
      <c r="AU250" s="129"/>
      <c r="AV250" s="129"/>
      <c r="AW250" s="129"/>
      <c r="AX250" s="129"/>
      <c r="AY250" s="129"/>
      <c r="AZ250" s="129"/>
      <c r="BA250" s="129"/>
      <c r="BB250" s="129"/>
      <c r="BC250" s="129"/>
      <c r="BD250" s="129"/>
      <c r="BE250" s="129"/>
      <c r="BF250" s="144"/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29"/>
      <c r="BT250" s="129"/>
      <c r="BU250" s="129"/>
      <c r="BV250" s="129"/>
      <c r="BW250" s="129"/>
      <c r="BX250" s="129"/>
      <c r="BY250" s="129"/>
      <c r="BZ250" s="129"/>
      <c r="CA250" s="129"/>
      <c r="CB250" s="129"/>
      <c r="CC250" s="129"/>
      <c r="CD250" s="129"/>
    </row>
    <row r="25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  <c r="AH251" s="129"/>
      <c r="AI251" s="129"/>
      <c r="AJ251" s="129"/>
      <c r="AK251" s="129"/>
      <c r="AL251" s="129"/>
      <c r="AM251" s="129"/>
      <c r="AN251" s="144"/>
      <c r="AO251" s="129"/>
      <c r="AP251" s="129"/>
      <c r="AQ251" s="129"/>
      <c r="AR251" s="129"/>
      <c r="AS251" s="129"/>
      <c r="AT251" s="129"/>
      <c r="AU251" s="129"/>
      <c r="AV251" s="129"/>
      <c r="AW251" s="129"/>
      <c r="AX251" s="129"/>
      <c r="AY251" s="129"/>
      <c r="AZ251" s="129"/>
      <c r="BA251" s="129"/>
      <c r="BB251" s="129"/>
      <c r="BC251" s="129"/>
      <c r="BD251" s="129"/>
      <c r="BE251" s="129"/>
      <c r="BF251" s="144"/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129"/>
      <c r="BR251" s="129"/>
      <c r="BS251" s="129"/>
      <c r="BT251" s="129"/>
      <c r="BU251" s="129"/>
      <c r="BV251" s="129"/>
      <c r="BW251" s="129"/>
      <c r="BX251" s="129"/>
      <c r="BY251" s="129"/>
      <c r="BZ251" s="129"/>
      <c r="CA251" s="129"/>
      <c r="CB251" s="129"/>
      <c r="CC251" s="129"/>
      <c r="CD251" s="129"/>
    </row>
    <row r="25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129"/>
      <c r="AN252" s="144"/>
      <c r="AO252" s="129"/>
      <c r="AP252" s="129"/>
      <c r="AQ252" s="129"/>
      <c r="AR252" s="129"/>
      <c r="AS252" s="129"/>
      <c r="AT252" s="129"/>
      <c r="AU252" s="129"/>
      <c r="AV252" s="129"/>
      <c r="AW252" s="129"/>
      <c r="AX252" s="129"/>
      <c r="AY252" s="129"/>
      <c r="AZ252" s="129"/>
      <c r="BA252" s="129"/>
      <c r="BB252" s="129"/>
      <c r="BC252" s="129"/>
      <c r="BD252" s="129"/>
      <c r="BE252" s="129"/>
      <c r="BF252" s="144"/>
      <c r="BG252" s="129"/>
      <c r="BH252" s="129"/>
      <c r="BI252" s="129"/>
      <c r="BJ252" s="129"/>
      <c r="BK252" s="129"/>
      <c r="BL252" s="129"/>
      <c r="BM252" s="129"/>
      <c r="BN252" s="129"/>
      <c r="BO252" s="129"/>
      <c r="BP252" s="129"/>
      <c r="BQ252" s="129"/>
      <c r="BR252" s="129"/>
      <c r="BS252" s="129"/>
      <c r="BT252" s="129"/>
      <c r="BU252" s="129"/>
      <c r="BV252" s="129"/>
      <c r="BW252" s="129"/>
      <c r="BX252" s="129"/>
      <c r="BY252" s="129"/>
      <c r="BZ252" s="129"/>
      <c r="CA252" s="129"/>
      <c r="CB252" s="129"/>
      <c r="CC252" s="129"/>
      <c r="CD252" s="129"/>
    </row>
    <row r="25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129"/>
      <c r="AN253" s="144"/>
      <c r="AO253" s="129"/>
      <c r="AP253" s="129"/>
      <c r="AQ253" s="129"/>
      <c r="AR253" s="129"/>
      <c r="AS253" s="129"/>
      <c r="AT253" s="129"/>
      <c r="AU253" s="129"/>
      <c r="AV253" s="129"/>
      <c r="AW253" s="129"/>
      <c r="AX253" s="129"/>
      <c r="AY253" s="129"/>
      <c r="AZ253" s="129"/>
      <c r="BA253" s="129"/>
      <c r="BB253" s="129"/>
      <c r="BC253" s="129"/>
      <c r="BD253" s="129"/>
      <c r="BE253" s="129"/>
      <c r="BF253" s="144"/>
      <c r="BG253" s="129"/>
      <c r="BH253" s="129"/>
      <c r="BI253" s="129"/>
      <c r="BJ253" s="129"/>
      <c r="BK253" s="129"/>
      <c r="BL253" s="129"/>
      <c r="BM253" s="129"/>
      <c r="BN253" s="129"/>
      <c r="BO253" s="129"/>
      <c r="BP253" s="129"/>
      <c r="BQ253" s="129"/>
      <c r="BR253" s="129"/>
      <c r="BS253" s="129"/>
      <c r="BT253" s="129"/>
      <c r="BU253" s="129"/>
      <c r="BV253" s="129"/>
      <c r="BW253" s="129"/>
      <c r="BX253" s="129"/>
      <c r="BY253" s="129"/>
      <c r="BZ253" s="129"/>
      <c r="CA253" s="129"/>
      <c r="CB253" s="129"/>
      <c r="CC253" s="129"/>
      <c r="CD253" s="129"/>
    </row>
    <row r="254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29"/>
      <c r="AM254" s="129"/>
      <c r="AN254" s="144"/>
      <c r="AO254" s="129"/>
      <c r="AP254" s="129"/>
      <c r="AQ254" s="129"/>
      <c r="AR254" s="129"/>
      <c r="AS254" s="129"/>
      <c r="AT254" s="129"/>
      <c r="AU254" s="129"/>
      <c r="AV254" s="129"/>
      <c r="AW254" s="129"/>
      <c r="AX254" s="129"/>
      <c r="AY254" s="129"/>
      <c r="AZ254" s="129"/>
      <c r="BA254" s="129"/>
      <c r="BB254" s="129"/>
      <c r="BC254" s="129"/>
      <c r="BD254" s="129"/>
      <c r="BE254" s="129"/>
      <c r="BF254" s="144"/>
      <c r="BG254" s="129"/>
      <c r="BH254" s="129"/>
      <c r="BI254" s="129"/>
      <c r="BJ254" s="129"/>
      <c r="BK254" s="129"/>
      <c r="BL254" s="129"/>
      <c r="BM254" s="129"/>
      <c r="BN254" s="129"/>
      <c r="BO254" s="129"/>
      <c r="BP254" s="129"/>
      <c r="BQ254" s="129"/>
      <c r="BR254" s="129"/>
      <c r="BS254" s="129"/>
      <c r="BT254" s="129"/>
      <c r="BU254" s="129"/>
      <c r="BV254" s="129"/>
      <c r="BW254" s="129"/>
      <c r="BX254" s="129"/>
      <c r="BY254" s="129"/>
      <c r="BZ254" s="129"/>
      <c r="CA254" s="129"/>
      <c r="CB254" s="129"/>
      <c r="CC254" s="129"/>
      <c r="CD254" s="129"/>
    </row>
    <row r="255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29"/>
      <c r="AM255" s="129"/>
      <c r="AN255" s="144"/>
      <c r="AO255" s="129"/>
      <c r="AP255" s="129"/>
      <c r="AQ255" s="129"/>
      <c r="AR255" s="129"/>
      <c r="AS255" s="129"/>
      <c r="AT255" s="129"/>
      <c r="AU255" s="129"/>
      <c r="AV255" s="129"/>
      <c r="AW255" s="129"/>
      <c r="AX255" s="129"/>
      <c r="AY255" s="129"/>
      <c r="AZ255" s="129"/>
      <c r="BA255" s="129"/>
      <c r="BB255" s="129"/>
      <c r="BC255" s="129"/>
      <c r="BD255" s="129"/>
      <c r="BE255" s="129"/>
      <c r="BF255" s="144"/>
      <c r="BG255" s="129"/>
      <c r="BH255" s="129"/>
      <c r="BI255" s="129"/>
      <c r="BJ255" s="129"/>
      <c r="BK255" s="129"/>
      <c r="BL255" s="129"/>
      <c r="BM255" s="129"/>
      <c r="BN255" s="129"/>
      <c r="BO255" s="129"/>
      <c r="BP255" s="129"/>
      <c r="BQ255" s="129"/>
      <c r="BR255" s="129"/>
      <c r="BS255" s="129"/>
      <c r="BT255" s="129"/>
      <c r="BU255" s="129"/>
      <c r="BV255" s="129"/>
      <c r="BW255" s="129"/>
      <c r="BX255" s="129"/>
      <c r="BY255" s="129"/>
      <c r="BZ255" s="129"/>
      <c r="CA255" s="129"/>
      <c r="CB255" s="129"/>
      <c r="CC255" s="129"/>
      <c r="CD255" s="129"/>
    </row>
    <row r="256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29"/>
      <c r="AM256" s="129"/>
      <c r="AN256" s="144"/>
      <c r="AO256" s="129"/>
      <c r="AP256" s="129"/>
      <c r="AQ256" s="129"/>
      <c r="AR256" s="129"/>
      <c r="AS256" s="129"/>
      <c r="AT256" s="129"/>
      <c r="AU256" s="129"/>
      <c r="AV256" s="129"/>
      <c r="AW256" s="129"/>
      <c r="AX256" s="129"/>
      <c r="AY256" s="129"/>
      <c r="AZ256" s="129"/>
      <c r="BA256" s="129"/>
      <c r="BB256" s="129"/>
      <c r="BC256" s="129"/>
      <c r="BD256" s="129"/>
      <c r="BE256" s="129"/>
      <c r="BF256" s="144"/>
      <c r="BG256" s="129"/>
      <c r="BH256" s="129"/>
      <c r="BI256" s="129"/>
      <c r="BJ256" s="129"/>
      <c r="BK256" s="129"/>
      <c r="BL256" s="129"/>
      <c r="BM256" s="129"/>
      <c r="BN256" s="129"/>
      <c r="BO256" s="129"/>
      <c r="BP256" s="129"/>
      <c r="BQ256" s="129"/>
      <c r="BR256" s="129"/>
      <c r="BS256" s="129"/>
      <c r="BT256" s="129"/>
      <c r="BU256" s="129"/>
      <c r="BV256" s="129"/>
      <c r="BW256" s="129"/>
      <c r="BX256" s="129"/>
      <c r="BY256" s="129"/>
      <c r="BZ256" s="129"/>
      <c r="CA256" s="129"/>
      <c r="CB256" s="129"/>
      <c r="CC256" s="129"/>
      <c r="CD256" s="129"/>
    </row>
    <row r="257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129"/>
      <c r="AN257" s="144"/>
      <c r="AO257" s="129"/>
      <c r="AP257" s="129"/>
      <c r="AQ257" s="129"/>
      <c r="AR257" s="129"/>
      <c r="AS257" s="129"/>
      <c r="AT257" s="129"/>
      <c r="AU257" s="129"/>
      <c r="AV257" s="129"/>
      <c r="AW257" s="129"/>
      <c r="AX257" s="129"/>
      <c r="AY257" s="129"/>
      <c r="AZ257" s="129"/>
      <c r="BA257" s="129"/>
      <c r="BB257" s="129"/>
      <c r="BC257" s="129"/>
      <c r="BD257" s="129"/>
      <c r="BE257" s="129"/>
      <c r="BF257" s="144"/>
      <c r="BG257" s="129"/>
      <c r="BH257" s="129"/>
      <c r="BI257" s="129"/>
      <c r="BJ257" s="129"/>
      <c r="BK257" s="129"/>
      <c r="BL257" s="129"/>
      <c r="BM257" s="129"/>
      <c r="BN257" s="129"/>
      <c r="BO257" s="129"/>
      <c r="BP257" s="129"/>
      <c r="BQ257" s="129"/>
      <c r="BR257" s="129"/>
      <c r="BS257" s="129"/>
      <c r="BT257" s="129"/>
      <c r="BU257" s="129"/>
      <c r="BV257" s="129"/>
      <c r="BW257" s="129"/>
      <c r="BX257" s="129"/>
      <c r="BY257" s="129"/>
      <c r="BZ257" s="129"/>
      <c r="CA257" s="129"/>
      <c r="CB257" s="129"/>
      <c r="CC257" s="129"/>
      <c r="CD257" s="129"/>
    </row>
    <row r="258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29"/>
      <c r="AM258" s="129"/>
      <c r="AN258" s="144"/>
      <c r="AO258" s="129"/>
      <c r="AP258" s="129"/>
      <c r="AQ258" s="129"/>
      <c r="AR258" s="129"/>
      <c r="AS258" s="129"/>
      <c r="AT258" s="129"/>
      <c r="AU258" s="129"/>
      <c r="AV258" s="129"/>
      <c r="AW258" s="129"/>
      <c r="AX258" s="129"/>
      <c r="AY258" s="129"/>
      <c r="AZ258" s="129"/>
      <c r="BA258" s="129"/>
      <c r="BB258" s="129"/>
      <c r="BC258" s="129"/>
      <c r="BD258" s="129"/>
      <c r="BE258" s="129"/>
      <c r="BF258" s="144"/>
      <c r="BG258" s="129"/>
      <c r="BH258" s="129"/>
      <c r="BI258" s="129"/>
      <c r="BJ258" s="129"/>
      <c r="BK258" s="129"/>
      <c r="BL258" s="129"/>
      <c r="BM258" s="129"/>
      <c r="BN258" s="129"/>
      <c r="BO258" s="129"/>
      <c r="BP258" s="129"/>
      <c r="BQ258" s="129"/>
      <c r="BR258" s="129"/>
      <c r="BS258" s="129"/>
      <c r="BT258" s="129"/>
      <c r="BU258" s="129"/>
      <c r="BV258" s="129"/>
      <c r="BW258" s="129"/>
      <c r="BX258" s="129"/>
      <c r="BY258" s="129"/>
      <c r="BZ258" s="129"/>
      <c r="CA258" s="129"/>
      <c r="CB258" s="129"/>
      <c r="CC258" s="129"/>
      <c r="CD258" s="129"/>
    </row>
    <row r="259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  <c r="AN259" s="144"/>
      <c r="AO259" s="129"/>
      <c r="AP259" s="129"/>
      <c r="AQ259" s="129"/>
      <c r="AR259" s="129"/>
      <c r="AS259" s="129"/>
      <c r="AT259" s="129"/>
      <c r="AU259" s="129"/>
      <c r="AV259" s="129"/>
      <c r="AW259" s="129"/>
      <c r="AX259" s="129"/>
      <c r="AY259" s="129"/>
      <c r="AZ259" s="129"/>
      <c r="BA259" s="129"/>
      <c r="BB259" s="129"/>
      <c r="BC259" s="129"/>
      <c r="BD259" s="129"/>
      <c r="BE259" s="129"/>
      <c r="BF259" s="144"/>
      <c r="BG259" s="129"/>
      <c r="BH259" s="129"/>
      <c r="BI259" s="129"/>
      <c r="BJ259" s="129"/>
      <c r="BK259" s="129"/>
      <c r="BL259" s="129"/>
      <c r="BM259" s="129"/>
      <c r="BN259" s="129"/>
      <c r="BO259" s="129"/>
      <c r="BP259" s="129"/>
      <c r="BQ259" s="129"/>
      <c r="BR259" s="129"/>
      <c r="BS259" s="129"/>
      <c r="BT259" s="129"/>
      <c r="BU259" s="129"/>
      <c r="BV259" s="129"/>
      <c r="BW259" s="129"/>
      <c r="BX259" s="129"/>
      <c r="BY259" s="129"/>
      <c r="BZ259" s="129"/>
      <c r="CA259" s="129"/>
      <c r="CB259" s="129"/>
      <c r="CC259" s="129"/>
      <c r="CD259" s="129"/>
    </row>
    <row r="260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  <c r="AH260" s="129"/>
      <c r="AI260" s="129"/>
      <c r="AJ260" s="129"/>
      <c r="AK260" s="129"/>
      <c r="AL260" s="129"/>
      <c r="AM260" s="129"/>
      <c r="AN260" s="144"/>
      <c r="AO260" s="129"/>
      <c r="AP260" s="129"/>
      <c r="AQ260" s="129"/>
      <c r="AR260" s="129"/>
      <c r="AS260" s="129"/>
      <c r="AT260" s="129"/>
      <c r="AU260" s="129"/>
      <c r="AV260" s="129"/>
      <c r="AW260" s="129"/>
      <c r="AX260" s="129"/>
      <c r="AY260" s="129"/>
      <c r="AZ260" s="129"/>
      <c r="BA260" s="129"/>
      <c r="BB260" s="129"/>
      <c r="BC260" s="129"/>
      <c r="BD260" s="129"/>
      <c r="BE260" s="129"/>
      <c r="BF260" s="144"/>
      <c r="BG260" s="129"/>
      <c r="BH260" s="129"/>
      <c r="BI260" s="129"/>
      <c r="BJ260" s="129"/>
      <c r="BK260" s="129"/>
      <c r="BL260" s="129"/>
      <c r="BM260" s="129"/>
      <c r="BN260" s="129"/>
      <c r="BO260" s="129"/>
      <c r="BP260" s="129"/>
      <c r="BQ260" s="129"/>
      <c r="BR260" s="129"/>
      <c r="BS260" s="129"/>
      <c r="BT260" s="129"/>
      <c r="BU260" s="129"/>
      <c r="BV260" s="129"/>
      <c r="BW260" s="129"/>
      <c r="BX260" s="129"/>
      <c r="BY260" s="129"/>
      <c r="BZ260" s="129"/>
      <c r="CA260" s="129"/>
      <c r="CB260" s="129"/>
      <c r="CC260" s="129"/>
      <c r="CD260" s="129"/>
    </row>
    <row r="26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  <c r="AH261" s="129"/>
      <c r="AI261" s="129"/>
      <c r="AJ261" s="129"/>
      <c r="AK261" s="129"/>
      <c r="AL261" s="129"/>
      <c r="AM261" s="129"/>
      <c r="AN261" s="144"/>
      <c r="AO261" s="129"/>
      <c r="AP261" s="129"/>
      <c r="AQ261" s="129"/>
      <c r="AR261" s="129"/>
      <c r="AS261" s="129"/>
      <c r="AT261" s="129"/>
      <c r="AU261" s="129"/>
      <c r="AV261" s="129"/>
      <c r="AW261" s="129"/>
      <c r="AX261" s="129"/>
      <c r="AY261" s="129"/>
      <c r="AZ261" s="129"/>
      <c r="BA261" s="129"/>
      <c r="BB261" s="129"/>
      <c r="BC261" s="129"/>
      <c r="BD261" s="129"/>
      <c r="BE261" s="129"/>
      <c r="BF261" s="144"/>
      <c r="BG261" s="129"/>
      <c r="BH261" s="129"/>
      <c r="BI261" s="129"/>
      <c r="BJ261" s="129"/>
      <c r="BK261" s="129"/>
      <c r="BL261" s="129"/>
      <c r="BM261" s="129"/>
      <c r="BN261" s="129"/>
      <c r="BO261" s="129"/>
      <c r="BP261" s="129"/>
      <c r="BQ261" s="129"/>
      <c r="BR261" s="129"/>
      <c r="BS261" s="129"/>
      <c r="BT261" s="129"/>
      <c r="BU261" s="129"/>
      <c r="BV261" s="129"/>
      <c r="BW261" s="129"/>
      <c r="BX261" s="129"/>
      <c r="BY261" s="129"/>
      <c r="BZ261" s="129"/>
      <c r="CA261" s="129"/>
      <c r="CB261" s="129"/>
      <c r="CC261" s="129"/>
      <c r="CD261" s="129"/>
    </row>
    <row r="26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  <c r="AH262" s="129"/>
      <c r="AI262" s="129"/>
      <c r="AJ262" s="129"/>
      <c r="AK262" s="129"/>
      <c r="AL262" s="129"/>
      <c r="AM262" s="129"/>
      <c r="AN262" s="144"/>
      <c r="AO262" s="129"/>
      <c r="AP262" s="129"/>
      <c r="AQ262" s="129"/>
      <c r="AR262" s="129"/>
      <c r="AS262" s="129"/>
      <c r="AT262" s="129"/>
      <c r="AU262" s="129"/>
      <c r="AV262" s="129"/>
      <c r="AW262" s="129"/>
      <c r="AX262" s="129"/>
      <c r="AY262" s="129"/>
      <c r="AZ262" s="129"/>
      <c r="BA262" s="129"/>
      <c r="BB262" s="129"/>
      <c r="BC262" s="129"/>
      <c r="BD262" s="129"/>
      <c r="BE262" s="129"/>
      <c r="BF262" s="144"/>
      <c r="BG262" s="129"/>
      <c r="BH262" s="129"/>
      <c r="BI262" s="129"/>
      <c r="BJ262" s="129"/>
      <c r="BK262" s="129"/>
      <c r="BL262" s="129"/>
      <c r="BM262" s="129"/>
      <c r="BN262" s="129"/>
      <c r="BO262" s="129"/>
      <c r="BP262" s="129"/>
      <c r="BQ262" s="129"/>
      <c r="BR262" s="129"/>
      <c r="BS262" s="129"/>
      <c r="BT262" s="129"/>
      <c r="BU262" s="129"/>
      <c r="BV262" s="129"/>
      <c r="BW262" s="129"/>
      <c r="BX262" s="129"/>
      <c r="BY262" s="129"/>
      <c r="BZ262" s="129"/>
      <c r="CA262" s="129"/>
      <c r="CB262" s="129"/>
      <c r="CC262" s="129"/>
      <c r="CD262" s="129"/>
    </row>
    <row r="26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  <c r="AH263" s="129"/>
      <c r="AI263" s="129"/>
      <c r="AJ263" s="129"/>
      <c r="AK263" s="129"/>
      <c r="AL263" s="129"/>
      <c r="AM263" s="129"/>
      <c r="AN263" s="144"/>
      <c r="AO263" s="129"/>
      <c r="AP263" s="129"/>
      <c r="AQ263" s="129"/>
      <c r="AR263" s="129"/>
      <c r="AS263" s="129"/>
      <c r="AT263" s="129"/>
      <c r="AU263" s="129"/>
      <c r="AV263" s="129"/>
      <c r="AW263" s="129"/>
      <c r="AX263" s="129"/>
      <c r="AY263" s="129"/>
      <c r="AZ263" s="129"/>
      <c r="BA263" s="129"/>
      <c r="BB263" s="129"/>
      <c r="BC263" s="129"/>
      <c r="BD263" s="129"/>
      <c r="BE263" s="129"/>
      <c r="BF263" s="144"/>
      <c r="BG263" s="129"/>
      <c r="BH263" s="129"/>
      <c r="BI263" s="129"/>
      <c r="BJ263" s="129"/>
      <c r="BK263" s="129"/>
      <c r="BL263" s="129"/>
      <c r="BM263" s="129"/>
      <c r="BN263" s="129"/>
      <c r="BO263" s="129"/>
      <c r="BP263" s="129"/>
      <c r="BQ263" s="129"/>
      <c r="BR263" s="129"/>
      <c r="BS263" s="129"/>
      <c r="BT263" s="129"/>
      <c r="BU263" s="129"/>
      <c r="BV263" s="129"/>
      <c r="BW263" s="129"/>
      <c r="BX263" s="129"/>
      <c r="BY263" s="129"/>
      <c r="BZ263" s="129"/>
      <c r="CA263" s="129"/>
      <c r="CB263" s="129"/>
      <c r="CC263" s="129"/>
      <c r="CD263" s="129"/>
    </row>
    <row r="264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  <c r="AH264" s="129"/>
      <c r="AI264" s="129"/>
      <c r="AJ264" s="129"/>
      <c r="AK264" s="129"/>
      <c r="AL264" s="129"/>
      <c r="AM264" s="129"/>
      <c r="AN264" s="144"/>
      <c r="AO264" s="129"/>
      <c r="AP264" s="129"/>
      <c r="AQ264" s="129"/>
      <c r="AR264" s="129"/>
      <c r="AS264" s="129"/>
      <c r="AT264" s="129"/>
      <c r="AU264" s="129"/>
      <c r="AV264" s="129"/>
      <c r="AW264" s="129"/>
      <c r="AX264" s="129"/>
      <c r="AY264" s="129"/>
      <c r="AZ264" s="129"/>
      <c r="BA264" s="129"/>
      <c r="BB264" s="129"/>
      <c r="BC264" s="129"/>
      <c r="BD264" s="129"/>
      <c r="BE264" s="129"/>
      <c r="BF264" s="144"/>
      <c r="BG264" s="129"/>
      <c r="BH264" s="129"/>
      <c r="BI264" s="129"/>
      <c r="BJ264" s="129"/>
      <c r="BK264" s="129"/>
      <c r="BL264" s="129"/>
      <c r="BM264" s="129"/>
      <c r="BN264" s="129"/>
      <c r="BO264" s="129"/>
      <c r="BP264" s="129"/>
      <c r="BQ264" s="129"/>
      <c r="BR264" s="129"/>
      <c r="BS264" s="129"/>
      <c r="BT264" s="129"/>
      <c r="BU264" s="129"/>
      <c r="BV264" s="129"/>
      <c r="BW264" s="129"/>
      <c r="BX264" s="129"/>
      <c r="BY264" s="129"/>
      <c r="BZ264" s="129"/>
      <c r="CA264" s="129"/>
      <c r="CB264" s="129"/>
      <c r="CC264" s="129"/>
      <c r="CD264" s="129"/>
    </row>
    <row r="265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29"/>
      <c r="AK265" s="129"/>
      <c r="AL265" s="129"/>
      <c r="AM265" s="129"/>
      <c r="AN265" s="144"/>
      <c r="AO265" s="129"/>
      <c r="AP265" s="129"/>
      <c r="AQ265" s="129"/>
      <c r="AR265" s="129"/>
      <c r="AS265" s="129"/>
      <c r="AT265" s="129"/>
      <c r="AU265" s="129"/>
      <c r="AV265" s="129"/>
      <c r="AW265" s="129"/>
      <c r="AX265" s="129"/>
      <c r="AY265" s="129"/>
      <c r="AZ265" s="129"/>
      <c r="BA265" s="129"/>
      <c r="BB265" s="129"/>
      <c r="BC265" s="129"/>
      <c r="BD265" s="129"/>
      <c r="BE265" s="129"/>
      <c r="BF265" s="144"/>
      <c r="BG265" s="129"/>
      <c r="BH265" s="129"/>
      <c r="BI265" s="129"/>
      <c r="BJ265" s="129"/>
      <c r="BK265" s="129"/>
      <c r="BL265" s="129"/>
      <c r="BM265" s="129"/>
      <c r="BN265" s="129"/>
      <c r="BO265" s="129"/>
      <c r="BP265" s="129"/>
      <c r="BQ265" s="129"/>
      <c r="BR265" s="129"/>
      <c r="BS265" s="129"/>
      <c r="BT265" s="129"/>
      <c r="BU265" s="129"/>
      <c r="BV265" s="129"/>
      <c r="BW265" s="129"/>
      <c r="BX265" s="129"/>
      <c r="BY265" s="129"/>
      <c r="BZ265" s="129"/>
      <c r="CA265" s="129"/>
      <c r="CB265" s="129"/>
      <c r="CC265" s="129"/>
      <c r="CD265" s="129"/>
    </row>
    <row r="266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29"/>
      <c r="AM266" s="129"/>
      <c r="AN266" s="144"/>
      <c r="AO266" s="129"/>
      <c r="AP266" s="129"/>
      <c r="AQ266" s="129"/>
      <c r="AR266" s="129"/>
      <c r="AS266" s="129"/>
      <c r="AT266" s="129"/>
      <c r="AU266" s="129"/>
      <c r="AV266" s="129"/>
      <c r="AW266" s="129"/>
      <c r="AX266" s="129"/>
      <c r="AY266" s="129"/>
      <c r="AZ266" s="129"/>
      <c r="BA266" s="129"/>
      <c r="BB266" s="129"/>
      <c r="BC266" s="129"/>
      <c r="BD266" s="129"/>
      <c r="BE266" s="129"/>
      <c r="BF266" s="144"/>
      <c r="BG266" s="129"/>
      <c r="BH266" s="129"/>
      <c r="BI266" s="129"/>
      <c r="BJ266" s="129"/>
      <c r="BK266" s="129"/>
      <c r="BL266" s="129"/>
      <c r="BM266" s="129"/>
      <c r="BN266" s="129"/>
      <c r="BO266" s="129"/>
      <c r="BP266" s="129"/>
      <c r="BQ266" s="129"/>
      <c r="BR266" s="129"/>
      <c r="BS266" s="129"/>
      <c r="BT266" s="129"/>
      <c r="BU266" s="129"/>
      <c r="BV266" s="129"/>
      <c r="BW266" s="129"/>
      <c r="BX266" s="129"/>
      <c r="BY266" s="129"/>
      <c r="BZ266" s="129"/>
      <c r="CA266" s="129"/>
      <c r="CB266" s="129"/>
      <c r="CC266" s="129"/>
      <c r="CD266" s="129"/>
    </row>
    <row r="267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29"/>
      <c r="AM267" s="129"/>
      <c r="AN267" s="144"/>
      <c r="AO267" s="129"/>
      <c r="AP267" s="129"/>
      <c r="AQ267" s="129"/>
      <c r="AR267" s="129"/>
      <c r="AS267" s="129"/>
      <c r="AT267" s="129"/>
      <c r="AU267" s="129"/>
      <c r="AV267" s="129"/>
      <c r="AW267" s="129"/>
      <c r="AX267" s="129"/>
      <c r="AY267" s="129"/>
      <c r="AZ267" s="129"/>
      <c r="BA267" s="129"/>
      <c r="BB267" s="129"/>
      <c r="BC267" s="129"/>
      <c r="BD267" s="129"/>
      <c r="BE267" s="129"/>
      <c r="BF267" s="144"/>
      <c r="BG267" s="129"/>
      <c r="BH267" s="129"/>
      <c r="BI267" s="129"/>
      <c r="BJ267" s="129"/>
      <c r="BK267" s="129"/>
      <c r="BL267" s="129"/>
      <c r="BM267" s="129"/>
      <c r="BN267" s="129"/>
      <c r="BO267" s="129"/>
      <c r="BP267" s="129"/>
      <c r="BQ267" s="129"/>
      <c r="BR267" s="129"/>
      <c r="BS267" s="129"/>
      <c r="BT267" s="129"/>
      <c r="BU267" s="129"/>
      <c r="BV267" s="129"/>
      <c r="BW267" s="129"/>
      <c r="BX267" s="129"/>
      <c r="BY267" s="129"/>
      <c r="BZ267" s="129"/>
      <c r="CA267" s="129"/>
      <c r="CB267" s="129"/>
      <c r="CC267" s="129"/>
      <c r="CD267" s="129"/>
    </row>
    <row r="268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29"/>
      <c r="AM268" s="129"/>
      <c r="AN268" s="144"/>
      <c r="AO268" s="129"/>
      <c r="AP268" s="129"/>
      <c r="AQ268" s="129"/>
      <c r="AR268" s="129"/>
      <c r="AS268" s="129"/>
      <c r="AT268" s="129"/>
      <c r="AU268" s="129"/>
      <c r="AV268" s="129"/>
      <c r="AW268" s="129"/>
      <c r="AX268" s="129"/>
      <c r="AY268" s="129"/>
      <c r="AZ268" s="129"/>
      <c r="BA268" s="129"/>
      <c r="BB268" s="129"/>
      <c r="BC268" s="129"/>
      <c r="BD268" s="129"/>
      <c r="BE268" s="129"/>
      <c r="BF268" s="144"/>
      <c r="BG268" s="129"/>
      <c r="BH268" s="129"/>
      <c r="BI268" s="129"/>
      <c r="BJ268" s="129"/>
      <c r="BK268" s="129"/>
      <c r="BL268" s="129"/>
      <c r="BM268" s="129"/>
      <c r="BN268" s="129"/>
      <c r="BO268" s="129"/>
      <c r="BP268" s="129"/>
      <c r="BQ268" s="129"/>
      <c r="BR268" s="129"/>
      <c r="BS268" s="129"/>
      <c r="BT268" s="129"/>
      <c r="BU268" s="129"/>
      <c r="BV268" s="129"/>
      <c r="BW268" s="129"/>
      <c r="BX268" s="129"/>
      <c r="BY268" s="129"/>
      <c r="BZ268" s="129"/>
      <c r="CA268" s="129"/>
      <c r="CB268" s="129"/>
      <c r="CC268" s="129"/>
      <c r="CD268" s="129"/>
    </row>
    <row r="269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  <c r="AH269" s="129"/>
      <c r="AI269" s="129"/>
      <c r="AJ269" s="129"/>
      <c r="AK269" s="129"/>
      <c r="AL269" s="129"/>
      <c r="AM269" s="129"/>
      <c r="AN269" s="144"/>
      <c r="AO269" s="129"/>
      <c r="AP269" s="129"/>
      <c r="AQ269" s="129"/>
      <c r="AR269" s="129"/>
      <c r="AS269" s="129"/>
      <c r="AT269" s="129"/>
      <c r="AU269" s="129"/>
      <c r="AV269" s="129"/>
      <c r="AW269" s="129"/>
      <c r="AX269" s="129"/>
      <c r="AY269" s="129"/>
      <c r="AZ269" s="129"/>
      <c r="BA269" s="129"/>
      <c r="BB269" s="129"/>
      <c r="BC269" s="129"/>
      <c r="BD269" s="129"/>
      <c r="BE269" s="129"/>
      <c r="BF269" s="144"/>
      <c r="BG269" s="129"/>
      <c r="BH269" s="129"/>
      <c r="BI269" s="129"/>
      <c r="BJ269" s="129"/>
      <c r="BK269" s="129"/>
      <c r="BL269" s="129"/>
      <c r="BM269" s="129"/>
      <c r="BN269" s="129"/>
      <c r="BO269" s="129"/>
      <c r="BP269" s="129"/>
      <c r="BQ269" s="129"/>
      <c r="BR269" s="129"/>
      <c r="BS269" s="129"/>
      <c r="BT269" s="129"/>
      <c r="BU269" s="129"/>
      <c r="BV269" s="129"/>
      <c r="BW269" s="129"/>
      <c r="BX269" s="129"/>
      <c r="BY269" s="129"/>
      <c r="BZ269" s="129"/>
      <c r="CA269" s="129"/>
      <c r="CB269" s="129"/>
      <c r="CC269" s="129"/>
      <c r="CD269" s="129"/>
    </row>
    <row r="270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  <c r="AH270" s="129"/>
      <c r="AI270" s="129"/>
      <c r="AJ270" s="129"/>
      <c r="AK270" s="129"/>
      <c r="AL270" s="129"/>
      <c r="AM270" s="129"/>
      <c r="AN270" s="144"/>
      <c r="AO270" s="129"/>
      <c r="AP270" s="129"/>
      <c r="AQ270" s="129"/>
      <c r="AR270" s="129"/>
      <c r="AS270" s="129"/>
      <c r="AT270" s="129"/>
      <c r="AU270" s="129"/>
      <c r="AV270" s="129"/>
      <c r="AW270" s="129"/>
      <c r="AX270" s="129"/>
      <c r="AY270" s="129"/>
      <c r="AZ270" s="129"/>
      <c r="BA270" s="129"/>
      <c r="BB270" s="129"/>
      <c r="BC270" s="129"/>
      <c r="BD270" s="129"/>
      <c r="BE270" s="129"/>
      <c r="BF270" s="144"/>
      <c r="BG270" s="129"/>
      <c r="BH270" s="129"/>
      <c r="BI270" s="129"/>
      <c r="BJ270" s="129"/>
      <c r="BK270" s="129"/>
      <c r="BL270" s="129"/>
      <c r="BM270" s="129"/>
      <c r="BN270" s="129"/>
      <c r="BO270" s="129"/>
      <c r="BP270" s="129"/>
      <c r="BQ270" s="129"/>
      <c r="BR270" s="129"/>
      <c r="BS270" s="129"/>
      <c r="BT270" s="129"/>
      <c r="BU270" s="129"/>
      <c r="BV270" s="129"/>
      <c r="BW270" s="129"/>
      <c r="BX270" s="129"/>
      <c r="BY270" s="129"/>
      <c r="BZ270" s="129"/>
      <c r="CA270" s="129"/>
      <c r="CB270" s="129"/>
      <c r="CC270" s="129"/>
      <c r="CD270" s="129"/>
    </row>
    <row r="27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29"/>
      <c r="AL271" s="129"/>
      <c r="AM271" s="129"/>
      <c r="AN271" s="144"/>
      <c r="AO271" s="129"/>
      <c r="AP271" s="129"/>
      <c r="AQ271" s="129"/>
      <c r="AR271" s="129"/>
      <c r="AS271" s="129"/>
      <c r="AT271" s="129"/>
      <c r="AU271" s="129"/>
      <c r="AV271" s="129"/>
      <c r="AW271" s="129"/>
      <c r="AX271" s="129"/>
      <c r="AY271" s="129"/>
      <c r="AZ271" s="129"/>
      <c r="BA271" s="129"/>
      <c r="BB271" s="129"/>
      <c r="BC271" s="129"/>
      <c r="BD271" s="129"/>
      <c r="BE271" s="129"/>
      <c r="BF271" s="144"/>
      <c r="BG271" s="129"/>
      <c r="BH271" s="129"/>
      <c r="BI271" s="129"/>
      <c r="BJ271" s="129"/>
      <c r="BK271" s="129"/>
      <c r="BL271" s="129"/>
      <c r="BM271" s="129"/>
      <c r="BN271" s="129"/>
      <c r="BO271" s="129"/>
      <c r="BP271" s="129"/>
      <c r="BQ271" s="129"/>
      <c r="BR271" s="129"/>
      <c r="BS271" s="129"/>
      <c r="BT271" s="129"/>
      <c r="BU271" s="129"/>
      <c r="BV271" s="129"/>
      <c r="BW271" s="129"/>
      <c r="BX271" s="129"/>
      <c r="BY271" s="129"/>
      <c r="BZ271" s="129"/>
      <c r="CA271" s="129"/>
      <c r="CB271" s="129"/>
      <c r="CC271" s="129"/>
      <c r="CD271" s="129"/>
    </row>
    <row r="27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44"/>
      <c r="AO272" s="129"/>
      <c r="AP272" s="129"/>
      <c r="AQ272" s="129"/>
      <c r="AR272" s="129"/>
      <c r="AS272" s="129"/>
      <c r="AT272" s="129"/>
      <c r="AU272" s="129"/>
      <c r="AV272" s="129"/>
      <c r="AW272" s="129"/>
      <c r="AX272" s="129"/>
      <c r="AY272" s="129"/>
      <c r="AZ272" s="129"/>
      <c r="BA272" s="129"/>
      <c r="BB272" s="129"/>
      <c r="BC272" s="129"/>
      <c r="BD272" s="129"/>
      <c r="BE272" s="129"/>
      <c r="BF272" s="144"/>
      <c r="BG272" s="129"/>
      <c r="BH272" s="129"/>
      <c r="BI272" s="129"/>
      <c r="BJ272" s="129"/>
      <c r="BK272" s="129"/>
      <c r="BL272" s="129"/>
      <c r="BM272" s="129"/>
      <c r="BN272" s="129"/>
      <c r="BO272" s="129"/>
      <c r="BP272" s="129"/>
      <c r="BQ272" s="129"/>
      <c r="BR272" s="129"/>
      <c r="BS272" s="129"/>
      <c r="BT272" s="129"/>
      <c r="BU272" s="129"/>
      <c r="BV272" s="129"/>
      <c r="BW272" s="129"/>
      <c r="BX272" s="129"/>
      <c r="BY272" s="129"/>
      <c r="BZ272" s="129"/>
      <c r="CA272" s="129"/>
      <c r="CB272" s="129"/>
      <c r="CC272" s="129"/>
      <c r="CD272" s="129"/>
    </row>
    <row r="27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44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44"/>
      <c r="BG273" s="129"/>
      <c r="BH273" s="129"/>
      <c r="BI273" s="129"/>
      <c r="BJ273" s="129"/>
      <c r="BK273" s="129"/>
      <c r="BL273" s="129"/>
      <c r="BM273" s="129"/>
      <c r="BN273" s="129"/>
      <c r="BO273" s="129"/>
      <c r="BP273" s="129"/>
      <c r="BQ273" s="129"/>
      <c r="BR273" s="129"/>
      <c r="BS273" s="129"/>
      <c r="BT273" s="129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</row>
    <row r="274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  <c r="AH274" s="129"/>
      <c r="AI274" s="129"/>
      <c r="AJ274" s="129"/>
      <c r="AK274" s="129"/>
      <c r="AL274" s="129"/>
      <c r="AM274" s="129"/>
      <c r="AN274" s="144"/>
      <c r="AO274" s="129"/>
      <c r="AP274" s="129"/>
      <c r="AQ274" s="129"/>
      <c r="AR274" s="129"/>
      <c r="AS274" s="129"/>
      <c r="AT274" s="129"/>
      <c r="AU274" s="129"/>
      <c r="AV274" s="129"/>
      <c r="AW274" s="129"/>
      <c r="AX274" s="129"/>
      <c r="AY274" s="129"/>
      <c r="AZ274" s="129"/>
      <c r="BA274" s="129"/>
      <c r="BB274" s="129"/>
      <c r="BC274" s="129"/>
      <c r="BD274" s="129"/>
      <c r="BE274" s="129"/>
      <c r="BF274" s="144"/>
      <c r="BG274" s="129"/>
      <c r="BH274" s="129"/>
      <c r="BI274" s="129"/>
      <c r="BJ274" s="129"/>
      <c r="BK274" s="129"/>
      <c r="BL274" s="129"/>
      <c r="BM274" s="129"/>
      <c r="BN274" s="129"/>
      <c r="BO274" s="129"/>
      <c r="BP274" s="129"/>
      <c r="BQ274" s="129"/>
      <c r="BR274" s="129"/>
      <c r="BS274" s="129"/>
      <c r="BT274" s="129"/>
      <c r="BU274" s="129"/>
      <c r="BV274" s="129"/>
      <c r="BW274" s="129"/>
      <c r="BX274" s="129"/>
      <c r="BY274" s="129"/>
      <c r="BZ274" s="129"/>
      <c r="CA274" s="129"/>
      <c r="CB274" s="129"/>
      <c r="CC274" s="129"/>
      <c r="CD274" s="129"/>
    </row>
    <row r="275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129"/>
      <c r="AN275" s="144"/>
      <c r="AO275" s="129"/>
      <c r="AP275" s="129"/>
      <c r="AQ275" s="129"/>
      <c r="AR275" s="129"/>
      <c r="AS275" s="129"/>
      <c r="AT275" s="129"/>
      <c r="AU275" s="129"/>
      <c r="AV275" s="129"/>
      <c r="AW275" s="129"/>
      <c r="AX275" s="129"/>
      <c r="AY275" s="129"/>
      <c r="AZ275" s="129"/>
      <c r="BA275" s="129"/>
      <c r="BB275" s="129"/>
      <c r="BC275" s="129"/>
      <c r="BD275" s="129"/>
      <c r="BE275" s="129"/>
      <c r="BF275" s="144"/>
      <c r="BG275" s="129"/>
      <c r="BH275" s="129"/>
      <c r="BI275" s="129"/>
      <c r="BJ275" s="129"/>
      <c r="BK275" s="129"/>
      <c r="BL275" s="129"/>
      <c r="BM275" s="129"/>
      <c r="BN275" s="129"/>
      <c r="BO275" s="129"/>
      <c r="BP275" s="129"/>
      <c r="BQ275" s="129"/>
      <c r="BR275" s="129"/>
      <c r="BS275" s="129"/>
      <c r="BT275" s="129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</row>
    <row r="276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44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44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</row>
    <row r="277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44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44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</row>
    <row r="278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44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44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</row>
    <row r="279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44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44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</row>
    <row r="280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44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44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</row>
    <row r="28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44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44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</row>
    <row r="28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44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44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</row>
    <row r="28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44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44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</row>
    <row r="284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44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44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</row>
    <row r="285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44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44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</row>
    <row r="286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29"/>
      <c r="AM286" s="129"/>
      <c r="AN286" s="144"/>
      <c r="AO286" s="129"/>
      <c r="AP286" s="129"/>
      <c r="AQ286" s="129"/>
      <c r="AR286" s="129"/>
      <c r="AS286" s="129"/>
      <c r="AT286" s="129"/>
      <c r="AU286" s="129"/>
      <c r="AV286" s="129"/>
      <c r="AW286" s="129"/>
      <c r="AX286" s="129"/>
      <c r="AY286" s="129"/>
      <c r="AZ286" s="129"/>
      <c r="BA286" s="129"/>
      <c r="BB286" s="129"/>
      <c r="BC286" s="129"/>
      <c r="BD286" s="129"/>
      <c r="BE286" s="129"/>
      <c r="BF286" s="144"/>
      <c r="BG286" s="129"/>
      <c r="BH286" s="129"/>
      <c r="BI286" s="129"/>
      <c r="BJ286" s="129"/>
      <c r="BK286" s="129"/>
      <c r="BL286" s="129"/>
      <c r="BM286" s="129"/>
      <c r="BN286" s="129"/>
      <c r="BO286" s="129"/>
      <c r="BP286" s="129"/>
      <c r="BQ286" s="129"/>
      <c r="BR286" s="129"/>
      <c r="BS286" s="129"/>
      <c r="BT286" s="129"/>
      <c r="BU286" s="129"/>
      <c r="BV286" s="129"/>
      <c r="BW286" s="129"/>
      <c r="BX286" s="129"/>
      <c r="BY286" s="129"/>
      <c r="BZ286" s="129"/>
      <c r="CA286" s="129"/>
      <c r="CB286" s="129"/>
      <c r="CC286" s="129"/>
      <c r="CD286" s="129"/>
    </row>
    <row r="287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29"/>
      <c r="AM287" s="129"/>
      <c r="AN287" s="144"/>
      <c r="AO287" s="129"/>
      <c r="AP287" s="129"/>
      <c r="AQ287" s="129"/>
      <c r="AR287" s="129"/>
      <c r="AS287" s="129"/>
      <c r="AT287" s="129"/>
      <c r="AU287" s="129"/>
      <c r="AV287" s="129"/>
      <c r="AW287" s="129"/>
      <c r="AX287" s="129"/>
      <c r="AY287" s="129"/>
      <c r="AZ287" s="129"/>
      <c r="BA287" s="129"/>
      <c r="BB287" s="129"/>
      <c r="BC287" s="129"/>
      <c r="BD287" s="129"/>
      <c r="BE287" s="129"/>
      <c r="BF287" s="144"/>
      <c r="BG287" s="129"/>
      <c r="BH287" s="129"/>
      <c r="BI287" s="129"/>
      <c r="BJ287" s="129"/>
      <c r="BK287" s="129"/>
      <c r="BL287" s="129"/>
      <c r="BM287" s="129"/>
      <c r="BN287" s="129"/>
      <c r="BO287" s="129"/>
      <c r="BP287" s="129"/>
      <c r="BQ287" s="129"/>
      <c r="BR287" s="129"/>
      <c r="BS287" s="129"/>
      <c r="BT287" s="129"/>
      <c r="BU287" s="129"/>
      <c r="BV287" s="129"/>
      <c r="BW287" s="129"/>
      <c r="BX287" s="129"/>
      <c r="BY287" s="129"/>
      <c r="BZ287" s="129"/>
      <c r="CA287" s="129"/>
      <c r="CB287" s="129"/>
      <c r="CC287" s="129"/>
      <c r="CD287" s="129"/>
    </row>
    <row r="288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129"/>
      <c r="AN288" s="144"/>
      <c r="AO288" s="129"/>
      <c r="AP288" s="129"/>
      <c r="AQ288" s="129"/>
      <c r="AR288" s="129"/>
      <c r="AS288" s="129"/>
      <c r="AT288" s="129"/>
      <c r="AU288" s="129"/>
      <c r="AV288" s="129"/>
      <c r="AW288" s="129"/>
      <c r="AX288" s="129"/>
      <c r="AY288" s="129"/>
      <c r="AZ288" s="129"/>
      <c r="BA288" s="129"/>
      <c r="BB288" s="129"/>
      <c r="BC288" s="129"/>
      <c r="BD288" s="129"/>
      <c r="BE288" s="129"/>
      <c r="BF288" s="144"/>
      <c r="BG288" s="129"/>
      <c r="BH288" s="129"/>
      <c r="BI288" s="129"/>
      <c r="BJ288" s="129"/>
      <c r="BK288" s="129"/>
      <c r="BL288" s="129"/>
      <c r="BM288" s="129"/>
      <c r="BN288" s="129"/>
      <c r="BO288" s="129"/>
      <c r="BP288" s="129"/>
      <c r="BQ288" s="129"/>
      <c r="BR288" s="129"/>
      <c r="BS288" s="129"/>
      <c r="BT288" s="129"/>
      <c r="BU288" s="129"/>
      <c r="BV288" s="129"/>
      <c r="BW288" s="129"/>
      <c r="BX288" s="129"/>
      <c r="BY288" s="129"/>
      <c r="BZ288" s="129"/>
      <c r="CA288" s="129"/>
      <c r="CB288" s="129"/>
      <c r="CC288" s="129"/>
      <c r="CD288" s="129"/>
    </row>
    <row r="289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129"/>
      <c r="AN289" s="144"/>
      <c r="AO289" s="129"/>
      <c r="AP289" s="129"/>
      <c r="AQ289" s="129"/>
      <c r="AR289" s="129"/>
      <c r="AS289" s="129"/>
      <c r="AT289" s="129"/>
      <c r="AU289" s="129"/>
      <c r="AV289" s="129"/>
      <c r="AW289" s="129"/>
      <c r="AX289" s="129"/>
      <c r="AY289" s="129"/>
      <c r="AZ289" s="129"/>
      <c r="BA289" s="129"/>
      <c r="BB289" s="129"/>
      <c r="BC289" s="129"/>
      <c r="BD289" s="129"/>
      <c r="BE289" s="129"/>
      <c r="BF289" s="144"/>
      <c r="BG289" s="129"/>
      <c r="BH289" s="129"/>
      <c r="BI289" s="129"/>
      <c r="BJ289" s="129"/>
      <c r="BK289" s="129"/>
      <c r="BL289" s="129"/>
      <c r="BM289" s="129"/>
      <c r="BN289" s="129"/>
      <c r="BO289" s="129"/>
      <c r="BP289" s="129"/>
      <c r="BQ289" s="129"/>
      <c r="BR289" s="129"/>
      <c r="BS289" s="129"/>
      <c r="BT289" s="129"/>
      <c r="BU289" s="129"/>
      <c r="BV289" s="129"/>
      <c r="BW289" s="129"/>
      <c r="BX289" s="129"/>
      <c r="BY289" s="129"/>
      <c r="BZ289" s="129"/>
      <c r="CA289" s="129"/>
      <c r="CB289" s="129"/>
      <c r="CC289" s="129"/>
      <c r="CD289" s="129"/>
    </row>
    <row r="290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29"/>
      <c r="AM290" s="129"/>
      <c r="AN290" s="144"/>
      <c r="AO290" s="129"/>
      <c r="AP290" s="129"/>
      <c r="AQ290" s="129"/>
      <c r="AR290" s="129"/>
      <c r="AS290" s="129"/>
      <c r="AT290" s="129"/>
      <c r="AU290" s="129"/>
      <c r="AV290" s="129"/>
      <c r="AW290" s="129"/>
      <c r="AX290" s="129"/>
      <c r="AY290" s="129"/>
      <c r="AZ290" s="129"/>
      <c r="BA290" s="129"/>
      <c r="BB290" s="129"/>
      <c r="BC290" s="129"/>
      <c r="BD290" s="129"/>
      <c r="BE290" s="129"/>
      <c r="BF290" s="144"/>
      <c r="BG290" s="129"/>
      <c r="BH290" s="129"/>
      <c r="BI290" s="129"/>
      <c r="BJ290" s="129"/>
      <c r="BK290" s="129"/>
      <c r="BL290" s="129"/>
      <c r="BM290" s="129"/>
      <c r="BN290" s="129"/>
      <c r="BO290" s="129"/>
      <c r="BP290" s="129"/>
      <c r="BQ290" s="129"/>
      <c r="BR290" s="129"/>
      <c r="BS290" s="129"/>
      <c r="BT290" s="129"/>
      <c r="BU290" s="129"/>
      <c r="BV290" s="129"/>
      <c r="BW290" s="129"/>
      <c r="BX290" s="129"/>
      <c r="BY290" s="129"/>
      <c r="BZ290" s="129"/>
      <c r="CA290" s="129"/>
      <c r="CB290" s="129"/>
      <c r="CC290" s="129"/>
      <c r="CD290" s="129"/>
    </row>
    <row r="29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  <c r="AH291" s="129"/>
      <c r="AI291" s="129"/>
      <c r="AJ291" s="129"/>
      <c r="AK291" s="129"/>
      <c r="AL291" s="129"/>
      <c r="AM291" s="129"/>
      <c r="AN291" s="144"/>
      <c r="AO291" s="129"/>
      <c r="AP291" s="129"/>
      <c r="AQ291" s="129"/>
      <c r="AR291" s="129"/>
      <c r="AS291" s="129"/>
      <c r="AT291" s="129"/>
      <c r="AU291" s="129"/>
      <c r="AV291" s="129"/>
      <c r="AW291" s="129"/>
      <c r="AX291" s="129"/>
      <c r="AY291" s="129"/>
      <c r="AZ291" s="129"/>
      <c r="BA291" s="129"/>
      <c r="BB291" s="129"/>
      <c r="BC291" s="129"/>
      <c r="BD291" s="129"/>
      <c r="BE291" s="129"/>
      <c r="BF291" s="144"/>
      <c r="BG291" s="129"/>
      <c r="BH291" s="129"/>
      <c r="BI291" s="129"/>
      <c r="BJ291" s="129"/>
      <c r="BK291" s="129"/>
      <c r="BL291" s="129"/>
      <c r="BM291" s="129"/>
      <c r="BN291" s="129"/>
      <c r="BO291" s="129"/>
      <c r="BP291" s="129"/>
      <c r="BQ291" s="129"/>
      <c r="BR291" s="129"/>
      <c r="BS291" s="129"/>
      <c r="BT291" s="129"/>
      <c r="BU291" s="129"/>
      <c r="BV291" s="129"/>
      <c r="BW291" s="129"/>
      <c r="BX291" s="129"/>
      <c r="BY291" s="129"/>
      <c r="BZ291" s="129"/>
      <c r="CA291" s="129"/>
      <c r="CB291" s="129"/>
      <c r="CC291" s="129"/>
      <c r="CD291" s="129"/>
    </row>
    <row r="29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29"/>
      <c r="AL292" s="129"/>
      <c r="AM292" s="129"/>
      <c r="AN292" s="144"/>
      <c r="AO292" s="129"/>
      <c r="AP292" s="129"/>
      <c r="AQ292" s="129"/>
      <c r="AR292" s="129"/>
      <c r="AS292" s="129"/>
      <c r="AT292" s="129"/>
      <c r="AU292" s="129"/>
      <c r="AV292" s="129"/>
      <c r="AW292" s="129"/>
      <c r="AX292" s="129"/>
      <c r="AY292" s="129"/>
      <c r="AZ292" s="129"/>
      <c r="BA292" s="129"/>
      <c r="BB292" s="129"/>
      <c r="BC292" s="129"/>
      <c r="BD292" s="129"/>
      <c r="BE292" s="129"/>
      <c r="BF292" s="144"/>
      <c r="BG292" s="129"/>
      <c r="BH292" s="129"/>
      <c r="BI292" s="129"/>
      <c r="BJ292" s="129"/>
      <c r="BK292" s="129"/>
      <c r="BL292" s="129"/>
      <c r="BM292" s="129"/>
      <c r="BN292" s="129"/>
      <c r="BO292" s="129"/>
      <c r="BP292" s="129"/>
      <c r="BQ292" s="129"/>
      <c r="BR292" s="129"/>
      <c r="BS292" s="129"/>
      <c r="BT292" s="129"/>
      <c r="BU292" s="129"/>
      <c r="BV292" s="129"/>
      <c r="BW292" s="129"/>
      <c r="BX292" s="129"/>
      <c r="BY292" s="129"/>
      <c r="BZ292" s="129"/>
      <c r="CA292" s="129"/>
      <c r="CB292" s="129"/>
      <c r="CC292" s="129"/>
      <c r="CD292" s="129"/>
    </row>
    <row r="29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129"/>
      <c r="AN293" s="144"/>
      <c r="AO293" s="129"/>
      <c r="AP293" s="129"/>
      <c r="AQ293" s="129"/>
      <c r="AR293" s="129"/>
      <c r="AS293" s="129"/>
      <c r="AT293" s="129"/>
      <c r="AU293" s="129"/>
      <c r="AV293" s="129"/>
      <c r="AW293" s="129"/>
      <c r="AX293" s="129"/>
      <c r="AY293" s="129"/>
      <c r="AZ293" s="129"/>
      <c r="BA293" s="129"/>
      <c r="BB293" s="129"/>
      <c r="BC293" s="129"/>
      <c r="BD293" s="129"/>
      <c r="BE293" s="129"/>
      <c r="BF293" s="144"/>
      <c r="BG293" s="129"/>
      <c r="BH293" s="129"/>
      <c r="BI293" s="129"/>
      <c r="BJ293" s="129"/>
      <c r="BK293" s="129"/>
      <c r="BL293" s="129"/>
      <c r="BM293" s="129"/>
      <c r="BN293" s="129"/>
      <c r="BO293" s="129"/>
      <c r="BP293" s="129"/>
      <c r="BQ293" s="129"/>
      <c r="BR293" s="129"/>
      <c r="BS293" s="129"/>
      <c r="BT293" s="129"/>
      <c r="BU293" s="129"/>
      <c r="BV293" s="129"/>
      <c r="BW293" s="129"/>
      <c r="BX293" s="129"/>
      <c r="BY293" s="129"/>
      <c r="BZ293" s="129"/>
      <c r="CA293" s="129"/>
      <c r="CB293" s="129"/>
      <c r="CC293" s="129"/>
      <c r="CD293" s="129"/>
    </row>
    <row r="294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29"/>
      <c r="AM294" s="129"/>
      <c r="AN294" s="144"/>
      <c r="AO294" s="129"/>
      <c r="AP294" s="129"/>
      <c r="AQ294" s="129"/>
      <c r="AR294" s="129"/>
      <c r="AS294" s="129"/>
      <c r="AT294" s="129"/>
      <c r="AU294" s="129"/>
      <c r="AV294" s="129"/>
      <c r="AW294" s="129"/>
      <c r="AX294" s="129"/>
      <c r="AY294" s="129"/>
      <c r="AZ294" s="129"/>
      <c r="BA294" s="129"/>
      <c r="BB294" s="129"/>
      <c r="BC294" s="129"/>
      <c r="BD294" s="129"/>
      <c r="BE294" s="129"/>
      <c r="BF294" s="144"/>
      <c r="BG294" s="129"/>
      <c r="BH294" s="129"/>
      <c r="BI294" s="129"/>
      <c r="BJ294" s="129"/>
      <c r="BK294" s="129"/>
      <c r="BL294" s="129"/>
      <c r="BM294" s="129"/>
      <c r="BN294" s="129"/>
      <c r="BO294" s="129"/>
      <c r="BP294" s="129"/>
      <c r="BQ294" s="129"/>
      <c r="BR294" s="129"/>
      <c r="BS294" s="129"/>
      <c r="BT294" s="129"/>
      <c r="BU294" s="129"/>
      <c r="BV294" s="129"/>
      <c r="BW294" s="129"/>
      <c r="BX294" s="129"/>
      <c r="BY294" s="129"/>
      <c r="BZ294" s="129"/>
      <c r="CA294" s="129"/>
      <c r="CB294" s="129"/>
      <c r="CC294" s="129"/>
      <c r="CD294" s="129"/>
    </row>
    <row r="295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29"/>
      <c r="AM295" s="129"/>
      <c r="AN295" s="144"/>
      <c r="AO295" s="129"/>
      <c r="AP295" s="129"/>
      <c r="AQ295" s="129"/>
      <c r="AR295" s="129"/>
      <c r="AS295" s="129"/>
      <c r="AT295" s="129"/>
      <c r="AU295" s="129"/>
      <c r="AV295" s="129"/>
      <c r="AW295" s="129"/>
      <c r="AX295" s="129"/>
      <c r="AY295" s="129"/>
      <c r="AZ295" s="129"/>
      <c r="BA295" s="129"/>
      <c r="BB295" s="129"/>
      <c r="BC295" s="129"/>
      <c r="BD295" s="129"/>
      <c r="BE295" s="129"/>
      <c r="BF295" s="144"/>
      <c r="BG295" s="129"/>
      <c r="BH295" s="129"/>
      <c r="BI295" s="129"/>
      <c r="BJ295" s="129"/>
      <c r="BK295" s="129"/>
      <c r="BL295" s="129"/>
      <c r="BM295" s="129"/>
      <c r="BN295" s="129"/>
      <c r="BO295" s="129"/>
      <c r="BP295" s="129"/>
      <c r="BQ295" s="129"/>
      <c r="BR295" s="129"/>
      <c r="BS295" s="129"/>
      <c r="BT295" s="129"/>
      <c r="BU295" s="129"/>
      <c r="BV295" s="129"/>
      <c r="BW295" s="129"/>
      <c r="BX295" s="129"/>
      <c r="BY295" s="129"/>
      <c r="BZ295" s="129"/>
      <c r="CA295" s="129"/>
      <c r="CB295" s="129"/>
      <c r="CC295" s="129"/>
      <c r="CD295" s="129"/>
    </row>
    <row r="296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129"/>
      <c r="AN296" s="144"/>
      <c r="AO296" s="129"/>
      <c r="AP296" s="129"/>
      <c r="AQ296" s="129"/>
      <c r="AR296" s="129"/>
      <c r="AS296" s="129"/>
      <c r="AT296" s="129"/>
      <c r="AU296" s="129"/>
      <c r="AV296" s="129"/>
      <c r="AW296" s="129"/>
      <c r="AX296" s="129"/>
      <c r="AY296" s="129"/>
      <c r="AZ296" s="129"/>
      <c r="BA296" s="129"/>
      <c r="BB296" s="129"/>
      <c r="BC296" s="129"/>
      <c r="BD296" s="129"/>
      <c r="BE296" s="129"/>
      <c r="BF296" s="144"/>
      <c r="BG296" s="129"/>
      <c r="BH296" s="129"/>
      <c r="BI296" s="129"/>
      <c r="BJ296" s="129"/>
      <c r="BK296" s="129"/>
      <c r="BL296" s="129"/>
      <c r="BM296" s="129"/>
      <c r="BN296" s="129"/>
      <c r="BO296" s="129"/>
      <c r="BP296" s="129"/>
      <c r="BQ296" s="129"/>
      <c r="BR296" s="129"/>
      <c r="BS296" s="129"/>
      <c r="BT296" s="129"/>
      <c r="BU296" s="129"/>
      <c r="BV296" s="129"/>
      <c r="BW296" s="129"/>
      <c r="BX296" s="129"/>
      <c r="BY296" s="129"/>
      <c r="BZ296" s="129"/>
      <c r="CA296" s="129"/>
      <c r="CB296" s="129"/>
      <c r="CC296" s="129"/>
      <c r="CD296" s="129"/>
    </row>
    <row r="297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29"/>
      <c r="AM297" s="129"/>
      <c r="AN297" s="144"/>
      <c r="AO297" s="129"/>
      <c r="AP297" s="129"/>
      <c r="AQ297" s="129"/>
      <c r="AR297" s="129"/>
      <c r="AS297" s="129"/>
      <c r="AT297" s="129"/>
      <c r="AU297" s="129"/>
      <c r="AV297" s="129"/>
      <c r="AW297" s="129"/>
      <c r="AX297" s="129"/>
      <c r="AY297" s="129"/>
      <c r="AZ297" s="129"/>
      <c r="BA297" s="129"/>
      <c r="BB297" s="129"/>
      <c r="BC297" s="129"/>
      <c r="BD297" s="129"/>
      <c r="BE297" s="129"/>
      <c r="BF297" s="144"/>
      <c r="BG297" s="129"/>
      <c r="BH297" s="129"/>
      <c r="BI297" s="129"/>
      <c r="BJ297" s="129"/>
      <c r="BK297" s="129"/>
      <c r="BL297" s="129"/>
      <c r="BM297" s="129"/>
      <c r="BN297" s="129"/>
      <c r="BO297" s="129"/>
      <c r="BP297" s="129"/>
      <c r="BQ297" s="129"/>
      <c r="BR297" s="129"/>
      <c r="BS297" s="129"/>
      <c r="BT297" s="129"/>
      <c r="BU297" s="129"/>
      <c r="BV297" s="129"/>
      <c r="BW297" s="129"/>
      <c r="BX297" s="129"/>
      <c r="BY297" s="129"/>
      <c r="BZ297" s="129"/>
      <c r="CA297" s="129"/>
      <c r="CB297" s="129"/>
      <c r="CC297" s="129"/>
      <c r="CD297" s="129"/>
    </row>
    <row r="298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29"/>
      <c r="AM298" s="129"/>
      <c r="AN298" s="144"/>
      <c r="AO298" s="129"/>
      <c r="AP298" s="129"/>
      <c r="AQ298" s="129"/>
      <c r="AR298" s="129"/>
      <c r="AS298" s="129"/>
      <c r="AT298" s="129"/>
      <c r="AU298" s="129"/>
      <c r="AV298" s="129"/>
      <c r="AW298" s="129"/>
      <c r="AX298" s="129"/>
      <c r="AY298" s="129"/>
      <c r="AZ298" s="129"/>
      <c r="BA298" s="129"/>
      <c r="BB298" s="129"/>
      <c r="BC298" s="129"/>
      <c r="BD298" s="129"/>
      <c r="BE298" s="129"/>
      <c r="BF298" s="144"/>
      <c r="BG298" s="129"/>
      <c r="BH298" s="129"/>
      <c r="BI298" s="129"/>
      <c r="BJ298" s="129"/>
      <c r="BK298" s="129"/>
      <c r="BL298" s="129"/>
      <c r="BM298" s="129"/>
      <c r="BN298" s="129"/>
      <c r="BO298" s="129"/>
      <c r="BP298" s="129"/>
      <c r="BQ298" s="129"/>
      <c r="BR298" s="129"/>
      <c r="BS298" s="129"/>
      <c r="BT298" s="129"/>
      <c r="BU298" s="129"/>
      <c r="BV298" s="129"/>
      <c r="BW298" s="129"/>
      <c r="BX298" s="129"/>
      <c r="BY298" s="129"/>
      <c r="BZ298" s="129"/>
      <c r="CA298" s="129"/>
      <c r="CB298" s="129"/>
      <c r="CC298" s="129"/>
      <c r="CD298" s="129"/>
    </row>
    <row r="299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129"/>
      <c r="AN299" s="144"/>
      <c r="AO299" s="129"/>
      <c r="AP299" s="129"/>
      <c r="AQ299" s="129"/>
      <c r="AR299" s="129"/>
      <c r="AS299" s="129"/>
      <c r="AT299" s="129"/>
      <c r="AU299" s="129"/>
      <c r="AV299" s="129"/>
      <c r="AW299" s="129"/>
      <c r="AX299" s="129"/>
      <c r="AY299" s="129"/>
      <c r="AZ299" s="129"/>
      <c r="BA299" s="129"/>
      <c r="BB299" s="129"/>
      <c r="BC299" s="129"/>
      <c r="BD299" s="129"/>
      <c r="BE299" s="129"/>
      <c r="BF299" s="144"/>
      <c r="BG299" s="129"/>
      <c r="BH299" s="129"/>
      <c r="BI299" s="129"/>
      <c r="BJ299" s="129"/>
      <c r="BK299" s="129"/>
      <c r="BL299" s="129"/>
      <c r="BM299" s="129"/>
      <c r="BN299" s="129"/>
      <c r="BO299" s="129"/>
      <c r="BP299" s="129"/>
      <c r="BQ299" s="129"/>
      <c r="BR299" s="129"/>
      <c r="BS299" s="129"/>
      <c r="BT299" s="129"/>
      <c r="BU299" s="129"/>
      <c r="BV299" s="129"/>
      <c r="BW299" s="129"/>
      <c r="BX299" s="129"/>
      <c r="BY299" s="129"/>
      <c r="BZ299" s="129"/>
      <c r="CA299" s="129"/>
      <c r="CB299" s="129"/>
      <c r="CC299" s="129"/>
      <c r="CD299" s="129"/>
    </row>
    <row r="300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129"/>
      <c r="AN300" s="144"/>
      <c r="AO300" s="129"/>
      <c r="AP300" s="129"/>
      <c r="AQ300" s="129"/>
      <c r="AR300" s="129"/>
      <c r="AS300" s="129"/>
      <c r="AT300" s="129"/>
      <c r="AU300" s="129"/>
      <c r="AV300" s="129"/>
      <c r="AW300" s="129"/>
      <c r="AX300" s="129"/>
      <c r="AY300" s="129"/>
      <c r="AZ300" s="129"/>
      <c r="BA300" s="129"/>
      <c r="BB300" s="129"/>
      <c r="BC300" s="129"/>
      <c r="BD300" s="129"/>
      <c r="BE300" s="129"/>
      <c r="BF300" s="144"/>
      <c r="BG300" s="129"/>
      <c r="BH300" s="129"/>
      <c r="BI300" s="129"/>
      <c r="BJ300" s="129"/>
      <c r="BK300" s="129"/>
      <c r="BL300" s="129"/>
      <c r="BM300" s="129"/>
      <c r="BN300" s="129"/>
      <c r="BO300" s="129"/>
      <c r="BP300" s="129"/>
      <c r="BQ300" s="129"/>
      <c r="BR300" s="129"/>
      <c r="BS300" s="129"/>
      <c r="BT300" s="129"/>
      <c r="BU300" s="129"/>
      <c r="BV300" s="129"/>
      <c r="BW300" s="129"/>
      <c r="BX300" s="129"/>
      <c r="BY300" s="129"/>
      <c r="BZ300" s="129"/>
      <c r="CA300" s="129"/>
      <c r="CB300" s="129"/>
      <c r="CC300" s="129"/>
      <c r="CD300" s="129"/>
    </row>
    <row r="30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  <c r="AH301" s="129"/>
      <c r="AI301" s="129"/>
      <c r="AJ301" s="129"/>
      <c r="AK301" s="129"/>
      <c r="AL301" s="129"/>
      <c r="AM301" s="129"/>
      <c r="AN301" s="144"/>
      <c r="AO301" s="129"/>
      <c r="AP301" s="129"/>
      <c r="AQ301" s="129"/>
      <c r="AR301" s="129"/>
      <c r="AS301" s="129"/>
      <c r="AT301" s="129"/>
      <c r="AU301" s="129"/>
      <c r="AV301" s="129"/>
      <c r="AW301" s="129"/>
      <c r="AX301" s="129"/>
      <c r="AY301" s="129"/>
      <c r="AZ301" s="129"/>
      <c r="BA301" s="129"/>
      <c r="BB301" s="129"/>
      <c r="BC301" s="129"/>
      <c r="BD301" s="129"/>
      <c r="BE301" s="129"/>
      <c r="BF301" s="144"/>
      <c r="BG301" s="129"/>
      <c r="BH301" s="129"/>
      <c r="BI301" s="129"/>
      <c r="BJ301" s="129"/>
      <c r="BK301" s="129"/>
      <c r="BL301" s="129"/>
      <c r="BM301" s="129"/>
      <c r="BN301" s="129"/>
      <c r="BO301" s="129"/>
      <c r="BP301" s="129"/>
      <c r="BQ301" s="129"/>
      <c r="BR301" s="129"/>
      <c r="BS301" s="129"/>
      <c r="BT301" s="129"/>
      <c r="BU301" s="129"/>
      <c r="BV301" s="129"/>
      <c r="BW301" s="129"/>
      <c r="BX301" s="129"/>
      <c r="BY301" s="129"/>
      <c r="BZ301" s="129"/>
      <c r="CA301" s="129"/>
      <c r="CB301" s="129"/>
      <c r="CC301" s="129"/>
      <c r="CD301" s="129"/>
    </row>
    <row r="30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  <c r="AH302" s="129"/>
      <c r="AI302" s="129"/>
      <c r="AJ302" s="129"/>
      <c r="AK302" s="129"/>
      <c r="AL302" s="129"/>
      <c r="AM302" s="129"/>
      <c r="AN302" s="144"/>
      <c r="AO302" s="129"/>
      <c r="AP302" s="129"/>
      <c r="AQ302" s="129"/>
      <c r="AR302" s="129"/>
      <c r="AS302" s="129"/>
      <c r="AT302" s="129"/>
      <c r="AU302" s="129"/>
      <c r="AV302" s="129"/>
      <c r="AW302" s="129"/>
      <c r="AX302" s="129"/>
      <c r="AY302" s="129"/>
      <c r="AZ302" s="129"/>
      <c r="BA302" s="129"/>
      <c r="BB302" s="129"/>
      <c r="BC302" s="129"/>
      <c r="BD302" s="129"/>
      <c r="BE302" s="129"/>
      <c r="BF302" s="144"/>
      <c r="BG302" s="129"/>
      <c r="BH302" s="129"/>
      <c r="BI302" s="129"/>
      <c r="BJ302" s="129"/>
      <c r="BK302" s="129"/>
      <c r="BL302" s="129"/>
      <c r="BM302" s="129"/>
      <c r="BN302" s="129"/>
      <c r="BO302" s="129"/>
      <c r="BP302" s="129"/>
      <c r="BQ302" s="129"/>
      <c r="BR302" s="129"/>
      <c r="BS302" s="129"/>
      <c r="BT302" s="129"/>
      <c r="BU302" s="129"/>
      <c r="BV302" s="129"/>
      <c r="BW302" s="129"/>
      <c r="BX302" s="129"/>
      <c r="BY302" s="129"/>
      <c r="BZ302" s="129"/>
      <c r="CA302" s="129"/>
      <c r="CB302" s="129"/>
      <c r="CC302" s="129"/>
      <c r="CD302" s="129"/>
    </row>
    <row r="30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29"/>
      <c r="AM303" s="129"/>
      <c r="AN303" s="144"/>
      <c r="AO303" s="129"/>
      <c r="AP303" s="129"/>
      <c r="AQ303" s="129"/>
      <c r="AR303" s="129"/>
      <c r="AS303" s="129"/>
      <c r="AT303" s="129"/>
      <c r="AU303" s="129"/>
      <c r="AV303" s="129"/>
      <c r="AW303" s="129"/>
      <c r="AX303" s="129"/>
      <c r="AY303" s="129"/>
      <c r="AZ303" s="129"/>
      <c r="BA303" s="129"/>
      <c r="BB303" s="129"/>
      <c r="BC303" s="129"/>
      <c r="BD303" s="129"/>
      <c r="BE303" s="129"/>
      <c r="BF303" s="144"/>
      <c r="BG303" s="129"/>
      <c r="BH303" s="129"/>
      <c r="BI303" s="129"/>
      <c r="BJ303" s="129"/>
      <c r="BK303" s="129"/>
      <c r="BL303" s="129"/>
      <c r="BM303" s="129"/>
      <c r="BN303" s="129"/>
      <c r="BO303" s="129"/>
      <c r="BP303" s="129"/>
      <c r="BQ303" s="129"/>
      <c r="BR303" s="129"/>
      <c r="BS303" s="129"/>
      <c r="BT303" s="129"/>
      <c r="BU303" s="129"/>
      <c r="BV303" s="129"/>
      <c r="BW303" s="129"/>
      <c r="BX303" s="129"/>
      <c r="BY303" s="129"/>
      <c r="BZ303" s="129"/>
      <c r="CA303" s="129"/>
      <c r="CB303" s="129"/>
      <c r="CC303" s="129"/>
      <c r="CD303" s="129"/>
    </row>
    <row r="304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  <c r="AH304" s="129"/>
      <c r="AI304" s="129"/>
      <c r="AJ304" s="129"/>
      <c r="AK304" s="129"/>
      <c r="AL304" s="129"/>
      <c r="AM304" s="129"/>
      <c r="AN304" s="144"/>
      <c r="AO304" s="129"/>
      <c r="AP304" s="129"/>
      <c r="AQ304" s="129"/>
      <c r="AR304" s="129"/>
      <c r="AS304" s="129"/>
      <c r="AT304" s="129"/>
      <c r="AU304" s="129"/>
      <c r="AV304" s="129"/>
      <c r="AW304" s="129"/>
      <c r="AX304" s="129"/>
      <c r="AY304" s="129"/>
      <c r="AZ304" s="129"/>
      <c r="BA304" s="129"/>
      <c r="BB304" s="129"/>
      <c r="BC304" s="129"/>
      <c r="BD304" s="129"/>
      <c r="BE304" s="129"/>
      <c r="BF304" s="144"/>
      <c r="BG304" s="129"/>
      <c r="BH304" s="129"/>
      <c r="BI304" s="129"/>
      <c r="BJ304" s="129"/>
      <c r="BK304" s="129"/>
      <c r="BL304" s="129"/>
      <c r="BM304" s="129"/>
      <c r="BN304" s="129"/>
      <c r="BO304" s="129"/>
      <c r="BP304" s="129"/>
      <c r="BQ304" s="129"/>
      <c r="BR304" s="129"/>
      <c r="BS304" s="129"/>
      <c r="BT304" s="129"/>
      <c r="BU304" s="129"/>
      <c r="BV304" s="129"/>
      <c r="BW304" s="129"/>
      <c r="BX304" s="129"/>
      <c r="BY304" s="129"/>
      <c r="BZ304" s="129"/>
      <c r="CA304" s="129"/>
      <c r="CB304" s="129"/>
      <c r="CC304" s="129"/>
      <c r="CD304" s="129"/>
    </row>
    <row r="305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  <c r="AH305" s="129"/>
      <c r="AI305" s="129"/>
      <c r="AJ305" s="129"/>
      <c r="AK305" s="129"/>
      <c r="AL305" s="129"/>
      <c r="AM305" s="129"/>
      <c r="AN305" s="144"/>
      <c r="AO305" s="129"/>
      <c r="AP305" s="129"/>
      <c r="AQ305" s="129"/>
      <c r="AR305" s="129"/>
      <c r="AS305" s="129"/>
      <c r="AT305" s="129"/>
      <c r="AU305" s="129"/>
      <c r="AV305" s="129"/>
      <c r="AW305" s="129"/>
      <c r="AX305" s="129"/>
      <c r="AY305" s="129"/>
      <c r="AZ305" s="129"/>
      <c r="BA305" s="129"/>
      <c r="BB305" s="129"/>
      <c r="BC305" s="129"/>
      <c r="BD305" s="129"/>
      <c r="BE305" s="129"/>
      <c r="BF305" s="144"/>
      <c r="BG305" s="129"/>
      <c r="BH305" s="129"/>
      <c r="BI305" s="129"/>
      <c r="BJ305" s="129"/>
      <c r="BK305" s="129"/>
      <c r="BL305" s="129"/>
      <c r="BM305" s="129"/>
      <c r="BN305" s="129"/>
      <c r="BO305" s="129"/>
      <c r="BP305" s="129"/>
      <c r="BQ305" s="129"/>
      <c r="BR305" s="129"/>
      <c r="BS305" s="129"/>
      <c r="BT305" s="129"/>
      <c r="BU305" s="129"/>
      <c r="BV305" s="129"/>
      <c r="BW305" s="129"/>
      <c r="BX305" s="129"/>
      <c r="BY305" s="129"/>
      <c r="BZ305" s="129"/>
      <c r="CA305" s="129"/>
      <c r="CB305" s="129"/>
      <c r="CC305" s="129"/>
      <c r="CD305" s="129"/>
    </row>
    <row r="306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  <c r="AH306" s="129"/>
      <c r="AI306" s="129"/>
      <c r="AJ306" s="129"/>
      <c r="AK306" s="129"/>
      <c r="AL306" s="129"/>
      <c r="AM306" s="129"/>
      <c r="AN306" s="144"/>
      <c r="AO306" s="129"/>
      <c r="AP306" s="129"/>
      <c r="AQ306" s="129"/>
      <c r="AR306" s="129"/>
      <c r="AS306" s="129"/>
      <c r="AT306" s="129"/>
      <c r="AU306" s="129"/>
      <c r="AV306" s="129"/>
      <c r="AW306" s="129"/>
      <c r="AX306" s="129"/>
      <c r="AY306" s="129"/>
      <c r="AZ306" s="129"/>
      <c r="BA306" s="129"/>
      <c r="BB306" s="129"/>
      <c r="BC306" s="129"/>
      <c r="BD306" s="129"/>
      <c r="BE306" s="129"/>
      <c r="BF306" s="144"/>
      <c r="BG306" s="129"/>
      <c r="BH306" s="129"/>
      <c r="BI306" s="129"/>
      <c r="BJ306" s="129"/>
      <c r="BK306" s="129"/>
      <c r="BL306" s="129"/>
      <c r="BM306" s="129"/>
      <c r="BN306" s="129"/>
      <c r="BO306" s="129"/>
      <c r="BP306" s="129"/>
      <c r="BQ306" s="129"/>
      <c r="BR306" s="129"/>
      <c r="BS306" s="129"/>
      <c r="BT306" s="129"/>
      <c r="BU306" s="129"/>
      <c r="BV306" s="129"/>
      <c r="BW306" s="129"/>
      <c r="BX306" s="129"/>
      <c r="BY306" s="129"/>
      <c r="BZ306" s="129"/>
      <c r="CA306" s="129"/>
      <c r="CB306" s="129"/>
      <c r="CC306" s="129"/>
      <c r="CD306" s="129"/>
    </row>
    <row r="307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  <c r="AH307" s="129"/>
      <c r="AI307" s="129"/>
      <c r="AJ307" s="129"/>
      <c r="AK307" s="129"/>
      <c r="AL307" s="129"/>
      <c r="AM307" s="129"/>
      <c r="AN307" s="144"/>
      <c r="AO307" s="129"/>
      <c r="AP307" s="129"/>
      <c r="AQ307" s="129"/>
      <c r="AR307" s="129"/>
      <c r="AS307" s="129"/>
      <c r="AT307" s="129"/>
      <c r="AU307" s="129"/>
      <c r="AV307" s="129"/>
      <c r="AW307" s="129"/>
      <c r="AX307" s="129"/>
      <c r="AY307" s="129"/>
      <c r="AZ307" s="129"/>
      <c r="BA307" s="129"/>
      <c r="BB307" s="129"/>
      <c r="BC307" s="129"/>
      <c r="BD307" s="129"/>
      <c r="BE307" s="129"/>
      <c r="BF307" s="144"/>
      <c r="BG307" s="129"/>
      <c r="BH307" s="129"/>
      <c r="BI307" s="129"/>
      <c r="BJ307" s="129"/>
      <c r="BK307" s="129"/>
      <c r="BL307" s="129"/>
      <c r="BM307" s="129"/>
      <c r="BN307" s="129"/>
      <c r="BO307" s="129"/>
      <c r="BP307" s="129"/>
      <c r="BQ307" s="129"/>
      <c r="BR307" s="129"/>
      <c r="BS307" s="129"/>
      <c r="BT307" s="129"/>
      <c r="BU307" s="129"/>
      <c r="BV307" s="129"/>
      <c r="BW307" s="129"/>
      <c r="BX307" s="129"/>
      <c r="BY307" s="129"/>
      <c r="BZ307" s="129"/>
      <c r="CA307" s="129"/>
      <c r="CB307" s="129"/>
      <c r="CC307" s="129"/>
      <c r="CD307" s="129"/>
    </row>
    <row r="308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29"/>
      <c r="AM308" s="129"/>
      <c r="AN308" s="144"/>
      <c r="AO308" s="129"/>
      <c r="AP308" s="129"/>
      <c r="AQ308" s="129"/>
      <c r="AR308" s="129"/>
      <c r="AS308" s="129"/>
      <c r="AT308" s="129"/>
      <c r="AU308" s="129"/>
      <c r="AV308" s="129"/>
      <c r="AW308" s="129"/>
      <c r="AX308" s="129"/>
      <c r="AY308" s="129"/>
      <c r="AZ308" s="129"/>
      <c r="BA308" s="129"/>
      <c r="BB308" s="129"/>
      <c r="BC308" s="129"/>
      <c r="BD308" s="129"/>
      <c r="BE308" s="129"/>
      <c r="BF308" s="144"/>
      <c r="BG308" s="129"/>
      <c r="BH308" s="129"/>
      <c r="BI308" s="129"/>
      <c r="BJ308" s="129"/>
      <c r="BK308" s="129"/>
      <c r="BL308" s="129"/>
      <c r="BM308" s="129"/>
      <c r="BN308" s="129"/>
      <c r="BO308" s="129"/>
      <c r="BP308" s="129"/>
      <c r="BQ308" s="129"/>
      <c r="BR308" s="129"/>
      <c r="BS308" s="129"/>
      <c r="BT308" s="129"/>
      <c r="BU308" s="129"/>
      <c r="BV308" s="129"/>
      <c r="BW308" s="129"/>
      <c r="BX308" s="129"/>
      <c r="BY308" s="129"/>
      <c r="BZ308" s="129"/>
      <c r="CA308" s="129"/>
      <c r="CB308" s="129"/>
      <c r="CC308" s="129"/>
      <c r="CD308" s="129"/>
    </row>
    <row r="309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  <c r="AH309" s="129"/>
      <c r="AI309" s="129"/>
      <c r="AJ309" s="129"/>
      <c r="AK309" s="129"/>
      <c r="AL309" s="129"/>
      <c r="AM309" s="129"/>
      <c r="AN309" s="144"/>
      <c r="AO309" s="129"/>
      <c r="AP309" s="129"/>
      <c r="AQ309" s="129"/>
      <c r="AR309" s="129"/>
      <c r="AS309" s="129"/>
      <c r="AT309" s="129"/>
      <c r="AU309" s="129"/>
      <c r="AV309" s="129"/>
      <c r="AW309" s="129"/>
      <c r="AX309" s="129"/>
      <c r="AY309" s="129"/>
      <c r="AZ309" s="129"/>
      <c r="BA309" s="129"/>
      <c r="BB309" s="129"/>
      <c r="BC309" s="129"/>
      <c r="BD309" s="129"/>
      <c r="BE309" s="129"/>
      <c r="BF309" s="144"/>
      <c r="BG309" s="129"/>
      <c r="BH309" s="129"/>
      <c r="BI309" s="129"/>
      <c r="BJ309" s="129"/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29"/>
      <c r="BW309" s="129"/>
      <c r="BX309" s="129"/>
      <c r="BY309" s="129"/>
      <c r="BZ309" s="129"/>
      <c r="CA309" s="129"/>
      <c r="CB309" s="129"/>
      <c r="CC309" s="129"/>
      <c r="CD309" s="129"/>
    </row>
    <row r="310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44"/>
      <c r="AO310" s="129"/>
      <c r="AP310" s="129"/>
      <c r="AQ310" s="129"/>
      <c r="AR310" s="129"/>
      <c r="AS310" s="129"/>
      <c r="AT310" s="129"/>
      <c r="AU310" s="129"/>
      <c r="AV310" s="129"/>
      <c r="AW310" s="129"/>
      <c r="AX310" s="129"/>
      <c r="AY310" s="129"/>
      <c r="AZ310" s="129"/>
      <c r="BA310" s="129"/>
      <c r="BB310" s="129"/>
      <c r="BC310" s="129"/>
      <c r="BD310" s="129"/>
      <c r="BE310" s="129"/>
      <c r="BF310" s="144"/>
      <c r="BG310" s="129"/>
      <c r="BH310" s="129"/>
      <c r="BI310" s="129"/>
      <c r="BJ310" s="129"/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29"/>
      <c r="BW310" s="129"/>
      <c r="BX310" s="129"/>
      <c r="BY310" s="129"/>
      <c r="BZ310" s="129"/>
      <c r="CA310" s="129"/>
      <c r="CB310" s="129"/>
      <c r="CC310" s="129"/>
      <c r="CD310" s="129"/>
    </row>
    <row r="31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44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44"/>
      <c r="BG311" s="129"/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</row>
    <row r="31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  <c r="AH312" s="129"/>
      <c r="AI312" s="129"/>
      <c r="AJ312" s="129"/>
      <c r="AK312" s="129"/>
      <c r="AL312" s="129"/>
      <c r="AM312" s="129"/>
      <c r="AN312" s="144"/>
      <c r="AO312" s="129"/>
      <c r="AP312" s="129"/>
      <c r="AQ312" s="129"/>
      <c r="AR312" s="129"/>
      <c r="AS312" s="129"/>
      <c r="AT312" s="129"/>
      <c r="AU312" s="129"/>
      <c r="AV312" s="129"/>
      <c r="AW312" s="129"/>
      <c r="AX312" s="129"/>
      <c r="AY312" s="129"/>
      <c r="AZ312" s="129"/>
      <c r="BA312" s="129"/>
      <c r="BB312" s="129"/>
      <c r="BC312" s="129"/>
      <c r="BD312" s="129"/>
      <c r="BE312" s="129"/>
      <c r="BF312" s="144"/>
      <c r="BG312" s="129"/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29"/>
      <c r="BR312" s="129"/>
      <c r="BS312" s="129"/>
      <c r="BT312" s="129"/>
      <c r="BU312" s="129"/>
      <c r="BV312" s="129"/>
      <c r="BW312" s="129"/>
      <c r="BX312" s="129"/>
      <c r="BY312" s="129"/>
      <c r="BZ312" s="129"/>
      <c r="CA312" s="129"/>
      <c r="CB312" s="129"/>
      <c r="CC312" s="129"/>
      <c r="CD312" s="129"/>
    </row>
    <row r="31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29"/>
      <c r="AL313" s="129"/>
      <c r="AM313" s="129"/>
      <c r="AN313" s="144"/>
      <c r="AO313" s="129"/>
      <c r="AP313" s="129"/>
      <c r="AQ313" s="129"/>
      <c r="AR313" s="129"/>
      <c r="AS313" s="129"/>
      <c r="AT313" s="129"/>
      <c r="AU313" s="129"/>
      <c r="AV313" s="129"/>
      <c r="AW313" s="129"/>
      <c r="AX313" s="129"/>
      <c r="AY313" s="129"/>
      <c r="AZ313" s="129"/>
      <c r="BA313" s="129"/>
      <c r="BB313" s="129"/>
      <c r="BC313" s="129"/>
      <c r="BD313" s="129"/>
      <c r="BE313" s="129"/>
      <c r="BF313" s="144"/>
      <c r="BG313" s="129"/>
      <c r="BH313" s="129"/>
      <c r="BI313" s="129"/>
      <c r="BJ313" s="129"/>
      <c r="BK313" s="129"/>
      <c r="BL313" s="129"/>
      <c r="BM313" s="129"/>
      <c r="BN313" s="129"/>
      <c r="BO313" s="129"/>
      <c r="BP313" s="129"/>
      <c r="BQ313" s="129"/>
      <c r="BR313" s="129"/>
      <c r="BS313" s="129"/>
      <c r="BT313" s="129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</row>
    <row r="314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44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44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</row>
    <row r="315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44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44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</row>
    <row r="316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44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44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</row>
    <row r="317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44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44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</row>
    <row r="318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44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44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</row>
    <row r="319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44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44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</row>
    <row r="320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44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44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</row>
    <row r="32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44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44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</row>
    <row r="32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44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44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</row>
    <row r="32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44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44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</row>
    <row r="324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  <c r="AH324" s="129"/>
      <c r="AI324" s="129"/>
      <c r="AJ324" s="129"/>
      <c r="AK324" s="129"/>
      <c r="AL324" s="129"/>
      <c r="AM324" s="129"/>
      <c r="AN324" s="144"/>
      <c r="AO324" s="129"/>
      <c r="AP324" s="129"/>
      <c r="AQ324" s="129"/>
      <c r="AR324" s="129"/>
      <c r="AS324" s="129"/>
      <c r="AT324" s="129"/>
      <c r="AU324" s="129"/>
      <c r="AV324" s="129"/>
      <c r="AW324" s="129"/>
      <c r="AX324" s="129"/>
      <c r="AY324" s="129"/>
      <c r="AZ324" s="129"/>
      <c r="BA324" s="129"/>
      <c r="BB324" s="129"/>
      <c r="BC324" s="129"/>
      <c r="BD324" s="129"/>
      <c r="BE324" s="129"/>
      <c r="BF324" s="144"/>
      <c r="BG324" s="129"/>
      <c r="BH324" s="129"/>
      <c r="BI324" s="129"/>
      <c r="BJ324" s="129"/>
      <c r="BK324" s="129"/>
      <c r="BL324" s="129"/>
      <c r="BM324" s="129"/>
      <c r="BN324" s="129"/>
      <c r="BO324" s="129"/>
      <c r="BP324" s="129"/>
      <c r="BQ324" s="129"/>
      <c r="BR324" s="129"/>
      <c r="BS324" s="129"/>
      <c r="BT324" s="129"/>
      <c r="BU324" s="129"/>
      <c r="BV324" s="129"/>
      <c r="BW324" s="129"/>
      <c r="BX324" s="129"/>
      <c r="BY324" s="129"/>
      <c r="BZ324" s="129"/>
      <c r="CA324" s="129"/>
      <c r="CB324" s="129"/>
      <c r="CC324" s="129"/>
      <c r="CD324" s="129"/>
    </row>
    <row r="325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  <c r="AH325" s="129"/>
      <c r="AI325" s="129"/>
      <c r="AJ325" s="129"/>
      <c r="AK325" s="129"/>
      <c r="AL325" s="129"/>
      <c r="AM325" s="129"/>
      <c r="AN325" s="144"/>
      <c r="AO325" s="129"/>
      <c r="AP325" s="129"/>
      <c r="AQ325" s="129"/>
      <c r="AR325" s="129"/>
      <c r="AS325" s="129"/>
      <c r="AT325" s="129"/>
      <c r="AU325" s="129"/>
      <c r="AV325" s="129"/>
      <c r="AW325" s="129"/>
      <c r="AX325" s="129"/>
      <c r="AY325" s="129"/>
      <c r="AZ325" s="129"/>
      <c r="BA325" s="129"/>
      <c r="BB325" s="129"/>
      <c r="BC325" s="129"/>
      <c r="BD325" s="129"/>
      <c r="BE325" s="129"/>
      <c r="BF325" s="144"/>
      <c r="BG325" s="129"/>
      <c r="BH325" s="129"/>
      <c r="BI325" s="129"/>
      <c r="BJ325" s="129"/>
      <c r="BK325" s="129"/>
      <c r="BL325" s="129"/>
      <c r="BM325" s="129"/>
      <c r="BN325" s="129"/>
      <c r="BO325" s="129"/>
      <c r="BP325" s="129"/>
      <c r="BQ325" s="129"/>
      <c r="BR325" s="129"/>
      <c r="BS325" s="129"/>
      <c r="BT325" s="129"/>
      <c r="BU325" s="129"/>
      <c r="BV325" s="129"/>
      <c r="BW325" s="129"/>
      <c r="BX325" s="129"/>
      <c r="BY325" s="129"/>
      <c r="BZ325" s="129"/>
      <c r="CA325" s="129"/>
      <c r="CB325" s="129"/>
      <c r="CC325" s="129"/>
      <c r="CD325" s="129"/>
    </row>
    <row r="326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  <c r="AH326" s="129"/>
      <c r="AI326" s="129"/>
      <c r="AJ326" s="129"/>
      <c r="AK326" s="129"/>
      <c r="AL326" s="129"/>
      <c r="AM326" s="129"/>
      <c r="AN326" s="144"/>
      <c r="AO326" s="129"/>
      <c r="AP326" s="129"/>
      <c r="AQ326" s="129"/>
      <c r="AR326" s="129"/>
      <c r="AS326" s="129"/>
      <c r="AT326" s="129"/>
      <c r="AU326" s="129"/>
      <c r="AV326" s="129"/>
      <c r="AW326" s="129"/>
      <c r="AX326" s="129"/>
      <c r="AY326" s="129"/>
      <c r="AZ326" s="129"/>
      <c r="BA326" s="129"/>
      <c r="BB326" s="129"/>
      <c r="BC326" s="129"/>
      <c r="BD326" s="129"/>
      <c r="BE326" s="129"/>
      <c r="BF326" s="144"/>
      <c r="BG326" s="129"/>
      <c r="BH326" s="129"/>
      <c r="BI326" s="129"/>
      <c r="BJ326" s="129"/>
      <c r="BK326" s="129"/>
      <c r="BL326" s="129"/>
      <c r="BM326" s="129"/>
      <c r="BN326" s="129"/>
      <c r="BO326" s="129"/>
      <c r="BP326" s="129"/>
      <c r="BQ326" s="129"/>
      <c r="BR326" s="129"/>
      <c r="BS326" s="129"/>
      <c r="BT326" s="129"/>
      <c r="BU326" s="129"/>
      <c r="BV326" s="129"/>
      <c r="BW326" s="129"/>
      <c r="BX326" s="129"/>
      <c r="BY326" s="129"/>
      <c r="BZ326" s="129"/>
      <c r="CA326" s="129"/>
      <c r="CB326" s="129"/>
      <c r="CC326" s="129"/>
      <c r="CD326" s="129"/>
    </row>
    <row r="327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  <c r="AH327" s="129"/>
      <c r="AI327" s="129"/>
      <c r="AJ327" s="129"/>
      <c r="AK327" s="129"/>
      <c r="AL327" s="129"/>
      <c r="AM327" s="129"/>
      <c r="AN327" s="144"/>
      <c r="AO327" s="129"/>
      <c r="AP327" s="129"/>
      <c r="AQ327" s="129"/>
      <c r="AR327" s="129"/>
      <c r="AS327" s="129"/>
      <c r="AT327" s="129"/>
      <c r="AU327" s="129"/>
      <c r="AV327" s="129"/>
      <c r="AW327" s="129"/>
      <c r="AX327" s="129"/>
      <c r="AY327" s="129"/>
      <c r="AZ327" s="129"/>
      <c r="BA327" s="129"/>
      <c r="BB327" s="129"/>
      <c r="BC327" s="129"/>
      <c r="BD327" s="129"/>
      <c r="BE327" s="129"/>
      <c r="BF327" s="144"/>
      <c r="BG327" s="129"/>
      <c r="BH327" s="129"/>
      <c r="BI327" s="129"/>
      <c r="BJ327" s="129"/>
      <c r="BK327" s="129"/>
      <c r="BL327" s="129"/>
      <c r="BM327" s="129"/>
      <c r="BN327" s="129"/>
      <c r="BO327" s="129"/>
      <c r="BP327" s="129"/>
      <c r="BQ327" s="129"/>
      <c r="BR327" s="129"/>
      <c r="BS327" s="129"/>
      <c r="BT327" s="129"/>
      <c r="BU327" s="129"/>
      <c r="BV327" s="129"/>
      <c r="BW327" s="129"/>
      <c r="BX327" s="129"/>
      <c r="BY327" s="129"/>
      <c r="BZ327" s="129"/>
      <c r="CA327" s="129"/>
      <c r="CB327" s="129"/>
      <c r="CC327" s="129"/>
      <c r="CD327" s="129"/>
    </row>
    <row r="328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  <c r="AH328" s="129"/>
      <c r="AI328" s="129"/>
      <c r="AJ328" s="129"/>
      <c r="AK328" s="129"/>
      <c r="AL328" s="129"/>
      <c r="AM328" s="129"/>
      <c r="AN328" s="144"/>
      <c r="AO328" s="129"/>
      <c r="AP328" s="129"/>
      <c r="AQ328" s="129"/>
      <c r="AR328" s="129"/>
      <c r="AS328" s="129"/>
      <c r="AT328" s="129"/>
      <c r="AU328" s="129"/>
      <c r="AV328" s="129"/>
      <c r="AW328" s="129"/>
      <c r="AX328" s="129"/>
      <c r="AY328" s="129"/>
      <c r="AZ328" s="129"/>
      <c r="BA328" s="129"/>
      <c r="BB328" s="129"/>
      <c r="BC328" s="129"/>
      <c r="BD328" s="129"/>
      <c r="BE328" s="129"/>
      <c r="BF328" s="144"/>
      <c r="BG328" s="129"/>
      <c r="BH328" s="129"/>
      <c r="BI328" s="129"/>
      <c r="BJ328" s="129"/>
      <c r="BK328" s="129"/>
      <c r="BL328" s="129"/>
      <c r="BM328" s="129"/>
      <c r="BN328" s="129"/>
      <c r="BO328" s="129"/>
      <c r="BP328" s="129"/>
      <c r="BQ328" s="129"/>
      <c r="BR328" s="129"/>
      <c r="BS328" s="129"/>
      <c r="BT328" s="129"/>
      <c r="BU328" s="129"/>
      <c r="BV328" s="129"/>
      <c r="BW328" s="129"/>
      <c r="BX328" s="129"/>
      <c r="BY328" s="129"/>
      <c r="BZ328" s="129"/>
      <c r="CA328" s="129"/>
      <c r="CB328" s="129"/>
      <c r="CC328" s="129"/>
      <c r="CD328" s="129"/>
    </row>
    <row r="329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  <c r="AH329" s="129"/>
      <c r="AI329" s="129"/>
      <c r="AJ329" s="129"/>
      <c r="AK329" s="129"/>
      <c r="AL329" s="129"/>
      <c r="AM329" s="129"/>
      <c r="AN329" s="144"/>
      <c r="AO329" s="129"/>
      <c r="AP329" s="129"/>
      <c r="AQ329" s="129"/>
      <c r="AR329" s="129"/>
      <c r="AS329" s="129"/>
      <c r="AT329" s="129"/>
      <c r="AU329" s="129"/>
      <c r="AV329" s="129"/>
      <c r="AW329" s="129"/>
      <c r="AX329" s="129"/>
      <c r="AY329" s="129"/>
      <c r="AZ329" s="129"/>
      <c r="BA329" s="129"/>
      <c r="BB329" s="129"/>
      <c r="BC329" s="129"/>
      <c r="BD329" s="129"/>
      <c r="BE329" s="129"/>
      <c r="BF329" s="144"/>
      <c r="BG329" s="129"/>
      <c r="BH329" s="129"/>
      <c r="BI329" s="129"/>
      <c r="BJ329" s="129"/>
      <c r="BK329" s="129"/>
      <c r="BL329" s="129"/>
      <c r="BM329" s="129"/>
      <c r="BN329" s="129"/>
      <c r="BO329" s="129"/>
      <c r="BP329" s="129"/>
      <c r="BQ329" s="129"/>
      <c r="BR329" s="129"/>
      <c r="BS329" s="129"/>
      <c r="BT329" s="129"/>
      <c r="BU329" s="129"/>
      <c r="BV329" s="129"/>
      <c r="BW329" s="129"/>
      <c r="BX329" s="129"/>
      <c r="BY329" s="129"/>
      <c r="BZ329" s="129"/>
      <c r="CA329" s="129"/>
      <c r="CB329" s="129"/>
      <c r="CC329" s="129"/>
      <c r="CD329" s="129"/>
    </row>
    <row r="330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  <c r="AH330" s="129"/>
      <c r="AI330" s="129"/>
      <c r="AJ330" s="129"/>
      <c r="AK330" s="129"/>
      <c r="AL330" s="129"/>
      <c r="AM330" s="129"/>
      <c r="AN330" s="144"/>
      <c r="AO330" s="129"/>
      <c r="AP330" s="129"/>
      <c r="AQ330" s="129"/>
      <c r="AR330" s="129"/>
      <c r="AS330" s="129"/>
      <c r="AT330" s="129"/>
      <c r="AU330" s="129"/>
      <c r="AV330" s="129"/>
      <c r="AW330" s="129"/>
      <c r="AX330" s="129"/>
      <c r="AY330" s="129"/>
      <c r="AZ330" s="129"/>
      <c r="BA330" s="129"/>
      <c r="BB330" s="129"/>
      <c r="BC330" s="129"/>
      <c r="BD330" s="129"/>
      <c r="BE330" s="129"/>
      <c r="BF330" s="144"/>
      <c r="BG330" s="129"/>
      <c r="BH330" s="129"/>
      <c r="BI330" s="129"/>
      <c r="BJ330" s="129"/>
      <c r="BK330" s="129"/>
      <c r="BL330" s="129"/>
      <c r="BM330" s="129"/>
      <c r="BN330" s="129"/>
      <c r="BO330" s="129"/>
      <c r="BP330" s="129"/>
      <c r="BQ330" s="129"/>
      <c r="BR330" s="129"/>
      <c r="BS330" s="129"/>
      <c r="BT330" s="129"/>
      <c r="BU330" s="129"/>
      <c r="BV330" s="129"/>
      <c r="BW330" s="129"/>
      <c r="BX330" s="129"/>
      <c r="BY330" s="129"/>
      <c r="BZ330" s="129"/>
      <c r="CA330" s="129"/>
      <c r="CB330" s="129"/>
      <c r="CC330" s="129"/>
      <c r="CD330" s="129"/>
    </row>
    <row r="33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  <c r="AH331" s="129"/>
      <c r="AI331" s="129"/>
      <c r="AJ331" s="129"/>
      <c r="AK331" s="129"/>
      <c r="AL331" s="129"/>
      <c r="AM331" s="129"/>
      <c r="AN331" s="144"/>
      <c r="AO331" s="129"/>
      <c r="AP331" s="129"/>
      <c r="AQ331" s="129"/>
      <c r="AR331" s="129"/>
      <c r="AS331" s="129"/>
      <c r="AT331" s="129"/>
      <c r="AU331" s="129"/>
      <c r="AV331" s="129"/>
      <c r="AW331" s="129"/>
      <c r="AX331" s="129"/>
      <c r="AY331" s="129"/>
      <c r="AZ331" s="129"/>
      <c r="BA331" s="129"/>
      <c r="BB331" s="129"/>
      <c r="BC331" s="129"/>
      <c r="BD331" s="129"/>
      <c r="BE331" s="129"/>
      <c r="BF331" s="144"/>
      <c r="BG331" s="129"/>
      <c r="BH331" s="129"/>
      <c r="BI331" s="129"/>
      <c r="BJ331" s="129"/>
      <c r="BK331" s="129"/>
      <c r="BL331" s="129"/>
      <c r="BM331" s="129"/>
      <c r="BN331" s="129"/>
      <c r="BO331" s="129"/>
      <c r="BP331" s="129"/>
      <c r="BQ331" s="129"/>
      <c r="BR331" s="129"/>
      <c r="BS331" s="129"/>
      <c r="BT331" s="129"/>
      <c r="BU331" s="129"/>
      <c r="BV331" s="129"/>
      <c r="BW331" s="129"/>
      <c r="BX331" s="129"/>
      <c r="BY331" s="129"/>
      <c r="BZ331" s="129"/>
      <c r="CA331" s="129"/>
      <c r="CB331" s="129"/>
      <c r="CC331" s="129"/>
      <c r="CD331" s="129"/>
    </row>
    <row r="33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  <c r="AH332" s="129"/>
      <c r="AI332" s="129"/>
      <c r="AJ332" s="129"/>
      <c r="AK332" s="129"/>
      <c r="AL332" s="129"/>
      <c r="AM332" s="129"/>
      <c r="AN332" s="144"/>
      <c r="AO332" s="129"/>
      <c r="AP332" s="129"/>
      <c r="AQ332" s="129"/>
      <c r="AR332" s="129"/>
      <c r="AS332" s="129"/>
      <c r="AT332" s="129"/>
      <c r="AU332" s="129"/>
      <c r="AV332" s="129"/>
      <c r="AW332" s="129"/>
      <c r="AX332" s="129"/>
      <c r="AY332" s="129"/>
      <c r="AZ332" s="129"/>
      <c r="BA332" s="129"/>
      <c r="BB332" s="129"/>
      <c r="BC332" s="129"/>
      <c r="BD332" s="129"/>
      <c r="BE332" s="129"/>
      <c r="BF332" s="144"/>
      <c r="BG332" s="129"/>
      <c r="BH332" s="129"/>
      <c r="BI332" s="129"/>
      <c r="BJ332" s="129"/>
      <c r="BK332" s="129"/>
      <c r="BL332" s="129"/>
      <c r="BM332" s="129"/>
      <c r="BN332" s="129"/>
      <c r="BO332" s="129"/>
      <c r="BP332" s="129"/>
      <c r="BQ332" s="129"/>
      <c r="BR332" s="129"/>
      <c r="BS332" s="129"/>
      <c r="BT332" s="129"/>
      <c r="BU332" s="129"/>
      <c r="BV332" s="129"/>
      <c r="BW332" s="129"/>
      <c r="BX332" s="129"/>
      <c r="BY332" s="129"/>
      <c r="BZ332" s="129"/>
      <c r="CA332" s="129"/>
      <c r="CB332" s="129"/>
      <c r="CC332" s="129"/>
      <c r="CD332" s="129"/>
    </row>
    <row r="333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  <c r="AH333" s="129"/>
      <c r="AI333" s="129"/>
      <c r="AJ333" s="129"/>
      <c r="AK333" s="129"/>
      <c r="AL333" s="129"/>
      <c r="AM333" s="129"/>
      <c r="AN333" s="144"/>
      <c r="AO333" s="129"/>
      <c r="AP333" s="129"/>
      <c r="AQ333" s="129"/>
      <c r="AR333" s="129"/>
      <c r="AS333" s="129"/>
      <c r="AT333" s="129"/>
      <c r="AU333" s="129"/>
      <c r="AV333" s="129"/>
      <c r="AW333" s="129"/>
      <c r="AX333" s="129"/>
      <c r="AY333" s="129"/>
      <c r="AZ333" s="129"/>
      <c r="BA333" s="129"/>
      <c r="BB333" s="129"/>
      <c r="BC333" s="129"/>
      <c r="BD333" s="129"/>
      <c r="BE333" s="129"/>
      <c r="BF333" s="144"/>
      <c r="BG333" s="129"/>
      <c r="BH333" s="129"/>
      <c r="BI333" s="129"/>
      <c r="BJ333" s="129"/>
      <c r="BK333" s="129"/>
      <c r="BL333" s="129"/>
      <c r="BM333" s="129"/>
      <c r="BN333" s="129"/>
      <c r="BO333" s="129"/>
      <c r="BP333" s="129"/>
      <c r="BQ333" s="129"/>
      <c r="BR333" s="129"/>
      <c r="BS333" s="129"/>
      <c r="BT333" s="129"/>
      <c r="BU333" s="129"/>
      <c r="BV333" s="129"/>
      <c r="BW333" s="129"/>
      <c r="BX333" s="129"/>
      <c r="BY333" s="129"/>
      <c r="BZ333" s="129"/>
      <c r="CA333" s="129"/>
      <c r="CB333" s="129"/>
      <c r="CC333" s="129"/>
      <c r="CD333" s="129"/>
    </row>
    <row r="334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  <c r="AH334" s="129"/>
      <c r="AI334" s="129"/>
      <c r="AJ334" s="129"/>
      <c r="AK334" s="129"/>
      <c r="AL334" s="129"/>
      <c r="AM334" s="129"/>
      <c r="AN334" s="144"/>
      <c r="AO334" s="129"/>
      <c r="AP334" s="129"/>
      <c r="AQ334" s="129"/>
      <c r="AR334" s="129"/>
      <c r="AS334" s="129"/>
      <c r="AT334" s="129"/>
      <c r="AU334" s="129"/>
      <c r="AV334" s="129"/>
      <c r="AW334" s="129"/>
      <c r="AX334" s="129"/>
      <c r="AY334" s="129"/>
      <c r="AZ334" s="129"/>
      <c r="BA334" s="129"/>
      <c r="BB334" s="129"/>
      <c r="BC334" s="129"/>
      <c r="BD334" s="129"/>
      <c r="BE334" s="129"/>
      <c r="BF334" s="144"/>
      <c r="BG334" s="129"/>
      <c r="BH334" s="129"/>
      <c r="BI334" s="129"/>
      <c r="BJ334" s="129"/>
      <c r="BK334" s="129"/>
      <c r="BL334" s="129"/>
      <c r="BM334" s="129"/>
      <c r="BN334" s="129"/>
      <c r="BO334" s="129"/>
      <c r="BP334" s="129"/>
      <c r="BQ334" s="129"/>
      <c r="BR334" s="129"/>
      <c r="BS334" s="129"/>
      <c r="BT334" s="129"/>
      <c r="BU334" s="129"/>
      <c r="BV334" s="129"/>
      <c r="BW334" s="129"/>
      <c r="BX334" s="129"/>
      <c r="BY334" s="129"/>
      <c r="BZ334" s="129"/>
      <c r="CA334" s="129"/>
      <c r="CB334" s="129"/>
      <c r="CC334" s="129"/>
      <c r="CD334" s="129"/>
    </row>
    <row r="335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  <c r="AH335" s="129"/>
      <c r="AI335" s="129"/>
      <c r="AJ335" s="129"/>
      <c r="AK335" s="129"/>
      <c r="AL335" s="129"/>
      <c r="AM335" s="129"/>
      <c r="AN335" s="144"/>
      <c r="AO335" s="129"/>
      <c r="AP335" s="129"/>
      <c r="AQ335" s="129"/>
      <c r="AR335" s="129"/>
      <c r="AS335" s="129"/>
      <c r="AT335" s="129"/>
      <c r="AU335" s="129"/>
      <c r="AV335" s="129"/>
      <c r="AW335" s="129"/>
      <c r="AX335" s="129"/>
      <c r="AY335" s="129"/>
      <c r="AZ335" s="129"/>
      <c r="BA335" s="129"/>
      <c r="BB335" s="129"/>
      <c r="BC335" s="129"/>
      <c r="BD335" s="129"/>
      <c r="BE335" s="129"/>
      <c r="BF335" s="144"/>
      <c r="BG335" s="129"/>
      <c r="BH335" s="129"/>
      <c r="BI335" s="129"/>
      <c r="BJ335" s="129"/>
      <c r="BK335" s="129"/>
      <c r="BL335" s="129"/>
      <c r="BM335" s="129"/>
      <c r="BN335" s="129"/>
      <c r="BO335" s="129"/>
      <c r="BP335" s="129"/>
      <c r="BQ335" s="129"/>
      <c r="BR335" s="129"/>
      <c r="BS335" s="129"/>
      <c r="BT335" s="129"/>
      <c r="BU335" s="129"/>
      <c r="BV335" s="129"/>
      <c r="BW335" s="129"/>
      <c r="BX335" s="129"/>
      <c r="BY335" s="129"/>
      <c r="BZ335" s="129"/>
      <c r="CA335" s="129"/>
      <c r="CB335" s="129"/>
      <c r="CC335" s="129"/>
      <c r="CD335" s="129"/>
    </row>
    <row r="336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  <c r="AH336" s="129"/>
      <c r="AI336" s="129"/>
      <c r="AJ336" s="129"/>
      <c r="AK336" s="129"/>
      <c r="AL336" s="129"/>
      <c r="AM336" s="129"/>
      <c r="AN336" s="144"/>
      <c r="AO336" s="129"/>
      <c r="AP336" s="129"/>
      <c r="AQ336" s="129"/>
      <c r="AR336" s="129"/>
      <c r="AS336" s="129"/>
      <c r="AT336" s="129"/>
      <c r="AU336" s="129"/>
      <c r="AV336" s="129"/>
      <c r="AW336" s="129"/>
      <c r="AX336" s="129"/>
      <c r="AY336" s="129"/>
      <c r="AZ336" s="129"/>
      <c r="BA336" s="129"/>
      <c r="BB336" s="129"/>
      <c r="BC336" s="129"/>
      <c r="BD336" s="129"/>
      <c r="BE336" s="129"/>
      <c r="BF336" s="144"/>
      <c r="BG336" s="129"/>
      <c r="BH336" s="129"/>
      <c r="BI336" s="129"/>
      <c r="BJ336" s="129"/>
      <c r="BK336" s="129"/>
      <c r="BL336" s="129"/>
      <c r="BM336" s="129"/>
      <c r="BN336" s="129"/>
      <c r="BO336" s="129"/>
      <c r="BP336" s="129"/>
      <c r="BQ336" s="129"/>
      <c r="BR336" s="129"/>
      <c r="BS336" s="129"/>
      <c r="BT336" s="129"/>
      <c r="BU336" s="129"/>
      <c r="BV336" s="129"/>
      <c r="BW336" s="129"/>
      <c r="BX336" s="129"/>
      <c r="BY336" s="129"/>
      <c r="BZ336" s="129"/>
      <c r="CA336" s="129"/>
      <c r="CB336" s="129"/>
      <c r="CC336" s="129"/>
      <c r="CD336" s="129"/>
    </row>
    <row r="337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  <c r="AH337" s="129"/>
      <c r="AI337" s="129"/>
      <c r="AJ337" s="129"/>
      <c r="AK337" s="129"/>
      <c r="AL337" s="129"/>
      <c r="AM337" s="129"/>
      <c r="AN337" s="144"/>
      <c r="AO337" s="129"/>
      <c r="AP337" s="129"/>
      <c r="AQ337" s="129"/>
      <c r="AR337" s="129"/>
      <c r="AS337" s="129"/>
      <c r="AT337" s="129"/>
      <c r="AU337" s="129"/>
      <c r="AV337" s="129"/>
      <c r="AW337" s="129"/>
      <c r="AX337" s="129"/>
      <c r="AY337" s="129"/>
      <c r="AZ337" s="129"/>
      <c r="BA337" s="129"/>
      <c r="BB337" s="129"/>
      <c r="BC337" s="129"/>
      <c r="BD337" s="129"/>
      <c r="BE337" s="129"/>
      <c r="BF337" s="144"/>
      <c r="BG337" s="129"/>
      <c r="BH337" s="129"/>
      <c r="BI337" s="129"/>
      <c r="BJ337" s="129"/>
      <c r="BK337" s="129"/>
      <c r="BL337" s="129"/>
      <c r="BM337" s="129"/>
      <c r="BN337" s="129"/>
      <c r="BO337" s="129"/>
      <c r="BP337" s="129"/>
      <c r="BQ337" s="129"/>
      <c r="BR337" s="129"/>
      <c r="BS337" s="129"/>
      <c r="BT337" s="129"/>
      <c r="BU337" s="129"/>
      <c r="BV337" s="129"/>
      <c r="BW337" s="129"/>
      <c r="BX337" s="129"/>
      <c r="BY337" s="129"/>
      <c r="BZ337" s="129"/>
      <c r="CA337" s="129"/>
      <c r="CB337" s="129"/>
      <c r="CC337" s="129"/>
      <c r="CD337" s="129"/>
    </row>
    <row r="338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  <c r="AH338" s="129"/>
      <c r="AI338" s="129"/>
      <c r="AJ338" s="129"/>
      <c r="AK338" s="129"/>
      <c r="AL338" s="129"/>
      <c r="AM338" s="129"/>
      <c r="AN338" s="144"/>
      <c r="AO338" s="129"/>
      <c r="AP338" s="129"/>
      <c r="AQ338" s="129"/>
      <c r="AR338" s="129"/>
      <c r="AS338" s="129"/>
      <c r="AT338" s="129"/>
      <c r="AU338" s="129"/>
      <c r="AV338" s="129"/>
      <c r="AW338" s="129"/>
      <c r="AX338" s="129"/>
      <c r="AY338" s="129"/>
      <c r="AZ338" s="129"/>
      <c r="BA338" s="129"/>
      <c r="BB338" s="129"/>
      <c r="BC338" s="129"/>
      <c r="BD338" s="129"/>
      <c r="BE338" s="129"/>
      <c r="BF338" s="144"/>
      <c r="BG338" s="129"/>
      <c r="BH338" s="129"/>
      <c r="BI338" s="129"/>
      <c r="BJ338" s="129"/>
      <c r="BK338" s="129"/>
      <c r="BL338" s="129"/>
      <c r="BM338" s="129"/>
      <c r="BN338" s="129"/>
      <c r="BO338" s="129"/>
      <c r="BP338" s="129"/>
      <c r="BQ338" s="129"/>
      <c r="BR338" s="129"/>
      <c r="BS338" s="129"/>
      <c r="BT338" s="129"/>
      <c r="BU338" s="129"/>
      <c r="BV338" s="129"/>
      <c r="BW338" s="129"/>
      <c r="BX338" s="129"/>
      <c r="BY338" s="129"/>
      <c r="BZ338" s="129"/>
      <c r="CA338" s="129"/>
      <c r="CB338" s="129"/>
      <c r="CC338" s="129"/>
      <c r="CD338" s="129"/>
    </row>
    <row r="339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  <c r="AH339" s="129"/>
      <c r="AI339" s="129"/>
      <c r="AJ339" s="129"/>
      <c r="AK339" s="129"/>
      <c r="AL339" s="129"/>
      <c r="AM339" s="129"/>
      <c r="AN339" s="144"/>
      <c r="AO339" s="129"/>
      <c r="AP339" s="129"/>
      <c r="AQ339" s="129"/>
      <c r="AR339" s="129"/>
      <c r="AS339" s="129"/>
      <c r="AT339" s="129"/>
      <c r="AU339" s="129"/>
      <c r="AV339" s="129"/>
      <c r="AW339" s="129"/>
      <c r="AX339" s="129"/>
      <c r="AY339" s="129"/>
      <c r="AZ339" s="129"/>
      <c r="BA339" s="129"/>
      <c r="BB339" s="129"/>
      <c r="BC339" s="129"/>
      <c r="BD339" s="129"/>
      <c r="BE339" s="129"/>
      <c r="BF339" s="144"/>
      <c r="BG339" s="129"/>
      <c r="BH339" s="129"/>
      <c r="BI339" s="129"/>
      <c r="BJ339" s="129"/>
      <c r="BK339" s="129"/>
      <c r="BL339" s="129"/>
      <c r="BM339" s="129"/>
      <c r="BN339" s="129"/>
      <c r="BO339" s="129"/>
      <c r="BP339" s="129"/>
      <c r="BQ339" s="129"/>
      <c r="BR339" s="129"/>
      <c r="BS339" s="129"/>
      <c r="BT339" s="129"/>
      <c r="BU339" s="129"/>
      <c r="BV339" s="129"/>
      <c r="BW339" s="129"/>
      <c r="BX339" s="129"/>
      <c r="BY339" s="129"/>
      <c r="BZ339" s="129"/>
      <c r="CA339" s="129"/>
      <c r="CB339" s="129"/>
      <c r="CC339" s="129"/>
      <c r="CD339" s="129"/>
    </row>
    <row r="340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  <c r="AH340" s="129"/>
      <c r="AI340" s="129"/>
      <c r="AJ340" s="129"/>
      <c r="AK340" s="129"/>
      <c r="AL340" s="129"/>
      <c r="AM340" s="129"/>
      <c r="AN340" s="144"/>
      <c r="AO340" s="129"/>
      <c r="AP340" s="129"/>
      <c r="AQ340" s="129"/>
      <c r="AR340" s="129"/>
      <c r="AS340" s="129"/>
      <c r="AT340" s="129"/>
      <c r="AU340" s="129"/>
      <c r="AV340" s="129"/>
      <c r="AW340" s="129"/>
      <c r="AX340" s="129"/>
      <c r="AY340" s="129"/>
      <c r="AZ340" s="129"/>
      <c r="BA340" s="129"/>
      <c r="BB340" s="129"/>
      <c r="BC340" s="129"/>
      <c r="BD340" s="129"/>
      <c r="BE340" s="129"/>
      <c r="BF340" s="144"/>
      <c r="BG340" s="129"/>
      <c r="BH340" s="129"/>
      <c r="BI340" s="129"/>
      <c r="BJ340" s="129"/>
      <c r="BK340" s="129"/>
      <c r="BL340" s="129"/>
      <c r="BM340" s="129"/>
      <c r="BN340" s="129"/>
      <c r="BO340" s="129"/>
      <c r="BP340" s="129"/>
      <c r="BQ340" s="129"/>
      <c r="BR340" s="129"/>
      <c r="BS340" s="129"/>
      <c r="BT340" s="129"/>
      <c r="BU340" s="129"/>
      <c r="BV340" s="129"/>
      <c r="BW340" s="129"/>
      <c r="BX340" s="129"/>
      <c r="BY340" s="129"/>
      <c r="BZ340" s="129"/>
      <c r="CA340" s="129"/>
      <c r="CB340" s="129"/>
      <c r="CC340" s="129"/>
      <c r="CD340" s="129"/>
    </row>
    <row r="34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  <c r="AH341" s="129"/>
      <c r="AI341" s="129"/>
      <c r="AJ341" s="129"/>
      <c r="AK341" s="129"/>
      <c r="AL341" s="129"/>
      <c r="AM341" s="129"/>
      <c r="AN341" s="144"/>
      <c r="AO341" s="129"/>
      <c r="AP341" s="129"/>
      <c r="AQ341" s="129"/>
      <c r="AR341" s="129"/>
      <c r="AS341" s="129"/>
      <c r="AT341" s="129"/>
      <c r="AU341" s="129"/>
      <c r="AV341" s="129"/>
      <c r="AW341" s="129"/>
      <c r="AX341" s="129"/>
      <c r="AY341" s="129"/>
      <c r="AZ341" s="129"/>
      <c r="BA341" s="129"/>
      <c r="BB341" s="129"/>
      <c r="BC341" s="129"/>
      <c r="BD341" s="129"/>
      <c r="BE341" s="129"/>
      <c r="BF341" s="144"/>
      <c r="BG341" s="129"/>
      <c r="BH341" s="129"/>
      <c r="BI341" s="129"/>
      <c r="BJ341" s="129"/>
      <c r="BK341" s="129"/>
      <c r="BL341" s="129"/>
      <c r="BM341" s="129"/>
      <c r="BN341" s="129"/>
      <c r="BO341" s="129"/>
      <c r="BP341" s="129"/>
      <c r="BQ341" s="129"/>
      <c r="BR341" s="129"/>
      <c r="BS341" s="129"/>
      <c r="BT341" s="129"/>
      <c r="BU341" s="129"/>
      <c r="BV341" s="129"/>
      <c r="BW341" s="129"/>
      <c r="BX341" s="129"/>
      <c r="BY341" s="129"/>
      <c r="BZ341" s="129"/>
      <c r="CA341" s="129"/>
      <c r="CB341" s="129"/>
      <c r="CC341" s="129"/>
      <c r="CD341" s="129"/>
    </row>
    <row r="34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  <c r="AH342" s="129"/>
      <c r="AI342" s="129"/>
      <c r="AJ342" s="129"/>
      <c r="AK342" s="129"/>
      <c r="AL342" s="129"/>
      <c r="AM342" s="129"/>
      <c r="AN342" s="144"/>
      <c r="AO342" s="129"/>
      <c r="AP342" s="129"/>
      <c r="AQ342" s="129"/>
      <c r="AR342" s="129"/>
      <c r="AS342" s="129"/>
      <c r="AT342" s="129"/>
      <c r="AU342" s="129"/>
      <c r="AV342" s="129"/>
      <c r="AW342" s="129"/>
      <c r="AX342" s="129"/>
      <c r="AY342" s="129"/>
      <c r="AZ342" s="129"/>
      <c r="BA342" s="129"/>
      <c r="BB342" s="129"/>
      <c r="BC342" s="129"/>
      <c r="BD342" s="129"/>
      <c r="BE342" s="129"/>
      <c r="BF342" s="144"/>
      <c r="BG342" s="129"/>
      <c r="BH342" s="129"/>
      <c r="BI342" s="129"/>
      <c r="BJ342" s="129"/>
      <c r="BK342" s="129"/>
      <c r="BL342" s="129"/>
      <c r="BM342" s="129"/>
      <c r="BN342" s="129"/>
      <c r="BO342" s="129"/>
      <c r="BP342" s="129"/>
      <c r="BQ342" s="129"/>
      <c r="BR342" s="129"/>
      <c r="BS342" s="129"/>
      <c r="BT342" s="129"/>
      <c r="BU342" s="129"/>
      <c r="BV342" s="129"/>
      <c r="BW342" s="129"/>
      <c r="BX342" s="129"/>
      <c r="BY342" s="129"/>
      <c r="BZ342" s="129"/>
      <c r="CA342" s="129"/>
      <c r="CB342" s="129"/>
      <c r="CC342" s="129"/>
      <c r="CD342" s="129"/>
    </row>
    <row r="343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  <c r="AH343" s="129"/>
      <c r="AI343" s="129"/>
      <c r="AJ343" s="129"/>
      <c r="AK343" s="129"/>
      <c r="AL343" s="129"/>
      <c r="AM343" s="129"/>
      <c r="AN343" s="144"/>
      <c r="AO343" s="129"/>
      <c r="AP343" s="129"/>
      <c r="AQ343" s="129"/>
      <c r="AR343" s="129"/>
      <c r="AS343" s="129"/>
      <c r="AT343" s="129"/>
      <c r="AU343" s="129"/>
      <c r="AV343" s="129"/>
      <c r="AW343" s="129"/>
      <c r="AX343" s="129"/>
      <c r="AY343" s="129"/>
      <c r="AZ343" s="129"/>
      <c r="BA343" s="129"/>
      <c r="BB343" s="129"/>
      <c r="BC343" s="129"/>
      <c r="BD343" s="129"/>
      <c r="BE343" s="129"/>
      <c r="BF343" s="144"/>
      <c r="BG343" s="129"/>
      <c r="BH343" s="129"/>
      <c r="BI343" s="129"/>
      <c r="BJ343" s="129"/>
      <c r="BK343" s="129"/>
      <c r="BL343" s="129"/>
      <c r="BM343" s="129"/>
      <c r="BN343" s="129"/>
      <c r="BO343" s="129"/>
      <c r="BP343" s="129"/>
      <c r="BQ343" s="129"/>
      <c r="BR343" s="129"/>
      <c r="BS343" s="129"/>
      <c r="BT343" s="129"/>
      <c r="BU343" s="129"/>
      <c r="BV343" s="129"/>
      <c r="BW343" s="129"/>
      <c r="BX343" s="129"/>
      <c r="BY343" s="129"/>
      <c r="BZ343" s="129"/>
      <c r="CA343" s="129"/>
      <c r="CB343" s="129"/>
      <c r="CC343" s="129"/>
      <c r="CD343" s="129"/>
    </row>
    <row r="344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  <c r="AH344" s="129"/>
      <c r="AI344" s="129"/>
      <c r="AJ344" s="129"/>
      <c r="AK344" s="129"/>
      <c r="AL344" s="129"/>
      <c r="AM344" s="129"/>
      <c r="AN344" s="144"/>
      <c r="AO344" s="129"/>
      <c r="AP344" s="129"/>
      <c r="AQ344" s="129"/>
      <c r="AR344" s="129"/>
      <c r="AS344" s="129"/>
      <c r="AT344" s="129"/>
      <c r="AU344" s="129"/>
      <c r="AV344" s="129"/>
      <c r="AW344" s="129"/>
      <c r="AX344" s="129"/>
      <c r="AY344" s="129"/>
      <c r="AZ344" s="129"/>
      <c r="BA344" s="129"/>
      <c r="BB344" s="129"/>
      <c r="BC344" s="129"/>
      <c r="BD344" s="129"/>
      <c r="BE344" s="129"/>
      <c r="BF344" s="144"/>
      <c r="BG344" s="129"/>
      <c r="BH344" s="129"/>
      <c r="BI344" s="129"/>
      <c r="BJ344" s="129"/>
      <c r="BK344" s="129"/>
      <c r="BL344" s="129"/>
      <c r="BM344" s="129"/>
      <c r="BN344" s="129"/>
      <c r="BO344" s="129"/>
      <c r="BP344" s="129"/>
      <c r="BQ344" s="129"/>
      <c r="BR344" s="129"/>
      <c r="BS344" s="129"/>
      <c r="BT344" s="129"/>
      <c r="BU344" s="129"/>
      <c r="BV344" s="129"/>
      <c r="BW344" s="129"/>
      <c r="BX344" s="129"/>
      <c r="BY344" s="129"/>
      <c r="BZ344" s="129"/>
      <c r="CA344" s="129"/>
      <c r="CB344" s="129"/>
      <c r="CC344" s="129"/>
      <c r="CD344" s="129"/>
    </row>
    <row r="345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29"/>
      <c r="AM345" s="129"/>
      <c r="AN345" s="144"/>
      <c r="AO345" s="129"/>
      <c r="AP345" s="129"/>
      <c r="AQ345" s="129"/>
      <c r="AR345" s="129"/>
      <c r="AS345" s="129"/>
      <c r="AT345" s="129"/>
      <c r="AU345" s="129"/>
      <c r="AV345" s="129"/>
      <c r="AW345" s="129"/>
      <c r="AX345" s="129"/>
      <c r="AY345" s="129"/>
      <c r="AZ345" s="129"/>
      <c r="BA345" s="129"/>
      <c r="BB345" s="129"/>
      <c r="BC345" s="129"/>
      <c r="BD345" s="129"/>
      <c r="BE345" s="129"/>
      <c r="BF345" s="144"/>
      <c r="BG345" s="129"/>
      <c r="BH345" s="129"/>
      <c r="BI345" s="129"/>
      <c r="BJ345" s="129"/>
      <c r="BK345" s="129"/>
      <c r="BL345" s="129"/>
      <c r="BM345" s="129"/>
      <c r="BN345" s="129"/>
      <c r="BO345" s="129"/>
      <c r="BP345" s="129"/>
      <c r="BQ345" s="129"/>
      <c r="BR345" s="129"/>
      <c r="BS345" s="129"/>
      <c r="BT345" s="129"/>
      <c r="BU345" s="129"/>
      <c r="BV345" s="129"/>
      <c r="BW345" s="129"/>
      <c r="BX345" s="129"/>
      <c r="BY345" s="129"/>
      <c r="BZ345" s="129"/>
      <c r="CA345" s="129"/>
      <c r="CB345" s="129"/>
      <c r="CC345" s="129"/>
      <c r="CD345" s="129"/>
    </row>
    <row r="346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29"/>
      <c r="AM346" s="129"/>
      <c r="AN346" s="144"/>
      <c r="AO346" s="129"/>
      <c r="AP346" s="129"/>
      <c r="AQ346" s="129"/>
      <c r="AR346" s="129"/>
      <c r="AS346" s="129"/>
      <c r="AT346" s="129"/>
      <c r="AU346" s="129"/>
      <c r="AV346" s="129"/>
      <c r="AW346" s="129"/>
      <c r="AX346" s="129"/>
      <c r="AY346" s="129"/>
      <c r="AZ346" s="129"/>
      <c r="BA346" s="129"/>
      <c r="BB346" s="129"/>
      <c r="BC346" s="129"/>
      <c r="BD346" s="129"/>
      <c r="BE346" s="129"/>
      <c r="BF346" s="144"/>
      <c r="BG346" s="129"/>
      <c r="BH346" s="129"/>
      <c r="BI346" s="129"/>
      <c r="BJ346" s="129"/>
      <c r="BK346" s="129"/>
      <c r="BL346" s="129"/>
      <c r="BM346" s="129"/>
      <c r="BN346" s="129"/>
      <c r="BO346" s="129"/>
      <c r="BP346" s="129"/>
      <c r="BQ346" s="129"/>
      <c r="BR346" s="129"/>
      <c r="BS346" s="129"/>
      <c r="BT346" s="129"/>
      <c r="BU346" s="129"/>
      <c r="BV346" s="129"/>
      <c r="BW346" s="129"/>
      <c r="BX346" s="129"/>
      <c r="BY346" s="129"/>
      <c r="BZ346" s="129"/>
      <c r="CA346" s="129"/>
      <c r="CB346" s="129"/>
      <c r="CC346" s="129"/>
      <c r="CD346" s="129"/>
    </row>
    <row r="347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  <c r="AH347" s="129"/>
      <c r="AI347" s="129"/>
      <c r="AJ347" s="129"/>
      <c r="AK347" s="129"/>
      <c r="AL347" s="129"/>
      <c r="AM347" s="129"/>
      <c r="AN347" s="144"/>
      <c r="AO347" s="129"/>
      <c r="AP347" s="129"/>
      <c r="AQ347" s="129"/>
      <c r="AR347" s="129"/>
      <c r="AS347" s="129"/>
      <c r="AT347" s="129"/>
      <c r="AU347" s="129"/>
      <c r="AV347" s="129"/>
      <c r="AW347" s="129"/>
      <c r="AX347" s="129"/>
      <c r="AY347" s="129"/>
      <c r="AZ347" s="129"/>
      <c r="BA347" s="129"/>
      <c r="BB347" s="129"/>
      <c r="BC347" s="129"/>
      <c r="BD347" s="129"/>
      <c r="BE347" s="129"/>
      <c r="BF347" s="144"/>
      <c r="BG347" s="129"/>
      <c r="BH347" s="129"/>
      <c r="BI347" s="129"/>
      <c r="BJ347" s="129"/>
      <c r="BK347" s="129"/>
      <c r="BL347" s="129"/>
      <c r="BM347" s="129"/>
      <c r="BN347" s="129"/>
      <c r="BO347" s="129"/>
      <c r="BP347" s="129"/>
      <c r="BQ347" s="129"/>
      <c r="BR347" s="129"/>
      <c r="BS347" s="129"/>
      <c r="BT347" s="129"/>
      <c r="BU347" s="129"/>
      <c r="BV347" s="129"/>
      <c r="BW347" s="129"/>
      <c r="BX347" s="129"/>
      <c r="BY347" s="129"/>
      <c r="BZ347" s="129"/>
      <c r="CA347" s="129"/>
      <c r="CB347" s="129"/>
      <c r="CC347" s="129"/>
      <c r="CD347" s="129"/>
    </row>
    <row r="348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44"/>
      <c r="AO348" s="129"/>
      <c r="AP348" s="129"/>
      <c r="AQ348" s="129"/>
      <c r="AR348" s="129"/>
      <c r="AS348" s="129"/>
      <c r="AT348" s="129"/>
      <c r="AU348" s="129"/>
      <c r="AV348" s="129"/>
      <c r="AW348" s="129"/>
      <c r="AX348" s="129"/>
      <c r="AY348" s="129"/>
      <c r="AZ348" s="129"/>
      <c r="BA348" s="129"/>
      <c r="BB348" s="129"/>
      <c r="BC348" s="129"/>
      <c r="BD348" s="129"/>
      <c r="BE348" s="129"/>
      <c r="BF348" s="144"/>
      <c r="BG348" s="129"/>
      <c r="BH348" s="129"/>
      <c r="BI348" s="129"/>
      <c r="BJ348" s="129"/>
      <c r="BK348" s="129"/>
      <c r="BL348" s="129"/>
      <c r="BM348" s="129"/>
      <c r="BN348" s="129"/>
      <c r="BO348" s="129"/>
      <c r="BP348" s="129"/>
      <c r="BQ348" s="129"/>
      <c r="BR348" s="129"/>
      <c r="BS348" s="129"/>
      <c r="BT348" s="129"/>
      <c r="BU348" s="129"/>
      <c r="BV348" s="129"/>
      <c r="BW348" s="129"/>
      <c r="BX348" s="129"/>
      <c r="BY348" s="129"/>
      <c r="BZ348" s="129"/>
      <c r="CA348" s="129"/>
      <c r="CB348" s="129"/>
      <c r="CC348" s="129"/>
      <c r="CD348" s="129"/>
    </row>
    <row r="349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44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44"/>
      <c r="BG349" s="129"/>
      <c r="BH349" s="129"/>
      <c r="BI349" s="129"/>
      <c r="BJ349" s="129"/>
      <c r="BK349" s="129"/>
      <c r="BL349" s="129"/>
      <c r="BM349" s="129"/>
      <c r="BN349" s="129"/>
      <c r="BO349" s="129"/>
      <c r="BP349" s="129"/>
      <c r="BQ349" s="129"/>
      <c r="BR349" s="129"/>
      <c r="BS349" s="129"/>
      <c r="BT349" s="129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</row>
    <row r="350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  <c r="AH350" s="129"/>
      <c r="AI350" s="129"/>
      <c r="AJ350" s="129"/>
      <c r="AK350" s="129"/>
      <c r="AL350" s="129"/>
      <c r="AM350" s="129"/>
      <c r="AN350" s="144"/>
      <c r="AO350" s="129"/>
      <c r="AP350" s="129"/>
      <c r="AQ350" s="129"/>
      <c r="AR350" s="129"/>
      <c r="AS350" s="129"/>
      <c r="AT350" s="129"/>
      <c r="AU350" s="129"/>
      <c r="AV350" s="129"/>
      <c r="AW350" s="129"/>
      <c r="AX350" s="129"/>
      <c r="AY350" s="129"/>
      <c r="AZ350" s="129"/>
      <c r="BA350" s="129"/>
      <c r="BB350" s="129"/>
      <c r="BC350" s="129"/>
      <c r="BD350" s="129"/>
      <c r="BE350" s="129"/>
      <c r="BF350" s="144"/>
      <c r="BG350" s="129"/>
      <c r="BH350" s="129"/>
      <c r="BI350" s="129"/>
      <c r="BJ350" s="129"/>
      <c r="BK350" s="129"/>
      <c r="BL350" s="129"/>
      <c r="BM350" s="129"/>
      <c r="BN350" s="129"/>
      <c r="BO350" s="129"/>
      <c r="BP350" s="129"/>
      <c r="BQ350" s="129"/>
      <c r="BR350" s="129"/>
      <c r="BS350" s="129"/>
      <c r="BT350" s="129"/>
      <c r="BU350" s="129"/>
      <c r="BV350" s="129"/>
      <c r="BW350" s="129"/>
      <c r="BX350" s="129"/>
      <c r="BY350" s="129"/>
      <c r="BZ350" s="129"/>
      <c r="CA350" s="129"/>
      <c r="CB350" s="129"/>
      <c r="CC350" s="129"/>
      <c r="CD350" s="129"/>
    </row>
    <row r="35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29"/>
      <c r="AL351" s="129"/>
      <c r="AM351" s="129"/>
      <c r="AN351" s="144"/>
      <c r="AO351" s="129"/>
      <c r="AP351" s="129"/>
      <c r="AQ351" s="129"/>
      <c r="AR351" s="129"/>
      <c r="AS351" s="129"/>
      <c r="AT351" s="129"/>
      <c r="AU351" s="129"/>
      <c r="AV351" s="129"/>
      <c r="AW351" s="129"/>
      <c r="AX351" s="129"/>
      <c r="AY351" s="129"/>
      <c r="AZ351" s="129"/>
      <c r="BA351" s="129"/>
      <c r="BB351" s="129"/>
      <c r="BC351" s="129"/>
      <c r="BD351" s="129"/>
      <c r="BE351" s="129"/>
      <c r="BF351" s="144"/>
      <c r="BG351" s="129"/>
      <c r="BH351" s="129"/>
      <c r="BI351" s="129"/>
      <c r="BJ351" s="129"/>
      <c r="BK351" s="129"/>
      <c r="BL351" s="129"/>
      <c r="BM351" s="129"/>
      <c r="BN351" s="129"/>
      <c r="BO351" s="129"/>
      <c r="BP351" s="129"/>
      <c r="BQ351" s="129"/>
      <c r="BR351" s="129"/>
      <c r="BS351" s="129"/>
      <c r="BT351" s="129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</row>
    <row r="35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44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44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</row>
    <row r="353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44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44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</row>
    <row r="354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44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44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</row>
    <row r="355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44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44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</row>
    <row r="356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44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44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</row>
    <row r="357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44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44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</row>
    <row r="358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44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44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</row>
    <row r="359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44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44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</row>
    <row r="360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44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44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</row>
    <row r="36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44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44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</row>
    <row r="36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29"/>
      <c r="AM362" s="129"/>
      <c r="AN362" s="144"/>
      <c r="AO362" s="129"/>
      <c r="AP362" s="129"/>
      <c r="AQ362" s="129"/>
      <c r="AR362" s="129"/>
      <c r="AS362" s="129"/>
      <c r="AT362" s="129"/>
      <c r="AU362" s="129"/>
      <c r="AV362" s="129"/>
      <c r="AW362" s="129"/>
      <c r="AX362" s="129"/>
      <c r="AY362" s="129"/>
      <c r="AZ362" s="129"/>
      <c r="BA362" s="129"/>
      <c r="BB362" s="129"/>
      <c r="BC362" s="129"/>
      <c r="BD362" s="129"/>
      <c r="BE362" s="129"/>
      <c r="BF362" s="144"/>
      <c r="BG362" s="129"/>
      <c r="BH362" s="129"/>
      <c r="BI362" s="129"/>
      <c r="BJ362" s="129"/>
      <c r="BK362" s="129"/>
      <c r="BL362" s="129"/>
      <c r="BM362" s="129"/>
      <c r="BN362" s="129"/>
      <c r="BO362" s="129"/>
      <c r="BP362" s="129"/>
      <c r="BQ362" s="129"/>
      <c r="BR362" s="129"/>
      <c r="BS362" s="129"/>
      <c r="BT362" s="129"/>
      <c r="BU362" s="129"/>
      <c r="BV362" s="129"/>
      <c r="BW362" s="129"/>
      <c r="BX362" s="129"/>
      <c r="BY362" s="129"/>
      <c r="BZ362" s="129"/>
      <c r="CA362" s="129"/>
      <c r="CB362" s="129"/>
      <c r="CC362" s="129"/>
      <c r="CD362" s="129"/>
    </row>
    <row r="363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29"/>
      <c r="AM363" s="129"/>
      <c r="AN363" s="144"/>
      <c r="AO363" s="129"/>
      <c r="AP363" s="129"/>
      <c r="AQ363" s="129"/>
      <c r="AR363" s="129"/>
      <c r="AS363" s="129"/>
      <c r="AT363" s="129"/>
      <c r="AU363" s="129"/>
      <c r="AV363" s="129"/>
      <c r="AW363" s="129"/>
      <c r="AX363" s="129"/>
      <c r="AY363" s="129"/>
      <c r="AZ363" s="129"/>
      <c r="BA363" s="129"/>
      <c r="BB363" s="129"/>
      <c r="BC363" s="129"/>
      <c r="BD363" s="129"/>
      <c r="BE363" s="129"/>
      <c r="BF363" s="144"/>
      <c r="BG363" s="129"/>
      <c r="BH363" s="129"/>
      <c r="BI363" s="129"/>
      <c r="BJ363" s="129"/>
      <c r="BK363" s="129"/>
      <c r="BL363" s="129"/>
      <c r="BM363" s="129"/>
      <c r="BN363" s="129"/>
      <c r="BO363" s="129"/>
      <c r="BP363" s="129"/>
      <c r="BQ363" s="129"/>
      <c r="BR363" s="129"/>
      <c r="BS363" s="129"/>
      <c r="BT363" s="129"/>
      <c r="BU363" s="129"/>
      <c r="BV363" s="129"/>
      <c r="BW363" s="129"/>
      <c r="BX363" s="129"/>
      <c r="BY363" s="129"/>
      <c r="BZ363" s="129"/>
      <c r="CA363" s="129"/>
      <c r="CB363" s="129"/>
      <c r="CC363" s="129"/>
      <c r="CD363" s="129"/>
    </row>
    <row r="364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29"/>
      <c r="AM364" s="129"/>
      <c r="AN364" s="144"/>
      <c r="AO364" s="129"/>
      <c r="AP364" s="129"/>
      <c r="AQ364" s="129"/>
      <c r="AR364" s="129"/>
      <c r="AS364" s="129"/>
      <c r="AT364" s="129"/>
      <c r="AU364" s="129"/>
      <c r="AV364" s="129"/>
      <c r="AW364" s="129"/>
      <c r="AX364" s="129"/>
      <c r="AY364" s="129"/>
      <c r="AZ364" s="129"/>
      <c r="BA364" s="129"/>
      <c r="BB364" s="129"/>
      <c r="BC364" s="129"/>
      <c r="BD364" s="129"/>
      <c r="BE364" s="129"/>
      <c r="BF364" s="144"/>
      <c r="BG364" s="129"/>
      <c r="BH364" s="129"/>
      <c r="BI364" s="129"/>
      <c r="BJ364" s="129"/>
      <c r="BK364" s="129"/>
      <c r="BL364" s="129"/>
      <c r="BM364" s="129"/>
      <c r="BN364" s="129"/>
      <c r="BO364" s="129"/>
      <c r="BP364" s="129"/>
      <c r="BQ364" s="129"/>
      <c r="BR364" s="129"/>
      <c r="BS364" s="129"/>
      <c r="BT364" s="129"/>
      <c r="BU364" s="129"/>
      <c r="BV364" s="129"/>
      <c r="BW364" s="129"/>
      <c r="BX364" s="129"/>
      <c r="BY364" s="129"/>
      <c r="BZ364" s="129"/>
      <c r="CA364" s="129"/>
      <c r="CB364" s="129"/>
      <c r="CC364" s="129"/>
      <c r="CD364" s="129"/>
    </row>
    <row r="365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29"/>
      <c r="AM365" s="129"/>
      <c r="AN365" s="144"/>
      <c r="AO365" s="129"/>
      <c r="AP365" s="129"/>
      <c r="AQ365" s="129"/>
      <c r="AR365" s="129"/>
      <c r="AS365" s="129"/>
      <c r="AT365" s="129"/>
      <c r="AU365" s="129"/>
      <c r="AV365" s="129"/>
      <c r="AW365" s="129"/>
      <c r="AX365" s="129"/>
      <c r="AY365" s="129"/>
      <c r="AZ365" s="129"/>
      <c r="BA365" s="129"/>
      <c r="BB365" s="129"/>
      <c r="BC365" s="129"/>
      <c r="BD365" s="129"/>
      <c r="BE365" s="129"/>
      <c r="BF365" s="144"/>
      <c r="BG365" s="129"/>
      <c r="BH365" s="129"/>
      <c r="BI365" s="129"/>
      <c r="BJ365" s="129"/>
      <c r="BK365" s="129"/>
      <c r="BL365" s="129"/>
      <c r="BM365" s="129"/>
      <c r="BN365" s="129"/>
      <c r="BO365" s="129"/>
      <c r="BP365" s="129"/>
      <c r="BQ365" s="129"/>
      <c r="BR365" s="129"/>
      <c r="BS365" s="129"/>
      <c r="BT365" s="129"/>
      <c r="BU365" s="129"/>
      <c r="BV365" s="129"/>
      <c r="BW365" s="129"/>
      <c r="BX365" s="129"/>
      <c r="BY365" s="129"/>
      <c r="BZ365" s="129"/>
      <c r="CA365" s="129"/>
      <c r="CB365" s="129"/>
      <c r="CC365" s="129"/>
      <c r="CD365" s="129"/>
    </row>
    <row r="366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29"/>
      <c r="AM366" s="129"/>
      <c r="AN366" s="144"/>
      <c r="AO366" s="129"/>
      <c r="AP366" s="129"/>
      <c r="AQ366" s="129"/>
      <c r="AR366" s="129"/>
      <c r="AS366" s="129"/>
      <c r="AT366" s="129"/>
      <c r="AU366" s="129"/>
      <c r="AV366" s="129"/>
      <c r="AW366" s="129"/>
      <c r="AX366" s="129"/>
      <c r="AY366" s="129"/>
      <c r="AZ366" s="129"/>
      <c r="BA366" s="129"/>
      <c r="BB366" s="129"/>
      <c r="BC366" s="129"/>
      <c r="BD366" s="129"/>
      <c r="BE366" s="129"/>
      <c r="BF366" s="144"/>
      <c r="BG366" s="129"/>
      <c r="BH366" s="129"/>
      <c r="BI366" s="129"/>
      <c r="BJ366" s="129"/>
      <c r="BK366" s="129"/>
      <c r="BL366" s="129"/>
      <c r="BM366" s="129"/>
      <c r="BN366" s="129"/>
      <c r="BO366" s="129"/>
      <c r="BP366" s="129"/>
      <c r="BQ366" s="129"/>
      <c r="BR366" s="129"/>
      <c r="BS366" s="129"/>
      <c r="BT366" s="129"/>
      <c r="BU366" s="129"/>
      <c r="BV366" s="129"/>
      <c r="BW366" s="129"/>
      <c r="BX366" s="129"/>
      <c r="BY366" s="129"/>
      <c r="BZ366" s="129"/>
      <c r="CA366" s="129"/>
      <c r="CB366" s="129"/>
      <c r="CC366" s="129"/>
      <c r="CD366" s="129"/>
    </row>
    <row r="367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29"/>
      <c r="AM367" s="129"/>
      <c r="AN367" s="144"/>
      <c r="AO367" s="129"/>
      <c r="AP367" s="129"/>
      <c r="AQ367" s="129"/>
      <c r="AR367" s="129"/>
      <c r="AS367" s="129"/>
      <c r="AT367" s="129"/>
      <c r="AU367" s="129"/>
      <c r="AV367" s="129"/>
      <c r="AW367" s="129"/>
      <c r="AX367" s="129"/>
      <c r="AY367" s="129"/>
      <c r="AZ367" s="129"/>
      <c r="BA367" s="129"/>
      <c r="BB367" s="129"/>
      <c r="BC367" s="129"/>
      <c r="BD367" s="129"/>
      <c r="BE367" s="129"/>
      <c r="BF367" s="144"/>
      <c r="BG367" s="129"/>
      <c r="BH367" s="129"/>
      <c r="BI367" s="129"/>
      <c r="BJ367" s="129"/>
      <c r="BK367" s="129"/>
      <c r="BL367" s="129"/>
      <c r="BM367" s="129"/>
      <c r="BN367" s="129"/>
      <c r="BO367" s="129"/>
      <c r="BP367" s="129"/>
      <c r="BQ367" s="129"/>
      <c r="BR367" s="129"/>
      <c r="BS367" s="129"/>
      <c r="BT367" s="129"/>
      <c r="BU367" s="129"/>
      <c r="BV367" s="129"/>
      <c r="BW367" s="129"/>
      <c r="BX367" s="129"/>
      <c r="BY367" s="129"/>
      <c r="BZ367" s="129"/>
      <c r="CA367" s="129"/>
      <c r="CB367" s="129"/>
      <c r="CC367" s="129"/>
      <c r="CD367" s="129"/>
    </row>
    <row r="368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129"/>
      <c r="AN368" s="144"/>
      <c r="AO368" s="129"/>
      <c r="AP368" s="129"/>
      <c r="AQ368" s="129"/>
      <c r="AR368" s="129"/>
      <c r="AS368" s="129"/>
      <c r="AT368" s="129"/>
      <c r="AU368" s="129"/>
      <c r="AV368" s="129"/>
      <c r="AW368" s="129"/>
      <c r="AX368" s="129"/>
      <c r="AY368" s="129"/>
      <c r="AZ368" s="129"/>
      <c r="BA368" s="129"/>
      <c r="BB368" s="129"/>
      <c r="BC368" s="129"/>
      <c r="BD368" s="129"/>
      <c r="BE368" s="129"/>
      <c r="BF368" s="144"/>
      <c r="BG368" s="129"/>
      <c r="BH368" s="129"/>
      <c r="BI368" s="129"/>
      <c r="BJ368" s="129"/>
      <c r="BK368" s="129"/>
      <c r="BL368" s="129"/>
      <c r="BM368" s="129"/>
      <c r="BN368" s="129"/>
      <c r="BO368" s="129"/>
      <c r="BP368" s="129"/>
      <c r="BQ368" s="129"/>
      <c r="BR368" s="129"/>
      <c r="BS368" s="129"/>
      <c r="BT368" s="129"/>
      <c r="BU368" s="129"/>
      <c r="BV368" s="129"/>
      <c r="BW368" s="129"/>
      <c r="BX368" s="129"/>
      <c r="BY368" s="129"/>
      <c r="BZ368" s="129"/>
      <c r="CA368" s="129"/>
      <c r="CB368" s="129"/>
      <c r="CC368" s="129"/>
      <c r="CD368" s="129"/>
    </row>
    <row r="369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29"/>
      <c r="AM369" s="129"/>
      <c r="AN369" s="144"/>
      <c r="AO369" s="129"/>
      <c r="AP369" s="129"/>
      <c r="AQ369" s="129"/>
      <c r="AR369" s="129"/>
      <c r="AS369" s="129"/>
      <c r="AT369" s="129"/>
      <c r="AU369" s="129"/>
      <c r="AV369" s="129"/>
      <c r="AW369" s="129"/>
      <c r="AX369" s="129"/>
      <c r="AY369" s="129"/>
      <c r="AZ369" s="129"/>
      <c r="BA369" s="129"/>
      <c r="BB369" s="129"/>
      <c r="BC369" s="129"/>
      <c r="BD369" s="129"/>
      <c r="BE369" s="129"/>
      <c r="BF369" s="144"/>
      <c r="BG369" s="129"/>
      <c r="BH369" s="129"/>
      <c r="BI369" s="129"/>
      <c r="BJ369" s="129"/>
      <c r="BK369" s="129"/>
      <c r="BL369" s="129"/>
      <c r="BM369" s="129"/>
      <c r="BN369" s="129"/>
      <c r="BO369" s="129"/>
      <c r="BP369" s="129"/>
      <c r="BQ369" s="129"/>
      <c r="BR369" s="129"/>
      <c r="BS369" s="129"/>
      <c r="BT369" s="129"/>
      <c r="BU369" s="129"/>
      <c r="BV369" s="129"/>
      <c r="BW369" s="129"/>
      <c r="BX369" s="129"/>
      <c r="BY369" s="129"/>
      <c r="BZ369" s="129"/>
      <c r="CA369" s="129"/>
      <c r="CB369" s="129"/>
      <c r="CC369" s="129"/>
      <c r="CD369" s="129"/>
    </row>
    <row r="370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29"/>
      <c r="AM370" s="129"/>
      <c r="AN370" s="144"/>
      <c r="AO370" s="129"/>
      <c r="AP370" s="129"/>
      <c r="AQ370" s="129"/>
      <c r="AR370" s="129"/>
      <c r="AS370" s="129"/>
      <c r="AT370" s="129"/>
      <c r="AU370" s="129"/>
      <c r="AV370" s="129"/>
      <c r="AW370" s="129"/>
      <c r="AX370" s="129"/>
      <c r="AY370" s="129"/>
      <c r="AZ370" s="129"/>
      <c r="BA370" s="129"/>
      <c r="BB370" s="129"/>
      <c r="BC370" s="129"/>
      <c r="BD370" s="129"/>
      <c r="BE370" s="129"/>
      <c r="BF370" s="144"/>
      <c r="BG370" s="129"/>
      <c r="BH370" s="129"/>
      <c r="BI370" s="129"/>
      <c r="BJ370" s="129"/>
      <c r="BK370" s="129"/>
      <c r="BL370" s="129"/>
      <c r="BM370" s="129"/>
      <c r="BN370" s="129"/>
      <c r="BO370" s="129"/>
      <c r="BP370" s="129"/>
      <c r="BQ370" s="129"/>
      <c r="BR370" s="129"/>
      <c r="BS370" s="129"/>
      <c r="BT370" s="129"/>
      <c r="BU370" s="129"/>
      <c r="BV370" s="129"/>
      <c r="BW370" s="129"/>
      <c r="BX370" s="129"/>
      <c r="BY370" s="129"/>
      <c r="BZ370" s="129"/>
      <c r="CA370" s="129"/>
      <c r="CB370" s="129"/>
      <c r="CC370" s="129"/>
      <c r="CD370" s="129"/>
    </row>
    <row r="37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29"/>
      <c r="AM371" s="129"/>
      <c r="AN371" s="144"/>
      <c r="AO371" s="129"/>
      <c r="AP371" s="129"/>
      <c r="AQ371" s="129"/>
      <c r="AR371" s="129"/>
      <c r="AS371" s="129"/>
      <c r="AT371" s="129"/>
      <c r="AU371" s="129"/>
      <c r="AV371" s="129"/>
      <c r="AW371" s="129"/>
      <c r="AX371" s="129"/>
      <c r="AY371" s="129"/>
      <c r="AZ371" s="129"/>
      <c r="BA371" s="129"/>
      <c r="BB371" s="129"/>
      <c r="BC371" s="129"/>
      <c r="BD371" s="129"/>
      <c r="BE371" s="129"/>
      <c r="BF371" s="144"/>
      <c r="BG371" s="129"/>
      <c r="BH371" s="129"/>
      <c r="BI371" s="129"/>
      <c r="BJ371" s="129"/>
      <c r="BK371" s="129"/>
      <c r="BL371" s="129"/>
      <c r="BM371" s="129"/>
      <c r="BN371" s="129"/>
      <c r="BO371" s="129"/>
      <c r="BP371" s="129"/>
      <c r="BQ371" s="129"/>
      <c r="BR371" s="129"/>
      <c r="BS371" s="129"/>
      <c r="BT371" s="129"/>
      <c r="BU371" s="129"/>
      <c r="BV371" s="129"/>
      <c r="BW371" s="129"/>
      <c r="BX371" s="129"/>
      <c r="BY371" s="129"/>
      <c r="BZ371" s="129"/>
      <c r="CA371" s="129"/>
      <c r="CB371" s="129"/>
      <c r="CC371" s="129"/>
      <c r="CD371" s="129"/>
    </row>
    <row r="37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29"/>
      <c r="AM372" s="129"/>
      <c r="AN372" s="144"/>
      <c r="AO372" s="129"/>
      <c r="AP372" s="129"/>
      <c r="AQ372" s="129"/>
      <c r="AR372" s="129"/>
      <c r="AS372" s="129"/>
      <c r="AT372" s="129"/>
      <c r="AU372" s="129"/>
      <c r="AV372" s="129"/>
      <c r="AW372" s="129"/>
      <c r="AX372" s="129"/>
      <c r="AY372" s="129"/>
      <c r="AZ372" s="129"/>
      <c r="BA372" s="129"/>
      <c r="BB372" s="129"/>
      <c r="BC372" s="129"/>
      <c r="BD372" s="129"/>
      <c r="BE372" s="129"/>
      <c r="BF372" s="144"/>
      <c r="BG372" s="129"/>
      <c r="BH372" s="129"/>
      <c r="BI372" s="129"/>
      <c r="BJ372" s="129"/>
      <c r="BK372" s="129"/>
      <c r="BL372" s="129"/>
      <c r="BM372" s="129"/>
      <c r="BN372" s="129"/>
      <c r="BO372" s="129"/>
      <c r="BP372" s="129"/>
      <c r="BQ372" s="129"/>
      <c r="BR372" s="129"/>
      <c r="BS372" s="129"/>
      <c r="BT372" s="129"/>
      <c r="BU372" s="129"/>
      <c r="BV372" s="129"/>
      <c r="BW372" s="129"/>
      <c r="BX372" s="129"/>
      <c r="BY372" s="129"/>
      <c r="BZ372" s="129"/>
      <c r="CA372" s="129"/>
      <c r="CB372" s="129"/>
      <c r="CC372" s="129"/>
      <c r="CD372" s="129"/>
    </row>
    <row r="373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29"/>
      <c r="AM373" s="129"/>
      <c r="AN373" s="144"/>
      <c r="AO373" s="129"/>
      <c r="AP373" s="129"/>
      <c r="AQ373" s="129"/>
      <c r="AR373" s="129"/>
      <c r="AS373" s="129"/>
      <c r="AT373" s="129"/>
      <c r="AU373" s="129"/>
      <c r="AV373" s="129"/>
      <c r="AW373" s="129"/>
      <c r="AX373" s="129"/>
      <c r="AY373" s="129"/>
      <c r="AZ373" s="129"/>
      <c r="BA373" s="129"/>
      <c r="BB373" s="129"/>
      <c r="BC373" s="129"/>
      <c r="BD373" s="129"/>
      <c r="BE373" s="129"/>
      <c r="BF373" s="144"/>
      <c r="BG373" s="129"/>
      <c r="BH373" s="129"/>
      <c r="BI373" s="129"/>
      <c r="BJ373" s="129"/>
      <c r="BK373" s="129"/>
      <c r="BL373" s="129"/>
      <c r="BM373" s="129"/>
      <c r="BN373" s="129"/>
      <c r="BO373" s="129"/>
      <c r="BP373" s="129"/>
      <c r="BQ373" s="129"/>
      <c r="BR373" s="129"/>
      <c r="BS373" s="129"/>
      <c r="BT373" s="129"/>
      <c r="BU373" s="129"/>
      <c r="BV373" s="129"/>
      <c r="BW373" s="129"/>
      <c r="BX373" s="129"/>
      <c r="BY373" s="129"/>
      <c r="BZ373" s="129"/>
      <c r="CA373" s="129"/>
      <c r="CB373" s="129"/>
      <c r="CC373" s="129"/>
      <c r="CD373" s="129"/>
    </row>
    <row r="374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29"/>
      <c r="AM374" s="129"/>
      <c r="AN374" s="144"/>
      <c r="AO374" s="129"/>
      <c r="AP374" s="129"/>
      <c r="AQ374" s="129"/>
      <c r="AR374" s="129"/>
      <c r="AS374" s="129"/>
      <c r="AT374" s="129"/>
      <c r="AU374" s="129"/>
      <c r="AV374" s="129"/>
      <c r="AW374" s="129"/>
      <c r="AX374" s="129"/>
      <c r="AY374" s="129"/>
      <c r="AZ374" s="129"/>
      <c r="BA374" s="129"/>
      <c r="BB374" s="129"/>
      <c r="BC374" s="129"/>
      <c r="BD374" s="129"/>
      <c r="BE374" s="129"/>
      <c r="BF374" s="144"/>
      <c r="BG374" s="129"/>
      <c r="BH374" s="129"/>
      <c r="BI374" s="129"/>
      <c r="BJ374" s="129"/>
      <c r="BK374" s="129"/>
      <c r="BL374" s="129"/>
      <c r="BM374" s="129"/>
      <c r="BN374" s="129"/>
      <c r="BO374" s="129"/>
      <c r="BP374" s="129"/>
      <c r="BQ374" s="129"/>
      <c r="BR374" s="129"/>
      <c r="BS374" s="129"/>
      <c r="BT374" s="129"/>
      <c r="BU374" s="129"/>
      <c r="BV374" s="129"/>
      <c r="BW374" s="129"/>
      <c r="BX374" s="129"/>
      <c r="BY374" s="129"/>
      <c r="BZ374" s="129"/>
      <c r="CA374" s="129"/>
      <c r="CB374" s="129"/>
      <c r="CC374" s="129"/>
      <c r="CD374" s="129"/>
    </row>
    <row r="375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129"/>
      <c r="AN375" s="144"/>
      <c r="AO375" s="129"/>
      <c r="AP375" s="129"/>
      <c r="AQ375" s="129"/>
      <c r="AR375" s="129"/>
      <c r="AS375" s="129"/>
      <c r="AT375" s="129"/>
      <c r="AU375" s="129"/>
      <c r="AV375" s="129"/>
      <c r="AW375" s="129"/>
      <c r="AX375" s="129"/>
      <c r="AY375" s="129"/>
      <c r="AZ375" s="129"/>
      <c r="BA375" s="129"/>
      <c r="BB375" s="129"/>
      <c r="BC375" s="129"/>
      <c r="BD375" s="129"/>
      <c r="BE375" s="129"/>
      <c r="BF375" s="144"/>
      <c r="BG375" s="129"/>
      <c r="BH375" s="129"/>
      <c r="BI375" s="129"/>
      <c r="BJ375" s="129"/>
      <c r="BK375" s="129"/>
      <c r="BL375" s="129"/>
      <c r="BM375" s="129"/>
      <c r="BN375" s="129"/>
      <c r="BO375" s="129"/>
      <c r="BP375" s="129"/>
      <c r="BQ375" s="129"/>
      <c r="BR375" s="129"/>
      <c r="BS375" s="129"/>
      <c r="BT375" s="129"/>
      <c r="BU375" s="129"/>
      <c r="BV375" s="129"/>
      <c r="BW375" s="129"/>
      <c r="BX375" s="129"/>
      <c r="BY375" s="129"/>
      <c r="BZ375" s="129"/>
      <c r="CA375" s="129"/>
      <c r="CB375" s="129"/>
      <c r="CC375" s="129"/>
      <c r="CD375" s="129"/>
    </row>
    <row r="376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29"/>
      <c r="AM376" s="129"/>
      <c r="AN376" s="144"/>
      <c r="AO376" s="129"/>
      <c r="AP376" s="129"/>
      <c r="AQ376" s="129"/>
      <c r="AR376" s="129"/>
      <c r="AS376" s="129"/>
      <c r="AT376" s="129"/>
      <c r="AU376" s="129"/>
      <c r="AV376" s="129"/>
      <c r="AW376" s="129"/>
      <c r="AX376" s="129"/>
      <c r="AY376" s="129"/>
      <c r="AZ376" s="129"/>
      <c r="BA376" s="129"/>
      <c r="BB376" s="129"/>
      <c r="BC376" s="129"/>
      <c r="BD376" s="129"/>
      <c r="BE376" s="129"/>
      <c r="BF376" s="144"/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29"/>
      <c r="BW376" s="129"/>
      <c r="BX376" s="129"/>
      <c r="BY376" s="129"/>
      <c r="BZ376" s="129"/>
      <c r="CA376" s="129"/>
      <c r="CB376" s="129"/>
      <c r="CC376" s="129"/>
      <c r="CD376" s="129"/>
    </row>
    <row r="377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29"/>
      <c r="AM377" s="129"/>
      <c r="AN377" s="144"/>
      <c r="AO377" s="129"/>
      <c r="AP377" s="129"/>
      <c r="AQ377" s="129"/>
      <c r="AR377" s="129"/>
      <c r="AS377" s="129"/>
      <c r="AT377" s="129"/>
      <c r="AU377" s="129"/>
      <c r="AV377" s="129"/>
      <c r="AW377" s="129"/>
      <c r="AX377" s="129"/>
      <c r="AY377" s="129"/>
      <c r="AZ377" s="129"/>
      <c r="BA377" s="129"/>
      <c r="BB377" s="129"/>
      <c r="BC377" s="129"/>
      <c r="BD377" s="129"/>
      <c r="BE377" s="129"/>
      <c r="BF377" s="144"/>
      <c r="BG377" s="129"/>
      <c r="BH377" s="129"/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29"/>
      <c r="BU377" s="129"/>
      <c r="BV377" s="129"/>
      <c r="BW377" s="129"/>
      <c r="BX377" s="129"/>
      <c r="BY377" s="129"/>
      <c r="BZ377" s="129"/>
      <c r="CA377" s="129"/>
      <c r="CB377" s="129"/>
      <c r="CC377" s="129"/>
      <c r="CD377" s="129"/>
    </row>
    <row r="378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29"/>
      <c r="AM378" s="129"/>
      <c r="AN378" s="144"/>
      <c r="AO378" s="129"/>
      <c r="AP378" s="129"/>
      <c r="AQ378" s="129"/>
      <c r="AR378" s="129"/>
      <c r="AS378" s="129"/>
      <c r="AT378" s="129"/>
      <c r="AU378" s="129"/>
      <c r="AV378" s="129"/>
      <c r="AW378" s="129"/>
      <c r="AX378" s="129"/>
      <c r="AY378" s="129"/>
      <c r="AZ378" s="129"/>
      <c r="BA378" s="129"/>
      <c r="BB378" s="129"/>
      <c r="BC378" s="129"/>
      <c r="BD378" s="129"/>
      <c r="BE378" s="129"/>
      <c r="BF378" s="144"/>
      <c r="BG378" s="129"/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29"/>
      <c r="BU378" s="129"/>
      <c r="BV378" s="129"/>
      <c r="BW378" s="129"/>
      <c r="BX378" s="129"/>
      <c r="BY378" s="129"/>
      <c r="BZ378" s="129"/>
      <c r="CA378" s="129"/>
      <c r="CB378" s="129"/>
      <c r="CC378" s="129"/>
      <c r="CD378" s="129"/>
    </row>
    <row r="379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29"/>
      <c r="AM379" s="129"/>
      <c r="AN379" s="144"/>
      <c r="AO379" s="129"/>
      <c r="AP379" s="129"/>
      <c r="AQ379" s="129"/>
      <c r="AR379" s="129"/>
      <c r="AS379" s="129"/>
      <c r="AT379" s="129"/>
      <c r="AU379" s="129"/>
      <c r="AV379" s="129"/>
      <c r="AW379" s="129"/>
      <c r="AX379" s="129"/>
      <c r="AY379" s="129"/>
      <c r="AZ379" s="129"/>
      <c r="BA379" s="129"/>
      <c r="BB379" s="129"/>
      <c r="BC379" s="129"/>
      <c r="BD379" s="129"/>
      <c r="BE379" s="129"/>
      <c r="BF379" s="144"/>
      <c r="BG379" s="129"/>
      <c r="BH379" s="129"/>
      <c r="BI379" s="129"/>
      <c r="BJ379" s="129"/>
      <c r="BK379" s="129"/>
      <c r="BL379" s="129"/>
      <c r="BM379" s="129"/>
      <c r="BN379" s="129"/>
      <c r="BO379" s="129"/>
      <c r="BP379" s="129"/>
      <c r="BQ379" s="129"/>
      <c r="BR379" s="129"/>
      <c r="BS379" s="129"/>
      <c r="BT379" s="129"/>
      <c r="BU379" s="129"/>
      <c r="BV379" s="129"/>
      <c r="BW379" s="129"/>
      <c r="BX379" s="129"/>
      <c r="BY379" s="129"/>
      <c r="BZ379" s="129"/>
      <c r="CA379" s="129"/>
      <c r="CB379" s="129"/>
      <c r="CC379" s="129"/>
      <c r="CD379" s="129"/>
    </row>
    <row r="380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29"/>
      <c r="AM380" s="129"/>
      <c r="AN380" s="144"/>
      <c r="AO380" s="129"/>
      <c r="AP380" s="129"/>
      <c r="AQ380" s="129"/>
      <c r="AR380" s="129"/>
      <c r="AS380" s="129"/>
      <c r="AT380" s="129"/>
      <c r="AU380" s="129"/>
      <c r="AV380" s="129"/>
      <c r="AW380" s="129"/>
      <c r="AX380" s="129"/>
      <c r="AY380" s="129"/>
      <c r="AZ380" s="129"/>
      <c r="BA380" s="129"/>
      <c r="BB380" s="129"/>
      <c r="BC380" s="129"/>
      <c r="BD380" s="129"/>
      <c r="BE380" s="129"/>
      <c r="BF380" s="144"/>
      <c r="BG380" s="129"/>
      <c r="BH380" s="129"/>
      <c r="BI380" s="129"/>
      <c r="BJ380" s="129"/>
      <c r="BK380" s="129"/>
      <c r="BL380" s="129"/>
      <c r="BM380" s="129"/>
      <c r="BN380" s="129"/>
      <c r="BO380" s="129"/>
      <c r="BP380" s="129"/>
      <c r="BQ380" s="129"/>
      <c r="BR380" s="129"/>
      <c r="BS380" s="129"/>
      <c r="BT380" s="129"/>
      <c r="BU380" s="129"/>
      <c r="BV380" s="129"/>
      <c r="BW380" s="129"/>
      <c r="BX380" s="129"/>
      <c r="BY380" s="129"/>
      <c r="BZ380" s="129"/>
      <c r="CA380" s="129"/>
      <c r="CB380" s="129"/>
      <c r="CC380" s="129"/>
      <c r="CD380" s="129"/>
    </row>
    <row r="38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29"/>
      <c r="AM381" s="129"/>
      <c r="AN381" s="144"/>
      <c r="AO381" s="129"/>
      <c r="AP381" s="129"/>
      <c r="AQ381" s="129"/>
      <c r="AR381" s="129"/>
      <c r="AS381" s="129"/>
      <c r="AT381" s="129"/>
      <c r="AU381" s="129"/>
      <c r="AV381" s="129"/>
      <c r="AW381" s="129"/>
      <c r="AX381" s="129"/>
      <c r="AY381" s="129"/>
      <c r="AZ381" s="129"/>
      <c r="BA381" s="129"/>
      <c r="BB381" s="129"/>
      <c r="BC381" s="129"/>
      <c r="BD381" s="129"/>
      <c r="BE381" s="129"/>
      <c r="BF381" s="144"/>
      <c r="BG381" s="129"/>
      <c r="BH381" s="129"/>
      <c r="BI381" s="129"/>
      <c r="BJ381" s="129"/>
      <c r="BK381" s="129"/>
      <c r="BL381" s="129"/>
      <c r="BM381" s="129"/>
      <c r="BN381" s="129"/>
      <c r="BO381" s="129"/>
      <c r="BP381" s="129"/>
      <c r="BQ381" s="129"/>
      <c r="BR381" s="129"/>
      <c r="BS381" s="129"/>
      <c r="BT381" s="129"/>
      <c r="BU381" s="129"/>
      <c r="BV381" s="129"/>
      <c r="BW381" s="129"/>
      <c r="BX381" s="129"/>
      <c r="BY381" s="129"/>
      <c r="BZ381" s="129"/>
      <c r="CA381" s="129"/>
      <c r="CB381" s="129"/>
      <c r="CC381" s="129"/>
      <c r="CD381" s="129"/>
    </row>
    <row r="38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29"/>
      <c r="AM382" s="129"/>
      <c r="AN382" s="144"/>
      <c r="AO382" s="129"/>
      <c r="AP382" s="129"/>
      <c r="AQ382" s="129"/>
      <c r="AR382" s="129"/>
      <c r="AS382" s="129"/>
      <c r="AT382" s="129"/>
      <c r="AU382" s="129"/>
      <c r="AV382" s="129"/>
      <c r="AW382" s="129"/>
      <c r="AX382" s="129"/>
      <c r="AY382" s="129"/>
      <c r="AZ382" s="129"/>
      <c r="BA382" s="129"/>
      <c r="BB382" s="129"/>
      <c r="BC382" s="129"/>
      <c r="BD382" s="129"/>
      <c r="BE382" s="129"/>
      <c r="BF382" s="144"/>
      <c r="BG382" s="129"/>
      <c r="BH382" s="129"/>
      <c r="BI382" s="129"/>
      <c r="BJ382" s="129"/>
      <c r="BK382" s="129"/>
      <c r="BL382" s="129"/>
      <c r="BM382" s="129"/>
      <c r="BN382" s="129"/>
      <c r="BO382" s="129"/>
      <c r="BP382" s="129"/>
      <c r="BQ382" s="129"/>
      <c r="BR382" s="129"/>
      <c r="BS382" s="129"/>
      <c r="BT382" s="129"/>
      <c r="BU382" s="129"/>
      <c r="BV382" s="129"/>
      <c r="BW382" s="129"/>
      <c r="BX382" s="129"/>
      <c r="BY382" s="129"/>
      <c r="BZ382" s="129"/>
      <c r="CA382" s="129"/>
      <c r="CB382" s="129"/>
      <c r="CC382" s="129"/>
      <c r="CD382" s="129"/>
    </row>
    <row r="383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29"/>
      <c r="AM383" s="129"/>
      <c r="AN383" s="144"/>
      <c r="AO383" s="129"/>
      <c r="AP383" s="129"/>
      <c r="AQ383" s="129"/>
      <c r="AR383" s="129"/>
      <c r="AS383" s="129"/>
      <c r="AT383" s="129"/>
      <c r="AU383" s="129"/>
      <c r="AV383" s="129"/>
      <c r="AW383" s="129"/>
      <c r="AX383" s="129"/>
      <c r="AY383" s="129"/>
      <c r="AZ383" s="129"/>
      <c r="BA383" s="129"/>
      <c r="BB383" s="129"/>
      <c r="BC383" s="129"/>
      <c r="BD383" s="129"/>
      <c r="BE383" s="129"/>
      <c r="BF383" s="144"/>
      <c r="BG383" s="129"/>
      <c r="BH383" s="129"/>
      <c r="BI383" s="129"/>
      <c r="BJ383" s="129"/>
      <c r="BK383" s="129"/>
      <c r="BL383" s="129"/>
      <c r="BM383" s="129"/>
      <c r="BN383" s="129"/>
      <c r="BO383" s="129"/>
      <c r="BP383" s="129"/>
      <c r="BQ383" s="129"/>
      <c r="BR383" s="129"/>
      <c r="BS383" s="129"/>
      <c r="BT383" s="129"/>
      <c r="BU383" s="129"/>
      <c r="BV383" s="129"/>
      <c r="BW383" s="129"/>
      <c r="BX383" s="129"/>
      <c r="BY383" s="129"/>
      <c r="BZ383" s="129"/>
      <c r="CA383" s="129"/>
      <c r="CB383" s="129"/>
      <c r="CC383" s="129"/>
      <c r="CD383" s="129"/>
    </row>
    <row r="384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29"/>
      <c r="AM384" s="129"/>
      <c r="AN384" s="144"/>
      <c r="AO384" s="129"/>
      <c r="AP384" s="129"/>
      <c r="AQ384" s="129"/>
      <c r="AR384" s="129"/>
      <c r="AS384" s="129"/>
      <c r="AT384" s="129"/>
      <c r="AU384" s="129"/>
      <c r="AV384" s="129"/>
      <c r="AW384" s="129"/>
      <c r="AX384" s="129"/>
      <c r="AY384" s="129"/>
      <c r="AZ384" s="129"/>
      <c r="BA384" s="129"/>
      <c r="BB384" s="129"/>
      <c r="BC384" s="129"/>
      <c r="BD384" s="129"/>
      <c r="BE384" s="129"/>
      <c r="BF384" s="144"/>
      <c r="BG384" s="129"/>
      <c r="BH384" s="129"/>
      <c r="BI384" s="129"/>
      <c r="BJ384" s="129"/>
      <c r="BK384" s="129"/>
      <c r="BL384" s="129"/>
      <c r="BM384" s="129"/>
      <c r="BN384" s="129"/>
      <c r="BO384" s="129"/>
      <c r="BP384" s="129"/>
      <c r="BQ384" s="129"/>
      <c r="BR384" s="129"/>
      <c r="BS384" s="129"/>
      <c r="BT384" s="129"/>
      <c r="BU384" s="129"/>
      <c r="BV384" s="129"/>
      <c r="BW384" s="129"/>
      <c r="BX384" s="129"/>
      <c r="BY384" s="129"/>
      <c r="BZ384" s="129"/>
      <c r="CA384" s="129"/>
      <c r="CB384" s="129"/>
      <c r="CC384" s="129"/>
      <c r="CD384" s="129"/>
    </row>
    <row r="385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29"/>
      <c r="AM385" s="129"/>
      <c r="AN385" s="144"/>
      <c r="AO385" s="129"/>
      <c r="AP385" s="129"/>
      <c r="AQ385" s="129"/>
      <c r="AR385" s="129"/>
      <c r="AS385" s="129"/>
      <c r="AT385" s="129"/>
      <c r="AU385" s="129"/>
      <c r="AV385" s="129"/>
      <c r="AW385" s="129"/>
      <c r="AX385" s="129"/>
      <c r="AY385" s="129"/>
      <c r="AZ385" s="129"/>
      <c r="BA385" s="129"/>
      <c r="BB385" s="129"/>
      <c r="BC385" s="129"/>
      <c r="BD385" s="129"/>
      <c r="BE385" s="129"/>
      <c r="BF385" s="144"/>
      <c r="BG385" s="129"/>
      <c r="BH385" s="129"/>
      <c r="BI385" s="129"/>
      <c r="BJ385" s="129"/>
      <c r="BK385" s="129"/>
      <c r="BL385" s="129"/>
      <c r="BM385" s="129"/>
      <c r="BN385" s="129"/>
      <c r="BO385" s="129"/>
      <c r="BP385" s="129"/>
      <c r="BQ385" s="129"/>
      <c r="BR385" s="129"/>
      <c r="BS385" s="129"/>
      <c r="BT385" s="129"/>
      <c r="BU385" s="129"/>
      <c r="BV385" s="129"/>
      <c r="BW385" s="129"/>
      <c r="BX385" s="129"/>
      <c r="BY385" s="129"/>
      <c r="BZ385" s="129"/>
      <c r="CA385" s="129"/>
      <c r="CB385" s="129"/>
      <c r="CC385" s="129"/>
      <c r="CD385" s="129"/>
    </row>
    <row r="386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44"/>
      <c r="AO386" s="129"/>
      <c r="AP386" s="129"/>
      <c r="AQ386" s="129"/>
      <c r="AR386" s="129"/>
      <c r="AS386" s="129"/>
      <c r="AT386" s="129"/>
      <c r="AU386" s="129"/>
      <c r="AV386" s="129"/>
      <c r="AW386" s="129"/>
      <c r="AX386" s="129"/>
      <c r="AY386" s="129"/>
      <c r="AZ386" s="129"/>
      <c r="BA386" s="129"/>
      <c r="BB386" s="129"/>
      <c r="BC386" s="129"/>
      <c r="BD386" s="129"/>
      <c r="BE386" s="129"/>
      <c r="BF386" s="144"/>
      <c r="BG386" s="129"/>
      <c r="BH386" s="129"/>
      <c r="BI386" s="129"/>
      <c r="BJ386" s="129"/>
      <c r="BK386" s="129"/>
      <c r="BL386" s="129"/>
      <c r="BM386" s="129"/>
      <c r="BN386" s="129"/>
      <c r="BO386" s="129"/>
      <c r="BP386" s="129"/>
      <c r="BQ386" s="129"/>
      <c r="BR386" s="129"/>
      <c r="BS386" s="129"/>
      <c r="BT386" s="129"/>
      <c r="BU386" s="129"/>
      <c r="BV386" s="129"/>
      <c r="BW386" s="129"/>
      <c r="BX386" s="129"/>
      <c r="BY386" s="129"/>
      <c r="BZ386" s="129"/>
      <c r="CA386" s="129"/>
      <c r="CB386" s="129"/>
      <c r="CC386" s="129"/>
      <c r="CD386" s="129"/>
    </row>
    <row r="387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44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44"/>
      <c r="BG387" s="129"/>
      <c r="BH387" s="129"/>
      <c r="BI387" s="129"/>
      <c r="BJ387" s="129"/>
      <c r="BK387" s="129"/>
      <c r="BL387" s="129"/>
      <c r="BM387" s="129"/>
      <c r="BN387" s="129"/>
      <c r="BO387" s="129"/>
      <c r="BP387" s="129"/>
      <c r="BQ387" s="129"/>
      <c r="BR387" s="129"/>
      <c r="BS387" s="129"/>
      <c r="BT387" s="129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</row>
    <row r="388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29"/>
      <c r="AM388" s="129"/>
      <c r="AN388" s="144"/>
      <c r="AO388" s="129"/>
      <c r="AP388" s="129"/>
      <c r="AQ388" s="129"/>
      <c r="AR388" s="129"/>
      <c r="AS388" s="129"/>
      <c r="AT388" s="129"/>
      <c r="AU388" s="129"/>
      <c r="AV388" s="129"/>
      <c r="AW388" s="129"/>
      <c r="AX388" s="129"/>
      <c r="AY388" s="129"/>
      <c r="AZ388" s="129"/>
      <c r="BA388" s="129"/>
      <c r="BB388" s="129"/>
      <c r="BC388" s="129"/>
      <c r="BD388" s="129"/>
      <c r="BE388" s="129"/>
      <c r="BF388" s="144"/>
      <c r="BG388" s="129"/>
      <c r="BH388" s="129"/>
      <c r="BI388" s="129"/>
      <c r="BJ388" s="129"/>
      <c r="BK388" s="129"/>
      <c r="BL388" s="129"/>
      <c r="BM388" s="129"/>
      <c r="BN388" s="129"/>
      <c r="BO388" s="129"/>
      <c r="BP388" s="129"/>
      <c r="BQ388" s="129"/>
      <c r="BR388" s="129"/>
      <c r="BS388" s="129"/>
      <c r="BT388" s="129"/>
      <c r="BU388" s="129"/>
      <c r="BV388" s="129"/>
      <c r="BW388" s="129"/>
      <c r="BX388" s="129"/>
      <c r="BY388" s="129"/>
      <c r="BZ388" s="129"/>
      <c r="CA388" s="129"/>
      <c r="CB388" s="129"/>
      <c r="CC388" s="129"/>
      <c r="CD388" s="129"/>
    </row>
    <row r="389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29"/>
      <c r="AM389" s="129"/>
      <c r="AN389" s="144"/>
      <c r="AO389" s="129"/>
      <c r="AP389" s="129"/>
      <c r="AQ389" s="129"/>
      <c r="AR389" s="129"/>
      <c r="AS389" s="129"/>
      <c r="AT389" s="129"/>
      <c r="AU389" s="129"/>
      <c r="AV389" s="129"/>
      <c r="AW389" s="129"/>
      <c r="AX389" s="129"/>
      <c r="AY389" s="129"/>
      <c r="AZ389" s="129"/>
      <c r="BA389" s="129"/>
      <c r="BB389" s="129"/>
      <c r="BC389" s="129"/>
      <c r="BD389" s="129"/>
      <c r="BE389" s="129"/>
      <c r="BF389" s="144"/>
      <c r="BG389" s="129"/>
      <c r="BH389" s="129"/>
      <c r="BI389" s="129"/>
      <c r="BJ389" s="129"/>
      <c r="BK389" s="129"/>
      <c r="BL389" s="129"/>
      <c r="BM389" s="129"/>
      <c r="BN389" s="129"/>
      <c r="BO389" s="129"/>
      <c r="BP389" s="129"/>
      <c r="BQ389" s="129"/>
      <c r="BR389" s="129"/>
      <c r="BS389" s="129"/>
      <c r="BT389" s="12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</row>
    <row r="390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44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44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</row>
    <row r="39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44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44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</row>
    <row r="39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44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44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</row>
    <row r="393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44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44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</row>
    <row r="394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44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44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</row>
    <row r="395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44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44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</row>
    <row r="396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44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44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</row>
    <row r="397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44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44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</row>
    <row r="398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44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44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</row>
    <row r="399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44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44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</row>
    <row r="400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29"/>
      <c r="AM400" s="129"/>
      <c r="AN400" s="144"/>
      <c r="AO400" s="129"/>
      <c r="AP400" s="129"/>
      <c r="AQ400" s="129"/>
      <c r="AR400" s="129"/>
      <c r="AS400" s="129"/>
      <c r="AT400" s="129"/>
      <c r="AU400" s="129"/>
      <c r="AV400" s="129"/>
      <c r="AW400" s="129"/>
      <c r="AX400" s="129"/>
      <c r="AY400" s="129"/>
      <c r="AZ400" s="129"/>
      <c r="BA400" s="129"/>
      <c r="BB400" s="129"/>
      <c r="BC400" s="129"/>
      <c r="BD400" s="129"/>
      <c r="BE400" s="129"/>
      <c r="BF400" s="144"/>
      <c r="BG400" s="129"/>
      <c r="BH400" s="129"/>
      <c r="BI400" s="129"/>
      <c r="BJ400" s="129"/>
      <c r="BK400" s="129"/>
      <c r="BL400" s="129"/>
      <c r="BM400" s="129"/>
      <c r="BN400" s="129"/>
      <c r="BO400" s="129"/>
      <c r="BP400" s="129"/>
      <c r="BQ400" s="129"/>
      <c r="BR400" s="129"/>
      <c r="BS400" s="129"/>
      <c r="BT400" s="129"/>
      <c r="BU400" s="129"/>
      <c r="BV400" s="129"/>
      <c r="BW400" s="129"/>
      <c r="BX400" s="129"/>
      <c r="BY400" s="129"/>
      <c r="BZ400" s="129"/>
      <c r="CA400" s="129"/>
      <c r="CB400" s="129"/>
      <c r="CC400" s="129"/>
      <c r="CD400" s="129"/>
    </row>
    <row r="40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29"/>
      <c r="AM401" s="129"/>
      <c r="AN401" s="144"/>
      <c r="AO401" s="129"/>
      <c r="AP401" s="129"/>
      <c r="AQ401" s="129"/>
      <c r="AR401" s="129"/>
      <c r="AS401" s="129"/>
      <c r="AT401" s="129"/>
      <c r="AU401" s="129"/>
      <c r="AV401" s="129"/>
      <c r="AW401" s="129"/>
      <c r="AX401" s="129"/>
      <c r="AY401" s="129"/>
      <c r="AZ401" s="129"/>
      <c r="BA401" s="129"/>
      <c r="BB401" s="129"/>
      <c r="BC401" s="129"/>
      <c r="BD401" s="129"/>
      <c r="BE401" s="129"/>
      <c r="BF401" s="144"/>
      <c r="BG401" s="129"/>
      <c r="BH401" s="129"/>
      <c r="BI401" s="129"/>
      <c r="BJ401" s="129"/>
      <c r="BK401" s="129"/>
      <c r="BL401" s="129"/>
      <c r="BM401" s="129"/>
      <c r="BN401" s="129"/>
      <c r="BO401" s="129"/>
      <c r="BP401" s="129"/>
      <c r="BQ401" s="129"/>
      <c r="BR401" s="129"/>
      <c r="BS401" s="129"/>
      <c r="BT401" s="129"/>
      <c r="BU401" s="129"/>
      <c r="BV401" s="129"/>
      <c r="BW401" s="129"/>
      <c r="BX401" s="129"/>
      <c r="BY401" s="129"/>
      <c r="BZ401" s="129"/>
      <c r="CA401" s="129"/>
      <c r="CB401" s="129"/>
      <c r="CC401" s="129"/>
      <c r="CD401" s="129"/>
    </row>
    <row r="40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29"/>
      <c r="AM402" s="129"/>
      <c r="AN402" s="144"/>
      <c r="AO402" s="129"/>
      <c r="AP402" s="129"/>
      <c r="AQ402" s="129"/>
      <c r="AR402" s="129"/>
      <c r="AS402" s="129"/>
      <c r="AT402" s="129"/>
      <c r="AU402" s="129"/>
      <c r="AV402" s="129"/>
      <c r="AW402" s="129"/>
      <c r="AX402" s="129"/>
      <c r="AY402" s="129"/>
      <c r="AZ402" s="129"/>
      <c r="BA402" s="129"/>
      <c r="BB402" s="129"/>
      <c r="BC402" s="129"/>
      <c r="BD402" s="129"/>
      <c r="BE402" s="129"/>
      <c r="BF402" s="144"/>
      <c r="BG402" s="129"/>
      <c r="BH402" s="129"/>
      <c r="BI402" s="129"/>
      <c r="BJ402" s="129"/>
      <c r="BK402" s="129"/>
      <c r="BL402" s="129"/>
      <c r="BM402" s="129"/>
      <c r="BN402" s="129"/>
      <c r="BO402" s="129"/>
      <c r="BP402" s="129"/>
      <c r="BQ402" s="129"/>
      <c r="BR402" s="129"/>
      <c r="BS402" s="129"/>
      <c r="BT402" s="129"/>
      <c r="BU402" s="129"/>
      <c r="BV402" s="129"/>
      <c r="BW402" s="129"/>
      <c r="BX402" s="129"/>
      <c r="BY402" s="129"/>
      <c r="BZ402" s="129"/>
      <c r="CA402" s="129"/>
      <c r="CB402" s="129"/>
      <c r="CC402" s="129"/>
      <c r="CD402" s="129"/>
    </row>
    <row r="403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29"/>
      <c r="AM403" s="129"/>
      <c r="AN403" s="144"/>
      <c r="AO403" s="129"/>
      <c r="AP403" s="129"/>
      <c r="AQ403" s="129"/>
      <c r="AR403" s="129"/>
      <c r="AS403" s="129"/>
      <c r="AT403" s="129"/>
      <c r="AU403" s="129"/>
      <c r="AV403" s="129"/>
      <c r="AW403" s="129"/>
      <c r="AX403" s="129"/>
      <c r="AY403" s="129"/>
      <c r="AZ403" s="129"/>
      <c r="BA403" s="129"/>
      <c r="BB403" s="129"/>
      <c r="BC403" s="129"/>
      <c r="BD403" s="129"/>
      <c r="BE403" s="129"/>
      <c r="BF403" s="144"/>
      <c r="BG403" s="129"/>
      <c r="BH403" s="129"/>
      <c r="BI403" s="129"/>
      <c r="BJ403" s="129"/>
      <c r="BK403" s="129"/>
      <c r="BL403" s="129"/>
      <c r="BM403" s="129"/>
      <c r="BN403" s="129"/>
      <c r="BO403" s="129"/>
      <c r="BP403" s="129"/>
      <c r="BQ403" s="129"/>
      <c r="BR403" s="129"/>
      <c r="BS403" s="129"/>
      <c r="BT403" s="129"/>
      <c r="BU403" s="129"/>
      <c r="BV403" s="129"/>
      <c r="BW403" s="129"/>
      <c r="BX403" s="129"/>
      <c r="BY403" s="129"/>
      <c r="BZ403" s="129"/>
      <c r="CA403" s="129"/>
      <c r="CB403" s="129"/>
      <c r="CC403" s="129"/>
      <c r="CD403" s="129"/>
    </row>
    <row r="404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29"/>
      <c r="AM404" s="129"/>
      <c r="AN404" s="144"/>
      <c r="AO404" s="129"/>
      <c r="AP404" s="129"/>
      <c r="AQ404" s="129"/>
      <c r="AR404" s="129"/>
      <c r="AS404" s="129"/>
      <c r="AT404" s="129"/>
      <c r="AU404" s="129"/>
      <c r="AV404" s="129"/>
      <c r="AW404" s="129"/>
      <c r="AX404" s="129"/>
      <c r="AY404" s="129"/>
      <c r="AZ404" s="129"/>
      <c r="BA404" s="129"/>
      <c r="BB404" s="129"/>
      <c r="BC404" s="129"/>
      <c r="BD404" s="129"/>
      <c r="BE404" s="129"/>
      <c r="BF404" s="144"/>
      <c r="BG404" s="129"/>
      <c r="BH404" s="129"/>
      <c r="BI404" s="129"/>
      <c r="BJ404" s="129"/>
      <c r="BK404" s="129"/>
      <c r="BL404" s="129"/>
      <c r="BM404" s="129"/>
      <c r="BN404" s="129"/>
      <c r="BO404" s="129"/>
      <c r="BP404" s="129"/>
      <c r="BQ404" s="129"/>
      <c r="BR404" s="129"/>
      <c r="BS404" s="129"/>
      <c r="BT404" s="129"/>
      <c r="BU404" s="129"/>
      <c r="BV404" s="129"/>
      <c r="BW404" s="129"/>
      <c r="BX404" s="129"/>
      <c r="BY404" s="129"/>
      <c r="BZ404" s="129"/>
      <c r="CA404" s="129"/>
      <c r="CB404" s="129"/>
      <c r="CC404" s="129"/>
      <c r="CD404" s="129"/>
    </row>
    <row r="405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29"/>
      <c r="AM405" s="129"/>
      <c r="AN405" s="144"/>
      <c r="AO405" s="129"/>
      <c r="AP405" s="129"/>
      <c r="AQ405" s="129"/>
      <c r="AR405" s="129"/>
      <c r="AS405" s="129"/>
      <c r="AT405" s="129"/>
      <c r="AU405" s="129"/>
      <c r="AV405" s="129"/>
      <c r="AW405" s="129"/>
      <c r="AX405" s="129"/>
      <c r="AY405" s="129"/>
      <c r="AZ405" s="129"/>
      <c r="BA405" s="129"/>
      <c r="BB405" s="129"/>
      <c r="BC405" s="129"/>
      <c r="BD405" s="129"/>
      <c r="BE405" s="129"/>
      <c r="BF405" s="144"/>
      <c r="BG405" s="129"/>
      <c r="BH405" s="129"/>
      <c r="BI405" s="129"/>
      <c r="BJ405" s="129"/>
      <c r="BK405" s="129"/>
      <c r="BL405" s="129"/>
      <c r="BM405" s="129"/>
      <c r="BN405" s="129"/>
      <c r="BO405" s="129"/>
      <c r="BP405" s="129"/>
      <c r="BQ405" s="129"/>
      <c r="BR405" s="129"/>
      <c r="BS405" s="129"/>
      <c r="BT405" s="129"/>
      <c r="BU405" s="129"/>
      <c r="BV405" s="129"/>
      <c r="BW405" s="129"/>
      <c r="BX405" s="129"/>
      <c r="BY405" s="129"/>
      <c r="BZ405" s="129"/>
      <c r="CA405" s="129"/>
      <c r="CB405" s="129"/>
      <c r="CC405" s="129"/>
      <c r="CD405" s="129"/>
    </row>
    <row r="406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29"/>
      <c r="AM406" s="129"/>
      <c r="AN406" s="144"/>
      <c r="AO406" s="129"/>
      <c r="AP406" s="129"/>
      <c r="AQ406" s="129"/>
      <c r="AR406" s="129"/>
      <c r="AS406" s="129"/>
      <c r="AT406" s="129"/>
      <c r="AU406" s="129"/>
      <c r="AV406" s="129"/>
      <c r="AW406" s="129"/>
      <c r="AX406" s="129"/>
      <c r="AY406" s="129"/>
      <c r="AZ406" s="129"/>
      <c r="BA406" s="129"/>
      <c r="BB406" s="129"/>
      <c r="BC406" s="129"/>
      <c r="BD406" s="129"/>
      <c r="BE406" s="129"/>
      <c r="BF406" s="144"/>
      <c r="BG406" s="129"/>
      <c r="BH406" s="129"/>
      <c r="BI406" s="129"/>
      <c r="BJ406" s="129"/>
      <c r="BK406" s="129"/>
      <c r="BL406" s="129"/>
      <c r="BM406" s="129"/>
      <c r="BN406" s="129"/>
      <c r="BO406" s="129"/>
      <c r="BP406" s="129"/>
      <c r="BQ406" s="129"/>
      <c r="BR406" s="129"/>
      <c r="BS406" s="129"/>
      <c r="BT406" s="129"/>
      <c r="BU406" s="129"/>
      <c r="BV406" s="129"/>
      <c r="BW406" s="129"/>
      <c r="BX406" s="129"/>
      <c r="BY406" s="129"/>
      <c r="BZ406" s="129"/>
      <c r="CA406" s="129"/>
      <c r="CB406" s="129"/>
      <c r="CC406" s="129"/>
      <c r="CD406" s="129"/>
    </row>
    <row r="407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29"/>
      <c r="AM407" s="129"/>
      <c r="AN407" s="144"/>
      <c r="AO407" s="129"/>
      <c r="AP407" s="129"/>
      <c r="AQ407" s="129"/>
      <c r="AR407" s="129"/>
      <c r="AS407" s="129"/>
      <c r="AT407" s="129"/>
      <c r="AU407" s="129"/>
      <c r="AV407" s="129"/>
      <c r="AW407" s="129"/>
      <c r="AX407" s="129"/>
      <c r="AY407" s="129"/>
      <c r="AZ407" s="129"/>
      <c r="BA407" s="129"/>
      <c r="BB407" s="129"/>
      <c r="BC407" s="129"/>
      <c r="BD407" s="129"/>
      <c r="BE407" s="129"/>
      <c r="BF407" s="144"/>
      <c r="BG407" s="129"/>
      <c r="BH407" s="129"/>
      <c r="BI407" s="129"/>
      <c r="BJ407" s="129"/>
      <c r="BK407" s="129"/>
      <c r="BL407" s="129"/>
      <c r="BM407" s="129"/>
      <c r="BN407" s="129"/>
      <c r="BO407" s="129"/>
      <c r="BP407" s="129"/>
      <c r="BQ407" s="129"/>
      <c r="BR407" s="129"/>
      <c r="BS407" s="129"/>
      <c r="BT407" s="129"/>
      <c r="BU407" s="129"/>
      <c r="BV407" s="129"/>
      <c r="BW407" s="129"/>
      <c r="BX407" s="129"/>
      <c r="BY407" s="129"/>
      <c r="BZ407" s="129"/>
      <c r="CA407" s="129"/>
      <c r="CB407" s="129"/>
      <c r="CC407" s="129"/>
      <c r="CD407" s="129"/>
    </row>
    <row r="408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29"/>
      <c r="AM408" s="129"/>
      <c r="AN408" s="144"/>
      <c r="AO408" s="129"/>
      <c r="AP408" s="129"/>
      <c r="AQ408" s="129"/>
      <c r="AR408" s="129"/>
      <c r="AS408" s="129"/>
      <c r="AT408" s="129"/>
      <c r="AU408" s="129"/>
      <c r="AV408" s="129"/>
      <c r="AW408" s="129"/>
      <c r="AX408" s="129"/>
      <c r="AY408" s="129"/>
      <c r="AZ408" s="129"/>
      <c r="BA408" s="129"/>
      <c r="BB408" s="129"/>
      <c r="BC408" s="129"/>
      <c r="BD408" s="129"/>
      <c r="BE408" s="129"/>
      <c r="BF408" s="144"/>
      <c r="BG408" s="129"/>
      <c r="BH408" s="129"/>
      <c r="BI408" s="129"/>
      <c r="BJ408" s="129"/>
      <c r="BK408" s="129"/>
      <c r="BL408" s="129"/>
      <c r="BM408" s="129"/>
      <c r="BN408" s="129"/>
      <c r="BO408" s="129"/>
      <c r="BP408" s="129"/>
      <c r="BQ408" s="129"/>
      <c r="BR408" s="129"/>
      <c r="BS408" s="129"/>
      <c r="BT408" s="129"/>
      <c r="BU408" s="129"/>
      <c r="BV408" s="129"/>
      <c r="BW408" s="129"/>
      <c r="BX408" s="129"/>
      <c r="BY408" s="129"/>
      <c r="BZ408" s="129"/>
      <c r="CA408" s="129"/>
      <c r="CB408" s="129"/>
      <c r="CC408" s="129"/>
      <c r="CD408" s="129"/>
    </row>
    <row r="409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29"/>
      <c r="AM409" s="129"/>
      <c r="AN409" s="144"/>
      <c r="AO409" s="129"/>
      <c r="AP409" s="129"/>
      <c r="AQ409" s="129"/>
      <c r="AR409" s="129"/>
      <c r="AS409" s="129"/>
      <c r="AT409" s="129"/>
      <c r="AU409" s="129"/>
      <c r="AV409" s="129"/>
      <c r="AW409" s="129"/>
      <c r="AX409" s="129"/>
      <c r="AY409" s="129"/>
      <c r="AZ409" s="129"/>
      <c r="BA409" s="129"/>
      <c r="BB409" s="129"/>
      <c r="BC409" s="129"/>
      <c r="BD409" s="129"/>
      <c r="BE409" s="129"/>
      <c r="BF409" s="144"/>
      <c r="BG409" s="129"/>
      <c r="BH409" s="129"/>
      <c r="BI409" s="129"/>
      <c r="BJ409" s="129"/>
      <c r="BK409" s="129"/>
      <c r="BL409" s="129"/>
      <c r="BM409" s="129"/>
      <c r="BN409" s="129"/>
      <c r="BO409" s="129"/>
      <c r="BP409" s="129"/>
      <c r="BQ409" s="129"/>
      <c r="BR409" s="129"/>
      <c r="BS409" s="129"/>
      <c r="BT409" s="129"/>
      <c r="BU409" s="129"/>
      <c r="BV409" s="129"/>
      <c r="BW409" s="129"/>
      <c r="BX409" s="129"/>
      <c r="BY409" s="129"/>
      <c r="BZ409" s="129"/>
      <c r="CA409" s="129"/>
      <c r="CB409" s="129"/>
      <c r="CC409" s="129"/>
      <c r="CD409" s="129"/>
    </row>
    <row r="410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29"/>
      <c r="AM410" s="129"/>
      <c r="AN410" s="144"/>
      <c r="AO410" s="129"/>
      <c r="AP410" s="129"/>
      <c r="AQ410" s="129"/>
      <c r="AR410" s="129"/>
      <c r="AS410" s="129"/>
      <c r="AT410" s="129"/>
      <c r="AU410" s="129"/>
      <c r="AV410" s="129"/>
      <c r="AW410" s="129"/>
      <c r="AX410" s="129"/>
      <c r="AY410" s="129"/>
      <c r="AZ410" s="129"/>
      <c r="BA410" s="129"/>
      <c r="BB410" s="129"/>
      <c r="BC410" s="129"/>
      <c r="BD410" s="129"/>
      <c r="BE410" s="129"/>
      <c r="BF410" s="144"/>
      <c r="BG410" s="129"/>
      <c r="BH410" s="129"/>
      <c r="BI410" s="129"/>
      <c r="BJ410" s="129"/>
      <c r="BK410" s="129"/>
      <c r="BL410" s="129"/>
      <c r="BM410" s="129"/>
      <c r="BN410" s="129"/>
      <c r="BO410" s="129"/>
      <c r="BP410" s="129"/>
      <c r="BQ410" s="129"/>
      <c r="BR410" s="129"/>
      <c r="BS410" s="129"/>
      <c r="BT410" s="129"/>
      <c r="BU410" s="129"/>
      <c r="BV410" s="129"/>
      <c r="BW410" s="129"/>
      <c r="BX410" s="129"/>
      <c r="BY410" s="129"/>
      <c r="BZ410" s="129"/>
      <c r="CA410" s="129"/>
      <c r="CB410" s="129"/>
      <c r="CC410" s="129"/>
      <c r="CD410" s="129"/>
    </row>
    <row r="41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29"/>
      <c r="AM411" s="129"/>
      <c r="AN411" s="144"/>
      <c r="AO411" s="129"/>
      <c r="AP411" s="129"/>
      <c r="AQ411" s="129"/>
      <c r="AR411" s="129"/>
      <c r="AS411" s="129"/>
      <c r="AT411" s="129"/>
      <c r="AU411" s="129"/>
      <c r="AV411" s="129"/>
      <c r="AW411" s="129"/>
      <c r="AX411" s="129"/>
      <c r="AY411" s="129"/>
      <c r="AZ411" s="129"/>
      <c r="BA411" s="129"/>
      <c r="BB411" s="129"/>
      <c r="BC411" s="129"/>
      <c r="BD411" s="129"/>
      <c r="BE411" s="129"/>
      <c r="BF411" s="144"/>
      <c r="BG411" s="129"/>
      <c r="BH411" s="129"/>
      <c r="BI411" s="129"/>
      <c r="BJ411" s="129"/>
      <c r="BK411" s="129"/>
      <c r="BL411" s="129"/>
      <c r="BM411" s="129"/>
      <c r="BN411" s="129"/>
      <c r="BO411" s="129"/>
      <c r="BP411" s="129"/>
      <c r="BQ411" s="129"/>
      <c r="BR411" s="129"/>
      <c r="BS411" s="129"/>
      <c r="BT411" s="129"/>
      <c r="BU411" s="129"/>
      <c r="BV411" s="129"/>
      <c r="BW411" s="129"/>
      <c r="BX411" s="129"/>
      <c r="BY411" s="129"/>
      <c r="BZ411" s="129"/>
      <c r="CA411" s="129"/>
      <c r="CB411" s="129"/>
      <c r="CC411" s="129"/>
      <c r="CD411" s="129"/>
    </row>
    <row r="41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29"/>
      <c r="AM412" s="129"/>
      <c r="AN412" s="144"/>
      <c r="AO412" s="129"/>
      <c r="AP412" s="129"/>
      <c r="AQ412" s="129"/>
      <c r="AR412" s="129"/>
      <c r="AS412" s="129"/>
      <c r="AT412" s="129"/>
      <c r="AU412" s="129"/>
      <c r="AV412" s="129"/>
      <c r="AW412" s="129"/>
      <c r="AX412" s="129"/>
      <c r="AY412" s="129"/>
      <c r="AZ412" s="129"/>
      <c r="BA412" s="129"/>
      <c r="BB412" s="129"/>
      <c r="BC412" s="129"/>
      <c r="BD412" s="129"/>
      <c r="BE412" s="129"/>
      <c r="BF412" s="144"/>
      <c r="BG412" s="129"/>
      <c r="BH412" s="129"/>
      <c r="BI412" s="129"/>
      <c r="BJ412" s="129"/>
      <c r="BK412" s="129"/>
      <c r="BL412" s="129"/>
      <c r="BM412" s="129"/>
      <c r="BN412" s="129"/>
      <c r="BO412" s="129"/>
      <c r="BP412" s="129"/>
      <c r="BQ412" s="129"/>
      <c r="BR412" s="129"/>
      <c r="BS412" s="129"/>
      <c r="BT412" s="129"/>
      <c r="BU412" s="129"/>
      <c r="BV412" s="129"/>
      <c r="BW412" s="129"/>
      <c r="BX412" s="129"/>
      <c r="BY412" s="129"/>
      <c r="BZ412" s="129"/>
      <c r="CA412" s="129"/>
      <c r="CB412" s="129"/>
      <c r="CC412" s="129"/>
      <c r="CD412" s="129"/>
    </row>
    <row r="413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29"/>
      <c r="AM413" s="129"/>
      <c r="AN413" s="144"/>
      <c r="AO413" s="129"/>
      <c r="AP413" s="129"/>
      <c r="AQ413" s="129"/>
      <c r="AR413" s="129"/>
      <c r="AS413" s="129"/>
      <c r="AT413" s="129"/>
      <c r="AU413" s="129"/>
      <c r="AV413" s="129"/>
      <c r="AW413" s="129"/>
      <c r="AX413" s="129"/>
      <c r="AY413" s="129"/>
      <c r="AZ413" s="129"/>
      <c r="BA413" s="129"/>
      <c r="BB413" s="129"/>
      <c r="BC413" s="129"/>
      <c r="BD413" s="129"/>
      <c r="BE413" s="129"/>
      <c r="BF413" s="144"/>
      <c r="BG413" s="129"/>
      <c r="BH413" s="129"/>
      <c r="BI413" s="129"/>
      <c r="BJ413" s="129"/>
      <c r="BK413" s="129"/>
      <c r="BL413" s="129"/>
      <c r="BM413" s="129"/>
      <c r="BN413" s="129"/>
      <c r="BO413" s="129"/>
      <c r="BP413" s="129"/>
      <c r="BQ413" s="129"/>
      <c r="BR413" s="129"/>
      <c r="BS413" s="129"/>
      <c r="BT413" s="129"/>
      <c r="BU413" s="129"/>
      <c r="BV413" s="129"/>
      <c r="BW413" s="129"/>
      <c r="BX413" s="129"/>
      <c r="BY413" s="129"/>
      <c r="BZ413" s="129"/>
      <c r="CA413" s="129"/>
      <c r="CB413" s="129"/>
      <c r="CC413" s="129"/>
      <c r="CD413" s="129"/>
    </row>
    <row r="414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29"/>
      <c r="AM414" s="129"/>
      <c r="AN414" s="144"/>
      <c r="AO414" s="129"/>
      <c r="AP414" s="129"/>
      <c r="AQ414" s="129"/>
      <c r="AR414" s="129"/>
      <c r="AS414" s="129"/>
      <c r="AT414" s="129"/>
      <c r="AU414" s="129"/>
      <c r="AV414" s="129"/>
      <c r="AW414" s="129"/>
      <c r="AX414" s="129"/>
      <c r="AY414" s="129"/>
      <c r="AZ414" s="129"/>
      <c r="BA414" s="129"/>
      <c r="BB414" s="129"/>
      <c r="BC414" s="129"/>
      <c r="BD414" s="129"/>
      <c r="BE414" s="129"/>
      <c r="BF414" s="144"/>
      <c r="BG414" s="129"/>
      <c r="BH414" s="129"/>
      <c r="BI414" s="129"/>
      <c r="BJ414" s="129"/>
      <c r="BK414" s="129"/>
      <c r="BL414" s="129"/>
      <c r="BM414" s="129"/>
      <c r="BN414" s="129"/>
      <c r="BO414" s="129"/>
      <c r="BP414" s="129"/>
      <c r="BQ414" s="129"/>
      <c r="BR414" s="129"/>
      <c r="BS414" s="129"/>
      <c r="BT414" s="129"/>
      <c r="BU414" s="129"/>
      <c r="BV414" s="129"/>
      <c r="BW414" s="129"/>
      <c r="BX414" s="129"/>
      <c r="BY414" s="129"/>
      <c r="BZ414" s="129"/>
      <c r="CA414" s="129"/>
      <c r="CB414" s="129"/>
      <c r="CC414" s="129"/>
      <c r="CD414" s="129"/>
    </row>
    <row r="415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29"/>
      <c r="AM415" s="129"/>
      <c r="AN415" s="144"/>
      <c r="AO415" s="129"/>
      <c r="AP415" s="129"/>
      <c r="AQ415" s="129"/>
      <c r="AR415" s="129"/>
      <c r="AS415" s="129"/>
      <c r="AT415" s="129"/>
      <c r="AU415" s="129"/>
      <c r="AV415" s="129"/>
      <c r="AW415" s="129"/>
      <c r="AX415" s="129"/>
      <c r="AY415" s="129"/>
      <c r="AZ415" s="129"/>
      <c r="BA415" s="129"/>
      <c r="BB415" s="129"/>
      <c r="BC415" s="129"/>
      <c r="BD415" s="129"/>
      <c r="BE415" s="129"/>
      <c r="BF415" s="144"/>
      <c r="BG415" s="129"/>
      <c r="BH415" s="129"/>
      <c r="BI415" s="129"/>
      <c r="BJ415" s="129"/>
      <c r="BK415" s="129"/>
      <c r="BL415" s="129"/>
      <c r="BM415" s="129"/>
      <c r="BN415" s="129"/>
      <c r="BO415" s="129"/>
      <c r="BP415" s="129"/>
      <c r="BQ415" s="129"/>
      <c r="BR415" s="129"/>
      <c r="BS415" s="129"/>
      <c r="BT415" s="129"/>
      <c r="BU415" s="129"/>
      <c r="BV415" s="129"/>
      <c r="BW415" s="129"/>
      <c r="BX415" s="129"/>
      <c r="BY415" s="129"/>
      <c r="BZ415" s="129"/>
      <c r="CA415" s="129"/>
      <c r="CB415" s="129"/>
      <c r="CC415" s="129"/>
      <c r="CD415" s="129"/>
    </row>
    <row r="416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29"/>
      <c r="AM416" s="129"/>
      <c r="AN416" s="144"/>
      <c r="AO416" s="129"/>
      <c r="AP416" s="129"/>
      <c r="AQ416" s="129"/>
      <c r="AR416" s="129"/>
      <c r="AS416" s="129"/>
      <c r="AT416" s="129"/>
      <c r="AU416" s="129"/>
      <c r="AV416" s="129"/>
      <c r="AW416" s="129"/>
      <c r="AX416" s="129"/>
      <c r="AY416" s="129"/>
      <c r="AZ416" s="129"/>
      <c r="BA416" s="129"/>
      <c r="BB416" s="129"/>
      <c r="BC416" s="129"/>
      <c r="BD416" s="129"/>
      <c r="BE416" s="129"/>
      <c r="BF416" s="144"/>
      <c r="BG416" s="129"/>
      <c r="BH416" s="129"/>
      <c r="BI416" s="129"/>
      <c r="BJ416" s="129"/>
      <c r="BK416" s="129"/>
      <c r="BL416" s="129"/>
      <c r="BM416" s="129"/>
      <c r="BN416" s="129"/>
      <c r="BO416" s="129"/>
      <c r="BP416" s="129"/>
      <c r="BQ416" s="129"/>
      <c r="BR416" s="129"/>
      <c r="BS416" s="129"/>
      <c r="BT416" s="129"/>
      <c r="BU416" s="129"/>
      <c r="BV416" s="129"/>
      <c r="BW416" s="129"/>
      <c r="BX416" s="129"/>
      <c r="BY416" s="129"/>
      <c r="BZ416" s="129"/>
      <c r="CA416" s="129"/>
      <c r="CB416" s="129"/>
      <c r="CC416" s="129"/>
      <c r="CD416" s="129"/>
    </row>
    <row r="417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29"/>
      <c r="AM417" s="129"/>
      <c r="AN417" s="144"/>
      <c r="AO417" s="129"/>
      <c r="AP417" s="129"/>
      <c r="AQ417" s="129"/>
      <c r="AR417" s="129"/>
      <c r="AS417" s="129"/>
      <c r="AT417" s="129"/>
      <c r="AU417" s="129"/>
      <c r="AV417" s="129"/>
      <c r="AW417" s="129"/>
      <c r="AX417" s="129"/>
      <c r="AY417" s="129"/>
      <c r="AZ417" s="129"/>
      <c r="BA417" s="129"/>
      <c r="BB417" s="129"/>
      <c r="BC417" s="129"/>
      <c r="BD417" s="129"/>
      <c r="BE417" s="129"/>
      <c r="BF417" s="144"/>
      <c r="BG417" s="129"/>
      <c r="BH417" s="129"/>
      <c r="BI417" s="129"/>
      <c r="BJ417" s="129"/>
      <c r="BK417" s="129"/>
      <c r="BL417" s="129"/>
      <c r="BM417" s="129"/>
      <c r="BN417" s="129"/>
      <c r="BO417" s="129"/>
      <c r="BP417" s="129"/>
      <c r="BQ417" s="129"/>
      <c r="BR417" s="129"/>
      <c r="BS417" s="129"/>
      <c r="BT417" s="129"/>
      <c r="BU417" s="129"/>
      <c r="BV417" s="129"/>
      <c r="BW417" s="129"/>
      <c r="BX417" s="129"/>
      <c r="BY417" s="129"/>
      <c r="BZ417" s="129"/>
      <c r="CA417" s="129"/>
      <c r="CB417" s="129"/>
      <c r="CC417" s="129"/>
      <c r="CD417" s="129"/>
    </row>
    <row r="418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29"/>
      <c r="AM418" s="129"/>
      <c r="AN418" s="144"/>
      <c r="AO418" s="129"/>
      <c r="AP418" s="129"/>
      <c r="AQ418" s="129"/>
      <c r="AR418" s="129"/>
      <c r="AS418" s="129"/>
      <c r="AT418" s="129"/>
      <c r="AU418" s="129"/>
      <c r="AV418" s="129"/>
      <c r="AW418" s="129"/>
      <c r="AX418" s="129"/>
      <c r="AY418" s="129"/>
      <c r="AZ418" s="129"/>
      <c r="BA418" s="129"/>
      <c r="BB418" s="129"/>
      <c r="BC418" s="129"/>
      <c r="BD418" s="129"/>
      <c r="BE418" s="129"/>
      <c r="BF418" s="144"/>
      <c r="BG418" s="129"/>
      <c r="BH418" s="129"/>
      <c r="BI418" s="129"/>
      <c r="BJ418" s="129"/>
      <c r="BK418" s="129"/>
      <c r="BL418" s="129"/>
      <c r="BM418" s="129"/>
      <c r="BN418" s="129"/>
      <c r="BO418" s="129"/>
      <c r="BP418" s="129"/>
      <c r="BQ418" s="129"/>
      <c r="BR418" s="129"/>
      <c r="BS418" s="129"/>
      <c r="BT418" s="129"/>
      <c r="BU418" s="129"/>
      <c r="BV418" s="129"/>
      <c r="BW418" s="129"/>
      <c r="BX418" s="129"/>
      <c r="BY418" s="129"/>
      <c r="BZ418" s="129"/>
      <c r="CA418" s="129"/>
      <c r="CB418" s="129"/>
      <c r="CC418" s="129"/>
      <c r="CD418" s="129"/>
    </row>
    <row r="419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29"/>
      <c r="AM419" s="129"/>
      <c r="AN419" s="144"/>
      <c r="AO419" s="129"/>
      <c r="AP419" s="129"/>
      <c r="AQ419" s="129"/>
      <c r="AR419" s="129"/>
      <c r="AS419" s="129"/>
      <c r="AT419" s="129"/>
      <c r="AU419" s="129"/>
      <c r="AV419" s="129"/>
      <c r="AW419" s="129"/>
      <c r="AX419" s="129"/>
      <c r="AY419" s="129"/>
      <c r="AZ419" s="129"/>
      <c r="BA419" s="129"/>
      <c r="BB419" s="129"/>
      <c r="BC419" s="129"/>
      <c r="BD419" s="129"/>
      <c r="BE419" s="129"/>
      <c r="BF419" s="144"/>
      <c r="BG419" s="129"/>
      <c r="BH419" s="129"/>
      <c r="BI419" s="129"/>
      <c r="BJ419" s="129"/>
      <c r="BK419" s="129"/>
      <c r="BL419" s="129"/>
      <c r="BM419" s="129"/>
      <c r="BN419" s="129"/>
      <c r="BO419" s="129"/>
      <c r="BP419" s="129"/>
      <c r="BQ419" s="129"/>
      <c r="BR419" s="129"/>
      <c r="BS419" s="129"/>
      <c r="BT419" s="129"/>
      <c r="BU419" s="129"/>
      <c r="BV419" s="129"/>
      <c r="BW419" s="129"/>
      <c r="BX419" s="129"/>
      <c r="BY419" s="129"/>
      <c r="BZ419" s="129"/>
      <c r="CA419" s="129"/>
      <c r="CB419" s="129"/>
      <c r="CC419" s="129"/>
      <c r="CD419" s="129"/>
    </row>
    <row r="420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29"/>
      <c r="AM420" s="129"/>
      <c r="AN420" s="144"/>
      <c r="AO420" s="129"/>
      <c r="AP420" s="129"/>
      <c r="AQ420" s="129"/>
      <c r="AR420" s="129"/>
      <c r="AS420" s="129"/>
      <c r="AT420" s="129"/>
      <c r="AU420" s="129"/>
      <c r="AV420" s="129"/>
      <c r="AW420" s="129"/>
      <c r="AX420" s="129"/>
      <c r="AY420" s="129"/>
      <c r="AZ420" s="129"/>
      <c r="BA420" s="129"/>
      <c r="BB420" s="129"/>
      <c r="BC420" s="129"/>
      <c r="BD420" s="129"/>
      <c r="BE420" s="129"/>
      <c r="BF420" s="144"/>
      <c r="BG420" s="129"/>
      <c r="BH420" s="129"/>
      <c r="BI420" s="129"/>
      <c r="BJ420" s="129"/>
      <c r="BK420" s="129"/>
      <c r="BL420" s="129"/>
      <c r="BM420" s="129"/>
      <c r="BN420" s="129"/>
      <c r="BO420" s="129"/>
      <c r="BP420" s="129"/>
      <c r="BQ420" s="129"/>
      <c r="BR420" s="129"/>
      <c r="BS420" s="129"/>
      <c r="BT420" s="129"/>
      <c r="BU420" s="129"/>
      <c r="BV420" s="129"/>
      <c r="BW420" s="129"/>
      <c r="BX420" s="129"/>
      <c r="BY420" s="129"/>
      <c r="BZ420" s="129"/>
      <c r="CA420" s="129"/>
      <c r="CB420" s="129"/>
      <c r="CC420" s="129"/>
      <c r="CD420" s="129"/>
    </row>
    <row r="42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29"/>
      <c r="AM421" s="129"/>
      <c r="AN421" s="144"/>
      <c r="AO421" s="129"/>
      <c r="AP421" s="129"/>
      <c r="AQ421" s="129"/>
      <c r="AR421" s="129"/>
      <c r="AS421" s="129"/>
      <c r="AT421" s="129"/>
      <c r="AU421" s="129"/>
      <c r="AV421" s="129"/>
      <c r="AW421" s="129"/>
      <c r="AX421" s="129"/>
      <c r="AY421" s="129"/>
      <c r="AZ421" s="129"/>
      <c r="BA421" s="129"/>
      <c r="BB421" s="129"/>
      <c r="BC421" s="129"/>
      <c r="BD421" s="129"/>
      <c r="BE421" s="129"/>
      <c r="BF421" s="144"/>
      <c r="BG421" s="129"/>
      <c r="BH421" s="129"/>
      <c r="BI421" s="129"/>
      <c r="BJ421" s="129"/>
      <c r="BK421" s="129"/>
      <c r="BL421" s="129"/>
      <c r="BM421" s="129"/>
      <c r="BN421" s="129"/>
      <c r="BO421" s="129"/>
      <c r="BP421" s="129"/>
      <c r="BQ421" s="129"/>
      <c r="BR421" s="129"/>
      <c r="BS421" s="129"/>
      <c r="BT421" s="129"/>
      <c r="BU421" s="129"/>
      <c r="BV421" s="129"/>
      <c r="BW421" s="129"/>
      <c r="BX421" s="129"/>
      <c r="BY421" s="129"/>
      <c r="BZ421" s="129"/>
      <c r="CA421" s="129"/>
      <c r="CB421" s="129"/>
      <c r="CC421" s="129"/>
      <c r="CD421" s="129"/>
    </row>
    <row r="42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29"/>
      <c r="AM422" s="129"/>
      <c r="AN422" s="144"/>
      <c r="AO422" s="129"/>
      <c r="AP422" s="129"/>
      <c r="AQ422" s="129"/>
      <c r="AR422" s="129"/>
      <c r="AS422" s="129"/>
      <c r="AT422" s="129"/>
      <c r="AU422" s="129"/>
      <c r="AV422" s="129"/>
      <c r="AW422" s="129"/>
      <c r="AX422" s="129"/>
      <c r="AY422" s="129"/>
      <c r="AZ422" s="129"/>
      <c r="BA422" s="129"/>
      <c r="BB422" s="129"/>
      <c r="BC422" s="129"/>
      <c r="BD422" s="129"/>
      <c r="BE422" s="129"/>
      <c r="BF422" s="144"/>
      <c r="BG422" s="129"/>
      <c r="BH422" s="129"/>
      <c r="BI422" s="129"/>
      <c r="BJ422" s="129"/>
      <c r="BK422" s="129"/>
      <c r="BL422" s="129"/>
      <c r="BM422" s="129"/>
      <c r="BN422" s="129"/>
      <c r="BO422" s="129"/>
      <c r="BP422" s="129"/>
      <c r="BQ422" s="129"/>
      <c r="BR422" s="129"/>
      <c r="BS422" s="129"/>
      <c r="BT422" s="129"/>
      <c r="BU422" s="129"/>
      <c r="BV422" s="129"/>
      <c r="BW422" s="129"/>
      <c r="BX422" s="129"/>
      <c r="BY422" s="129"/>
      <c r="BZ422" s="129"/>
      <c r="CA422" s="129"/>
      <c r="CB422" s="129"/>
      <c r="CC422" s="129"/>
      <c r="CD422" s="129"/>
    </row>
    <row r="423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29"/>
      <c r="AM423" s="129"/>
      <c r="AN423" s="144"/>
      <c r="AO423" s="129"/>
      <c r="AP423" s="129"/>
      <c r="AQ423" s="129"/>
      <c r="AR423" s="129"/>
      <c r="AS423" s="129"/>
      <c r="AT423" s="129"/>
      <c r="AU423" s="129"/>
      <c r="AV423" s="129"/>
      <c r="AW423" s="129"/>
      <c r="AX423" s="129"/>
      <c r="AY423" s="129"/>
      <c r="AZ423" s="129"/>
      <c r="BA423" s="129"/>
      <c r="BB423" s="129"/>
      <c r="BC423" s="129"/>
      <c r="BD423" s="129"/>
      <c r="BE423" s="129"/>
      <c r="BF423" s="144"/>
      <c r="BG423" s="129"/>
      <c r="BH423" s="129"/>
      <c r="BI423" s="129"/>
      <c r="BJ423" s="129"/>
      <c r="BK423" s="129"/>
      <c r="BL423" s="129"/>
      <c r="BM423" s="129"/>
      <c r="BN423" s="129"/>
      <c r="BO423" s="129"/>
      <c r="BP423" s="129"/>
      <c r="BQ423" s="129"/>
      <c r="BR423" s="129"/>
      <c r="BS423" s="129"/>
      <c r="BT423" s="129"/>
      <c r="BU423" s="129"/>
      <c r="BV423" s="129"/>
      <c r="BW423" s="129"/>
      <c r="BX423" s="129"/>
      <c r="BY423" s="129"/>
      <c r="BZ423" s="129"/>
      <c r="CA423" s="129"/>
      <c r="CB423" s="129"/>
      <c r="CC423" s="129"/>
      <c r="CD423" s="129"/>
    </row>
    <row r="424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44"/>
      <c r="AO424" s="129"/>
      <c r="AP424" s="129"/>
      <c r="AQ424" s="129"/>
      <c r="AR424" s="129"/>
      <c r="AS424" s="129"/>
      <c r="AT424" s="129"/>
      <c r="AU424" s="129"/>
      <c r="AV424" s="129"/>
      <c r="AW424" s="129"/>
      <c r="AX424" s="129"/>
      <c r="AY424" s="129"/>
      <c r="AZ424" s="129"/>
      <c r="BA424" s="129"/>
      <c r="BB424" s="129"/>
      <c r="BC424" s="129"/>
      <c r="BD424" s="129"/>
      <c r="BE424" s="129"/>
      <c r="BF424" s="144"/>
      <c r="BG424" s="129"/>
      <c r="BH424" s="129"/>
      <c r="BI424" s="129"/>
      <c r="BJ424" s="129"/>
      <c r="BK424" s="129"/>
      <c r="BL424" s="129"/>
      <c r="BM424" s="129"/>
      <c r="BN424" s="129"/>
      <c r="BO424" s="129"/>
      <c r="BP424" s="129"/>
      <c r="BQ424" s="129"/>
      <c r="BR424" s="129"/>
      <c r="BS424" s="129"/>
      <c r="BT424" s="129"/>
      <c r="BU424" s="129"/>
      <c r="BV424" s="129"/>
      <c r="BW424" s="129"/>
      <c r="BX424" s="129"/>
      <c r="BY424" s="129"/>
      <c r="BZ424" s="129"/>
      <c r="CA424" s="129"/>
      <c r="CB424" s="129"/>
      <c r="CC424" s="129"/>
      <c r="CD424" s="129"/>
    </row>
    <row r="425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44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44"/>
      <c r="BG425" s="129"/>
      <c r="BH425" s="129"/>
      <c r="BI425" s="129"/>
      <c r="BJ425" s="129"/>
      <c r="BK425" s="129"/>
      <c r="BL425" s="129"/>
      <c r="BM425" s="129"/>
      <c r="BN425" s="129"/>
      <c r="BO425" s="129"/>
      <c r="BP425" s="129"/>
      <c r="BQ425" s="129"/>
      <c r="BR425" s="129"/>
      <c r="BS425" s="129"/>
      <c r="BT425" s="129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</row>
    <row r="426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29"/>
      <c r="AM426" s="129"/>
      <c r="AN426" s="144"/>
      <c r="AO426" s="129"/>
      <c r="AP426" s="129"/>
      <c r="AQ426" s="129"/>
      <c r="AR426" s="129"/>
      <c r="AS426" s="129"/>
      <c r="AT426" s="129"/>
      <c r="AU426" s="129"/>
      <c r="AV426" s="129"/>
      <c r="AW426" s="129"/>
      <c r="AX426" s="129"/>
      <c r="AY426" s="129"/>
      <c r="AZ426" s="129"/>
      <c r="BA426" s="129"/>
      <c r="BB426" s="129"/>
      <c r="BC426" s="129"/>
      <c r="BD426" s="129"/>
      <c r="BE426" s="129"/>
      <c r="BF426" s="144"/>
      <c r="BG426" s="129"/>
      <c r="BH426" s="129"/>
      <c r="BI426" s="129"/>
      <c r="BJ426" s="129"/>
      <c r="BK426" s="129"/>
      <c r="BL426" s="129"/>
      <c r="BM426" s="129"/>
      <c r="BN426" s="129"/>
      <c r="BO426" s="129"/>
      <c r="BP426" s="129"/>
      <c r="BQ426" s="129"/>
      <c r="BR426" s="129"/>
      <c r="BS426" s="129"/>
      <c r="BT426" s="129"/>
      <c r="BU426" s="129"/>
      <c r="BV426" s="129"/>
      <c r="BW426" s="129"/>
      <c r="BX426" s="129"/>
      <c r="BY426" s="129"/>
      <c r="BZ426" s="129"/>
      <c r="CA426" s="129"/>
      <c r="CB426" s="129"/>
      <c r="CC426" s="129"/>
      <c r="CD426" s="129"/>
    </row>
    <row r="427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29"/>
      <c r="AM427" s="129"/>
      <c r="AN427" s="144"/>
      <c r="AO427" s="129"/>
      <c r="AP427" s="129"/>
      <c r="AQ427" s="129"/>
      <c r="AR427" s="129"/>
      <c r="AS427" s="129"/>
      <c r="AT427" s="129"/>
      <c r="AU427" s="129"/>
      <c r="AV427" s="129"/>
      <c r="AW427" s="129"/>
      <c r="AX427" s="129"/>
      <c r="AY427" s="129"/>
      <c r="AZ427" s="129"/>
      <c r="BA427" s="129"/>
      <c r="BB427" s="129"/>
      <c r="BC427" s="129"/>
      <c r="BD427" s="129"/>
      <c r="BE427" s="129"/>
      <c r="BF427" s="144"/>
      <c r="BG427" s="129"/>
      <c r="BH427" s="129"/>
      <c r="BI427" s="129"/>
      <c r="BJ427" s="129"/>
      <c r="BK427" s="129"/>
      <c r="BL427" s="129"/>
      <c r="BM427" s="129"/>
      <c r="BN427" s="129"/>
      <c r="BO427" s="129"/>
      <c r="BP427" s="129"/>
      <c r="BQ427" s="129"/>
      <c r="BR427" s="129"/>
      <c r="BS427" s="129"/>
      <c r="BT427" s="129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</row>
    <row r="428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44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44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</row>
    <row r="429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44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44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</row>
    <row r="430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44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44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</row>
    <row r="43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44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44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</row>
    <row r="43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44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44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</row>
    <row r="433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44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44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</row>
    <row r="434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44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44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</row>
    <row r="435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44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44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</row>
    <row r="436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44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44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</row>
    <row r="437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44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44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</row>
    <row r="438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129"/>
      <c r="AN438" s="144"/>
      <c r="AO438" s="129"/>
      <c r="AP438" s="129"/>
      <c r="AQ438" s="129"/>
      <c r="AR438" s="129"/>
      <c r="AS438" s="129"/>
      <c r="AT438" s="129"/>
      <c r="AU438" s="129"/>
      <c r="AV438" s="129"/>
      <c r="AW438" s="129"/>
      <c r="AX438" s="129"/>
      <c r="AY438" s="129"/>
      <c r="AZ438" s="129"/>
      <c r="BA438" s="129"/>
      <c r="BB438" s="129"/>
      <c r="BC438" s="129"/>
      <c r="BD438" s="129"/>
      <c r="BE438" s="129"/>
      <c r="BF438" s="144"/>
      <c r="BG438" s="129"/>
      <c r="BH438" s="129"/>
      <c r="BI438" s="129"/>
      <c r="BJ438" s="129"/>
      <c r="BK438" s="129"/>
      <c r="BL438" s="129"/>
      <c r="BM438" s="129"/>
      <c r="BN438" s="129"/>
      <c r="BO438" s="129"/>
      <c r="BP438" s="129"/>
      <c r="BQ438" s="129"/>
      <c r="BR438" s="129"/>
      <c r="BS438" s="129"/>
      <c r="BT438" s="129"/>
      <c r="BU438" s="129"/>
      <c r="BV438" s="129"/>
      <c r="BW438" s="129"/>
      <c r="BX438" s="129"/>
      <c r="BY438" s="129"/>
      <c r="BZ438" s="129"/>
      <c r="CA438" s="129"/>
      <c r="CB438" s="129"/>
      <c r="CC438" s="129"/>
      <c r="CD438" s="129"/>
    </row>
    <row r="439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129"/>
      <c r="AN439" s="144"/>
      <c r="AO439" s="129"/>
      <c r="AP439" s="129"/>
      <c r="AQ439" s="129"/>
      <c r="AR439" s="129"/>
      <c r="AS439" s="129"/>
      <c r="AT439" s="129"/>
      <c r="AU439" s="129"/>
      <c r="AV439" s="129"/>
      <c r="AW439" s="129"/>
      <c r="AX439" s="129"/>
      <c r="AY439" s="129"/>
      <c r="AZ439" s="129"/>
      <c r="BA439" s="129"/>
      <c r="BB439" s="129"/>
      <c r="BC439" s="129"/>
      <c r="BD439" s="129"/>
      <c r="BE439" s="129"/>
      <c r="BF439" s="144"/>
      <c r="BG439" s="129"/>
      <c r="BH439" s="129"/>
      <c r="BI439" s="129"/>
      <c r="BJ439" s="129"/>
      <c r="BK439" s="129"/>
      <c r="BL439" s="129"/>
      <c r="BM439" s="129"/>
      <c r="BN439" s="129"/>
      <c r="BO439" s="129"/>
      <c r="BP439" s="129"/>
      <c r="BQ439" s="129"/>
      <c r="BR439" s="129"/>
      <c r="BS439" s="129"/>
      <c r="BT439" s="129"/>
      <c r="BU439" s="129"/>
      <c r="BV439" s="129"/>
      <c r="BW439" s="129"/>
      <c r="BX439" s="129"/>
      <c r="BY439" s="129"/>
      <c r="BZ439" s="129"/>
      <c r="CA439" s="129"/>
      <c r="CB439" s="129"/>
      <c r="CC439" s="129"/>
      <c r="CD439" s="129"/>
    </row>
    <row r="440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129"/>
      <c r="AN440" s="144"/>
      <c r="AO440" s="129"/>
      <c r="AP440" s="129"/>
      <c r="AQ440" s="129"/>
      <c r="AR440" s="129"/>
      <c r="AS440" s="129"/>
      <c r="AT440" s="129"/>
      <c r="AU440" s="129"/>
      <c r="AV440" s="129"/>
      <c r="AW440" s="129"/>
      <c r="AX440" s="129"/>
      <c r="AY440" s="129"/>
      <c r="AZ440" s="129"/>
      <c r="BA440" s="129"/>
      <c r="BB440" s="129"/>
      <c r="BC440" s="129"/>
      <c r="BD440" s="129"/>
      <c r="BE440" s="129"/>
      <c r="BF440" s="144"/>
      <c r="BG440" s="129"/>
      <c r="BH440" s="129"/>
      <c r="BI440" s="129"/>
      <c r="BJ440" s="129"/>
      <c r="BK440" s="129"/>
      <c r="BL440" s="129"/>
      <c r="BM440" s="129"/>
      <c r="BN440" s="129"/>
      <c r="BO440" s="129"/>
      <c r="BP440" s="129"/>
      <c r="BQ440" s="129"/>
      <c r="BR440" s="129"/>
      <c r="BS440" s="129"/>
      <c r="BT440" s="129"/>
      <c r="BU440" s="129"/>
      <c r="BV440" s="129"/>
      <c r="BW440" s="129"/>
      <c r="BX440" s="129"/>
      <c r="BY440" s="129"/>
      <c r="BZ440" s="129"/>
      <c r="CA440" s="129"/>
      <c r="CB440" s="129"/>
      <c r="CC440" s="129"/>
      <c r="CD440" s="129"/>
    </row>
    <row r="44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129"/>
      <c r="AN441" s="144"/>
      <c r="AO441" s="129"/>
      <c r="AP441" s="129"/>
      <c r="AQ441" s="129"/>
      <c r="AR441" s="129"/>
      <c r="AS441" s="129"/>
      <c r="AT441" s="129"/>
      <c r="AU441" s="129"/>
      <c r="AV441" s="129"/>
      <c r="AW441" s="129"/>
      <c r="AX441" s="129"/>
      <c r="AY441" s="129"/>
      <c r="AZ441" s="129"/>
      <c r="BA441" s="129"/>
      <c r="BB441" s="129"/>
      <c r="BC441" s="129"/>
      <c r="BD441" s="129"/>
      <c r="BE441" s="129"/>
      <c r="BF441" s="144"/>
      <c r="BG441" s="129"/>
      <c r="BH441" s="129"/>
      <c r="BI441" s="129"/>
      <c r="BJ441" s="129"/>
      <c r="BK441" s="129"/>
      <c r="BL441" s="129"/>
      <c r="BM441" s="129"/>
      <c r="BN441" s="129"/>
      <c r="BO441" s="129"/>
      <c r="BP441" s="129"/>
      <c r="BQ441" s="129"/>
      <c r="BR441" s="129"/>
      <c r="BS441" s="129"/>
      <c r="BT441" s="129"/>
      <c r="BU441" s="129"/>
      <c r="BV441" s="129"/>
      <c r="BW441" s="129"/>
      <c r="BX441" s="129"/>
      <c r="BY441" s="129"/>
      <c r="BZ441" s="129"/>
      <c r="CA441" s="129"/>
      <c r="CB441" s="129"/>
      <c r="CC441" s="129"/>
      <c r="CD441" s="129"/>
    </row>
    <row r="44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129"/>
      <c r="AN442" s="144"/>
      <c r="AO442" s="129"/>
      <c r="AP442" s="129"/>
      <c r="AQ442" s="129"/>
      <c r="AR442" s="129"/>
      <c r="AS442" s="129"/>
      <c r="AT442" s="129"/>
      <c r="AU442" s="129"/>
      <c r="AV442" s="129"/>
      <c r="AW442" s="129"/>
      <c r="AX442" s="129"/>
      <c r="AY442" s="129"/>
      <c r="AZ442" s="129"/>
      <c r="BA442" s="129"/>
      <c r="BB442" s="129"/>
      <c r="BC442" s="129"/>
      <c r="BD442" s="129"/>
      <c r="BE442" s="129"/>
      <c r="BF442" s="144"/>
      <c r="BG442" s="129"/>
      <c r="BH442" s="129"/>
      <c r="BI442" s="129"/>
      <c r="BJ442" s="129"/>
      <c r="BK442" s="129"/>
      <c r="BL442" s="129"/>
      <c r="BM442" s="129"/>
      <c r="BN442" s="129"/>
      <c r="BO442" s="129"/>
      <c r="BP442" s="129"/>
      <c r="BQ442" s="129"/>
      <c r="BR442" s="129"/>
      <c r="BS442" s="129"/>
      <c r="BT442" s="129"/>
      <c r="BU442" s="129"/>
      <c r="BV442" s="129"/>
      <c r="BW442" s="129"/>
      <c r="BX442" s="129"/>
      <c r="BY442" s="129"/>
      <c r="BZ442" s="129"/>
      <c r="CA442" s="129"/>
      <c r="CB442" s="129"/>
      <c r="CC442" s="129"/>
      <c r="CD442" s="129"/>
    </row>
    <row r="443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129"/>
      <c r="AN443" s="144"/>
      <c r="AO443" s="129"/>
      <c r="AP443" s="129"/>
      <c r="AQ443" s="129"/>
      <c r="AR443" s="129"/>
      <c r="AS443" s="129"/>
      <c r="AT443" s="129"/>
      <c r="AU443" s="129"/>
      <c r="AV443" s="129"/>
      <c r="AW443" s="129"/>
      <c r="AX443" s="129"/>
      <c r="AY443" s="129"/>
      <c r="AZ443" s="129"/>
      <c r="BA443" s="129"/>
      <c r="BB443" s="129"/>
      <c r="BC443" s="129"/>
      <c r="BD443" s="129"/>
      <c r="BE443" s="129"/>
      <c r="BF443" s="144"/>
      <c r="BG443" s="129"/>
      <c r="BH443" s="129"/>
      <c r="BI443" s="129"/>
      <c r="BJ443" s="129"/>
      <c r="BK443" s="129"/>
      <c r="BL443" s="129"/>
      <c r="BM443" s="129"/>
      <c r="BN443" s="129"/>
      <c r="BO443" s="129"/>
      <c r="BP443" s="129"/>
      <c r="BQ443" s="129"/>
      <c r="BR443" s="129"/>
      <c r="BS443" s="129"/>
      <c r="BT443" s="129"/>
      <c r="BU443" s="129"/>
      <c r="BV443" s="129"/>
      <c r="BW443" s="129"/>
      <c r="BX443" s="129"/>
      <c r="BY443" s="129"/>
      <c r="BZ443" s="129"/>
      <c r="CA443" s="129"/>
      <c r="CB443" s="129"/>
      <c r="CC443" s="129"/>
      <c r="CD443" s="129"/>
    </row>
    <row r="444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129"/>
      <c r="AN444" s="144"/>
      <c r="AO444" s="129"/>
      <c r="AP444" s="129"/>
      <c r="AQ444" s="129"/>
      <c r="AR444" s="129"/>
      <c r="AS444" s="129"/>
      <c r="AT444" s="129"/>
      <c r="AU444" s="129"/>
      <c r="AV444" s="129"/>
      <c r="AW444" s="129"/>
      <c r="AX444" s="129"/>
      <c r="AY444" s="129"/>
      <c r="AZ444" s="129"/>
      <c r="BA444" s="129"/>
      <c r="BB444" s="129"/>
      <c r="BC444" s="129"/>
      <c r="BD444" s="129"/>
      <c r="BE444" s="129"/>
      <c r="BF444" s="144"/>
      <c r="BG444" s="129"/>
      <c r="BH444" s="129"/>
      <c r="BI444" s="129"/>
      <c r="BJ444" s="129"/>
      <c r="BK444" s="129"/>
      <c r="BL444" s="129"/>
      <c r="BM444" s="129"/>
      <c r="BN444" s="129"/>
      <c r="BO444" s="129"/>
      <c r="BP444" s="129"/>
      <c r="BQ444" s="129"/>
      <c r="BR444" s="129"/>
      <c r="BS444" s="129"/>
      <c r="BT444" s="129"/>
      <c r="BU444" s="129"/>
      <c r="BV444" s="129"/>
      <c r="BW444" s="129"/>
      <c r="BX444" s="129"/>
      <c r="BY444" s="129"/>
      <c r="BZ444" s="129"/>
      <c r="CA444" s="129"/>
      <c r="CB444" s="129"/>
      <c r="CC444" s="129"/>
      <c r="CD444" s="129"/>
    </row>
    <row r="445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129"/>
      <c r="AN445" s="144"/>
      <c r="AO445" s="129"/>
      <c r="AP445" s="129"/>
      <c r="AQ445" s="129"/>
      <c r="AR445" s="129"/>
      <c r="AS445" s="129"/>
      <c r="AT445" s="129"/>
      <c r="AU445" s="129"/>
      <c r="AV445" s="129"/>
      <c r="AW445" s="129"/>
      <c r="AX445" s="129"/>
      <c r="AY445" s="129"/>
      <c r="AZ445" s="129"/>
      <c r="BA445" s="129"/>
      <c r="BB445" s="129"/>
      <c r="BC445" s="129"/>
      <c r="BD445" s="129"/>
      <c r="BE445" s="129"/>
      <c r="BF445" s="144"/>
      <c r="BG445" s="129"/>
      <c r="BH445" s="129"/>
      <c r="BI445" s="129"/>
      <c r="BJ445" s="129"/>
      <c r="BK445" s="129"/>
      <c r="BL445" s="129"/>
      <c r="BM445" s="129"/>
      <c r="BN445" s="129"/>
      <c r="BO445" s="129"/>
      <c r="BP445" s="129"/>
      <c r="BQ445" s="129"/>
      <c r="BR445" s="129"/>
      <c r="BS445" s="129"/>
      <c r="BT445" s="129"/>
      <c r="BU445" s="129"/>
      <c r="BV445" s="129"/>
      <c r="BW445" s="129"/>
      <c r="BX445" s="129"/>
      <c r="BY445" s="129"/>
      <c r="BZ445" s="129"/>
      <c r="CA445" s="129"/>
      <c r="CB445" s="129"/>
      <c r="CC445" s="129"/>
      <c r="CD445" s="129"/>
    </row>
    <row r="446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129"/>
      <c r="AN446" s="144"/>
      <c r="AO446" s="129"/>
      <c r="AP446" s="129"/>
      <c r="AQ446" s="129"/>
      <c r="AR446" s="129"/>
      <c r="AS446" s="129"/>
      <c r="AT446" s="129"/>
      <c r="AU446" s="129"/>
      <c r="AV446" s="129"/>
      <c r="AW446" s="129"/>
      <c r="AX446" s="129"/>
      <c r="AY446" s="129"/>
      <c r="AZ446" s="129"/>
      <c r="BA446" s="129"/>
      <c r="BB446" s="129"/>
      <c r="BC446" s="129"/>
      <c r="BD446" s="129"/>
      <c r="BE446" s="129"/>
      <c r="BF446" s="144"/>
      <c r="BG446" s="129"/>
      <c r="BH446" s="129"/>
      <c r="BI446" s="129"/>
      <c r="BJ446" s="129"/>
      <c r="BK446" s="129"/>
      <c r="BL446" s="129"/>
      <c r="BM446" s="129"/>
      <c r="BN446" s="129"/>
      <c r="BO446" s="129"/>
      <c r="BP446" s="129"/>
      <c r="BQ446" s="129"/>
      <c r="BR446" s="129"/>
      <c r="BS446" s="129"/>
      <c r="BT446" s="129"/>
      <c r="BU446" s="129"/>
      <c r="BV446" s="129"/>
      <c r="BW446" s="129"/>
      <c r="BX446" s="129"/>
      <c r="BY446" s="129"/>
      <c r="BZ446" s="129"/>
      <c r="CA446" s="129"/>
      <c r="CB446" s="129"/>
      <c r="CC446" s="129"/>
      <c r="CD446" s="129"/>
    </row>
    <row r="447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29"/>
      <c r="AM447" s="129"/>
      <c r="AN447" s="144"/>
      <c r="AO447" s="129"/>
      <c r="AP447" s="129"/>
      <c r="AQ447" s="129"/>
      <c r="AR447" s="129"/>
      <c r="AS447" s="129"/>
      <c r="AT447" s="129"/>
      <c r="AU447" s="129"/>
      <c r="AV447" s="129"/>
      <c r="AW447" s="129"/>
      <c r="AX447" s="129"/>
      <c r="AY447" s="129"/>
      <c r="AZ447" s="129"/>
      <c r="BA447" s="129"/>
      <c r="BB447" s="129"/>
      <c r="BC447" s="129"/>
      <c r="BD447" s="129"/>
      <c r="BE447" s="129"/>
      <c r="BF447" s="144"/>
      <c r="BG447" s="129"/>
      <c r="BH447" s="129"/>
      <c r="BI447" s="129"/>
      <c r="BJ447" s="129"/>
      <c r="BK447" s="129"/>
      <c r="BL447" s="129"/>
      <c r="BM447" s="129"/>
      <c r="BN447" s="129"/>
      <c r="BO447" s="129"/>
      <c r="BP447" s="129"/>
      <c r="BQ447" s="129"/>
      <c r="BR447" s="129"/>
      <c r="BS447" s="129"/>
      <c r="BT447" s="129"/>
      <c r="BU447" s="129"/>
      <c r="BV447" s="129"/>
      <c r="BW447" s="129"/>
      <c r="BX447" s="129"/>
      <c r="BY447" s="129"/>
      <c r="BZ447" s="129"/>
      <c r="CA447" s="129"/>
      <c r="CB447" s="129"/>
      <c r="CC447" s="129"/>
      <c r="CD447" s="129"/>
    </row>
    <row r="448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129"/>
      <c r="AN448" s="144"/>
      <c r="AO448" s="129"/>
      <c r="AP448" s="129"/>
      <c r="AQ448" s="129"/>
      <c r="AR448" s="129"/>
      <c r="AS448" s="129"/>
      <c r="AT448" s="129"/>
      <c r="AU448" s="129"/>
      <c r="AV448" s="129"/>
      <c r="AW448" s="129"/>
      <c r="AX448" s="129"/>
      <c r="AY448" s="129"/>
      <c r="AZ448" s="129"/>
      <c r="BA448" s="129"/>
      <c r="BB448" s="129"/>
      <c r="BC448" s="129"/>
      <c r="BD448" s="129"/>
      <c r="BE448" s="129"/>
      <c r="BF448" s="144"/>
      <c r="BG448" s="129"/>
      <c r="BH448" s="129"/>
      <c r="BI448" s="129"/>
      <c r="BJ448" s="129"/>
      <c r="BK448" s="129"/>
      <c r="BL448" s="129"/>
      <c r="BM448" s="129"/>
      <c r="BN448" s="129"/>
      <c r="BO448" s="129"/>
      <c r="BP448" s="129"/>
      <c r="BQ448" s="129"/>
      <c r="BR448" s="129"/>
      <c r="BS448" s="129"/>
      <c r="BT448" s="129"/>
      <c r="BU448" s="129"/>
      <c r="BV448" s="129"/>
      <c r="BW448" s="129"/>
      <c r="BX448" s="129"/>
      <c r="BY448" s="129"/>
      <c r="BZ448" s="129"/>
      <c r="CA448" s="129"/>
      <c r="CB448" s="129"/>
      <c r="CC448" s="129"/>
      <c r="CD448" s="129"/>
    </row>
    <row r="449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129"/>
      <c r="AN449" s="144"/>
      <c r="AO449" s="129"/>
      <c r="AP449" s="129"/>
      <c r="AQ449" s="129"/>
      <c r="AR449" s="129"/>
      <c r="AS449" s="129"/>
      <c r="AT449" s="129"/>
      <c r="AU449" s="129"/>
      <c r="AV449" s="129"/>
      <c r="AW449" s="129"/>
      <c r="AX449" s="129"/>
      <c r="AY449" s="129"/>
      <c r="AZ449" s="129"/>
      <c r="BA449" s="129"/>
      <c r="BB449" s="129"/>
      <c r="BC449" s="129"/>
      <c r="BD449" s="129"/>
      <c r="BE449" s="129"/>
      <c r="BF449" s="144"/>
      <c r="BG449" s="129"/>
      <c r="BH449" s="129"/>
      <c r="BI449" s="129"/>
      <c r="BJ449" s="129"/>
      <c r="BK449" s="129"/>
      <c r="BL449" s="129"/>
      <c r="BM449" s="129"/>
      <c r="BN449" s="129"/>
      <c r="BO449" s="129"/>
      <c r="BP449" s="129"/>
      <c r="BQ449" s="129"/>
      <c r="BR449" s="129"/>
      <c r="BS449" s="129"/>
      <c r="BT449" s="129"/>
      <c r="BU449" s="129"/>
      <c r="BV449" s="129"/>
      <c r="BW449" s="129"/>
      <c r="BX449" s="129"/>
      <c r="BY449" s="129"/>
      <c r="BZ449" s="129"/>
      <c r="CA449" s="129"/>
      <c r="CB449" s="129"/>
      <c r="CC449" s="129"/>
      <c r="CD449" s="129"/>
    </row>
    <row r="450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44"/>
      <c r="AO450" s="129"/>
      <c r="AP450" s="129"/>
      <c r="AQ450" s="129"/>
      <c r="AR450" s="129"/>
      <c r="AS450" s="129"/>
      <c r="AT450" s="129"/>
      <c r="AU450" s="129"/>
      <c r="AV450" s="129"/>
      <c r="AW450" s="129"/>
      <c r="AX450" s="129"/>
      <c r="AY450" s="129"/>
      <c r="AZ450" s="129"/>
      <c r="BA450" s="129"/>
      <c r="BB450" s="129"/>
      <c r="BC450" s="129"/>
      <c r="BD450" s="129"/>
      <c r="BE450" s="129"/>
      <c r="BF450" s="144"/>
      <c r="BG450" s="129"/>
      <c r="BH450" s="129"/>
      <c r="BI450" s="129"/>
      <c r="BJ450" s="129"/>
      <c r="BK450" s="129"/>
      <c r="BL450" s="129"/>
      <c r="BM450" s="129"/>
      <c r="BN450" s="129"/>
      <c r="BO450" s="129"/>
      <c r="BP450" s="129"/>
      <c r="BQ450" s="129"/>
      <c r="BR450" s="129"/>
      <c r="BS450" s="129"/>
      <c r="BT450" s="129"/>
      <c r="BU450" s="129"/>
      <c r="BV450" s="129"/>
      <c r="BW450" s="129"/>
      <c r="BX450" s="129"/>
      <c r="BY450" s="129"/>
      <c r="BZ450" s="129"/>
      <c r="CA450" s="129"/>
      <c r="CB450" s="129"/>
      <c r="CC450" s="129"/>
      <c r="CD450" s="129"/>
    </row>
    <row r="45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44"/>
      <c r="AO451" s="129"/>
      <c r="AP451" s="129"/>
      <c r="AQ451" s="129"/>
      <c r="AR451" s="129"/>
      <c r="AS451" s="129"/>
      <c r="AT451" s="129"/>
      <c r="AU451" s="129"/>
      <c r="AV451" s="129"/>
      <c r="AW451" s="129"/>
      <c r="AX451" s="129"/>
      <c r="AY451" s="129"/>
      <c r="AZ451" s="129"/>
      <c r="BA451" s="129"/>
      <c r="BB451" s="129"/>
      <c r="BC451" s="129"/>
      <c r="BD451" s="129"/>
      <c r="BE451" s="129"/>
      <c r="BF451" s="144"/>
      <c r="BG451" s="129"/>
      <c r="BH451" s="129"/>
      <c r="BI451" s="129"/>
      <c r="BJ451" s="129"/>
      <c r="BK451" s="129"/>
      <c r="BL451" s="129"/>
      <c r="BM451" s="129"/>
      <c r="BN451" s="129"/>
      <c r="BO451" s="129"/>
      <c r="BP451" s="129"/>
      <c r="BQ451" s="129"/>
      <c r="BR451" s="129"/>
      <c r="BS451" s="129"/>
      <c r="BT451" s="129"/>
      <c r="BU451" s="129"/>
      <c r="BV451" s="129"/>
      <c r="BW451" s="129"/>
      <c r="BX451" s="129"/>
      <c r="BY451" s="129"/>
      <c r="BZ451" s="129"/>
      <c r="CA451" s="129"/>
      <c r="CB451" s="129"/>
      <c r="CC451" s="129"/>
      <c r="CD451" s="129"/>
    </row>
    <row r="45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44"/>
      <c r="AO452" s="129"/>
      <c r="AP452" s="129"/>
      <c r="AQ452" s="129"/>
      <c r="AR452" s="129"/>
      <c r="AS452" s="129"/>
      <c r="AT452" s="129"/>
      <c r="AU452" s="129"/>
      <c r="AV452" s="129"/>
      <c r="AW452" s="129"/>
      <c r="AX452" s="129"/>
      <c r="AY452" s="129"/>
      <c r="AZ452" s="129"/>
      <c r="BA452" s="129"/>
      <c r="BB452" s="129"/>
      <c r="BC452" s="129"/>
      <c r="BD452" s="129"/>
      <c r="BE452" s="129"/>
      <c r="BF452" s="144"/>
      <c r="BG452" s="129"/>
      <c r="BH452" s="129"/>
      <c r="BI452" s="129"/>
      <c r="BJ452" s="129"/>
      <c r="BK452" s="129"/>
      <c r="BL452" s="129"/>
      <c r="BM452" s="129"/>
      <c r="BN452" s="129"/>
      <c r="BO452" s="129"/>
      <c r="BP452" s="129"/>
      <c r="BQ452" s="129"/>
      <c r="BR452" s="129"/>
      <c r="BS452" s="129"/>
      <c r="BT452" s="129"/>
      <c r="BU452" s="129"/>
      <c r="BV452" s="129"/>
      <c r="BW452" s="129"/>
      <c r="BX452" s="129"/>
      <c r="BY452" s="129"/>
      <c r="BZ452" s="129"/>
      <c r="CA452" s="129"/>
      <c r="CB452" s="129"/>
      <c r="CC452" s="129"/>
      <c r="CD452" s="129"/>
    </row>
    <row r="453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44"/>
      <c r="AO453" s="129"/>
      <c r="AP453" s="129"/>
      <c r="AQ453" s="129"/>
      <c r="AR453" s="129"/>
      <c r="AS453" s="129"/>
      <c r="AT453" s="129"/>
      <c r="AU453" s="129"/>
      <c r="AV453" s="129"/>
      <c r="AW453" s="129"/>
      <c r="AX453" s="129"/>
      <c r="AY453" s="129"/>
      <c r="AZ453" s="129"/>
      <c r="BA453" s="129"/>
      <c r="BB453" s="129"/>
      <c r="BC453" s="129"/>
      <c r="BD453" s="129"/>
      <c r="BE453" s="129"/>
      <c r="BF453" s="144"/>
      <c r="BG453" s="129"/>
      <c r="BH453" s="129"/>
      <c r="BI453" s="129"/>
      <c r="BJ453" s="129"/>
      <c r="BK453" s="129"/>
      <c r="BL453" s="129"/>
      <c r="BM453" s="129"/>
      <c r="BN453" s="129"/>
      <c r="BO453" s="129"/>
      <c r="BP453" s="129"/>
      <c r="BQ453" s="129"/>
      <c r="BR453" s="129"/>
      <c r="BS453" s="129"/>
      <c r="BT453" s="129"/>
      <c r="BU453" s="129"/>
      <c r="BV453" s="129"/>
      <c r="BW453" s="129"/>
      <c r="BX453" s="129"/>
      <c r="BY453" s="129"/>
      <c r="BZ453" s="129"/>
      <c r="CA453" s="129"/>
      <c r="CB453" s="129"/>
      <c r="CC453" s="129"/>
      <c r="CD453" s="129"/>
    </row>
    <row r="454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  <c r="AN454" s="144"/>
      <c r="AO454" s="129"/>
      <c r="AP454" s="129"/>
      <c r="AQ454" s="129"/>
      <c r="AR454" s="129"/>
      <c r="AS454" s="129"/>
      <c r="AT454" s="129"/>
      <c r="AU454" s="129"/>
      <c r="AV454" s="129"/>
      <c r="AW454" s="129"/>
      <c r="AX454" s="129"/>
      <c r="AY454" s="129"/>
      <c r="AZ454" s="129"/>
      <c r="BA454" s="129"/>
      <c r="BB454" s="129"/>
      <c r="BC454" s="129"/>
      <c r="BD454" s="129"/>
      <c r="BE454" s="129"/>
      <c r="BF454" s="144"/>
      <c r="BG454" s="129"/>
      <c r="BH454" s="129"/>
      <c r="BI454" s="129"/>
      <c r="BJ454" s="129"/>
      <c r="BK454" s="129"/>
      <c r="BL454" s="129"/>
      <c r="BM454" s="129"/>
      <c r="BN454" s="129"/>
      <c r="BO454" s="129"/>
      <c r="BP454" s="129"/>
      <c r="BQ454" s="129"/>
      <c r="BR454" s="129"/>
      <c r="BS454" s="129"/>
      <c r="BT454" s="129"/>
      <c r="BU454" s="129"/>
      <c r="BV454" s="129"/>
      <c r="BW454" s="129"/>
      <c r="BX454" s="129"/>
      <c r="BY454" s="129"/>
      <c r="BZ454" s="129"/>
      <c r="CA454" s="129"/>
      <c r="CB454" s="129"/>
      <c r="CC454" s="129"/>
      <c r="CD454" s="129"/>
    </row>
    <row r="455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129"/>
      <c r="AN455" s="144"/>
      <c r="AO455" s="129"/>
      <c r="AP455" s="129"/>
      <c r="AQ455" s="129"/>
      <c r="AR455" s="129"/>
      <c r="AS455" s="129"/>
      <c r="AT455" s="129"/>
      <c r="AU455" s="129"/>
      <c r="AV455" s="129"/>
      <c r="AW455" s="129"/>
      <c r="AX455" s="129"/>
      <c r="AY455" s="129"/>
      <c r="AZ455" s="129"/>
      <c r="BA455" s="129"/>
      <c r="BB455" s="129"/>
      <c r="BC455" s="129"/>
      <c r="BD455" s="129"/>
      <c r="BE455" s="129"/>
      <c r="BF455" s="144"/>
      <c r="BG455" s="129"/>
      <c r="BH455" s="129"/>
      <c r="BI455" s="129"/>
      <c r="BJ455" s="129"/>
      <c r="BK455" s="129"/>
      <c r="BL455" s="129"/>
      <c r="BM455" s="129"/>
      <c r="BN455" s="129"/>
      <c r="BO455" s="129"/>
      <c r="BP455" s="129"/>
      <c r="BQ455" s="129"/>
      <c r="BR455" s="129"/>
      <c r="BS455" s="129"/>
      <c r="BT455" s="129"/>
      <c r="BU455" s="129"/>
      <c r="BV455" s="129"/>
      <c r="BW455" s="129"/>
      <c r="BX455" s="129"/>
      <c r="BY455" s="129"/>
      <c r="BZ455" s="129"/>
      <c r="CA455" s="129"/>
      <c r="CB455" s="129"/>
      <c r="CC455" s="129"/>
      <c r="CD455" s="129"/>
    </row>
    <row r="456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29"/>
      <c r="AM456" s="129"/>
      <c r="AN456" s="144"/>
      <c r="AO456" s="129"/>
      <c r="AP456" s="129"/>
      <c r="AQ456" s="129"/>
      <c r="AR456" s="129"/>
      <c r="AS456" s="129"/>
      <c r="AT456" s="129"/>
      <c r="AU456" s="129"/>
      <c r="AV456" s="129"/>
      <c r="AW456" s="129"/>
      <c r="AX456" s="129"/>
      <c r="AY456" s="129"/>
      <c r="AZ456" s="129"/>
      <c r="BA456" s="129"/>
      <c r="BB456" s="129"/>
      <c r="BC456" s="129"/>
      <c r="BD456" s="129"/>
      <c r="BE456" s="129"/>
      <c r="BF456" s="144"/>
      <c r="BG456" s="129"/>
      <c r="BH456" s="129"/>
      <c r="BI456" s="129"/>
      <c r="BJ456" s="129"/>
      <c r="BK456" s="129"/>
      <c r="BL456" s="129"/>
      <c r="BM456" s="129"/>
      <c r="BN456" s="129"/>
      <c r="BO456" s="129"/>
      <c r="BP456" s="129"/>
      <c r="BQ456" s="129"/>
      <c r="BR456" s="129"/>
      <c r="BS456" s="129"/>
      <c r="BT456" s="129"/>
      <c r="BU456" s="129"/>
      <c r="BV456" s="129"/>
      <c r="BW456" s="129"/>
      <c r="BX456" s="129"/>
      <c r="BY456" s="129"/>
      <c r="BZ456" s="129"/>
      <c r="CA456" s="129"/>
      <c r="CB456" s="129"/>
      <c r="CC456" s="129"/>
      <c r="CD456" s="129"/>
    </row>
    <row r="457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29"/>
      <c r="AM457" s="129"/>
      <c r="AN457" s="144"/>
      <c r="AO457" s="129"/>
      <c r="AP457" s="129"/>
      <c r="AQ457" s="129"/>
      <c r="AR457" s="129"/>
      <c r="AS457" s="129"/>
      <c r="AT457" s="129"/>
      <c r="AU457" s="129"/>
      <c r="AV457" s="129"/>
      <c r="AW457" s="129"/>
      <c r="AX457" s="129"/>
      <c r="AY457" s="129"/>
      <c r="AZ457" s="129"/>
      <c r="BA457" s="129"/>
      <c r="BB457" s="129"/>
      <c r="BC457" s="129"/>
      <c r="BD457" s="129"/>
      <c r="BE457" s="129"/>
      <c r="BF457" s="144"/>
      <c r="BG457" s="129"/>
      <c r="BH457" s="129"/>
      <c r="BI457" s="129"/>
      <c r="BJ457" s="129"/>
      <c r="BK457" s="129"/>
      <c r="BL457" s="129"/>
      <c r="BM457" s="129"/>
      <c r="BN457" s="129"/>
      <c r="BO457" s="129"/>
      <c r="BP457" s="129"/>
      <c r="BQ457" s="129"/>
      <c r="BR457" s="129"/>
      <c r="BS457" s="129"/>
      <c r="BT457" s="129"/>
      <c r="BU457" s="129"/>
      <c r="BV457" s="129"/>
      <c r="BW457" s="129"/>
      <c r="BX457" s="129"/>
      <c r="BY457" s="129"/>
      <c r="BZ457" s="129"/>
      <c r="CA457" s="129"/>
      <c r="CB457" s="129"/>
      <c r="CC457" s="129"/>
      <c r="CD457" s="129"/>
    </row>
    <row r="458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29"/>
      <c r="AM458" s="129"/>
      <c r="AN458" s="144"/>
      <c r="AO458" s="129"/>
      <c r="AP458" s="129"/>
      <c r="AQ458" s="129"/>
      <c r="AR458" s="129"/>
      <c r="AS458" s="129"/>
      <c r="AT458" s="129"/>
      <c r="AU458" s="129"/>
      <c r="AV458" s="129"/>
      <c r="AW458" s="129"/>
      <c r="AX458" s="129"/>
      <c r="AY458" s="129"/>
      <c r="AZ458" s="129"/>
      <c r="BA458" s="129"/>
      <c r="BB458" s="129"/>
      <c r="BC458" s="129"/>
      <c r="BD458" s="129"/>
      <c r="BE458" s="129"/>
      <c r="BF458" s="144"/>
      <c r="BG458" s="129"/>
      <c r="BH458" s="129"/>
      <c r="BI458" s="129"/>
      <c r="BJ458" s="129"/>
      <c r="BK458" s="129"/>
      <c r="BL458" s="129"/>
      <c r="BM458" s="129"/>
      <c r="BN458" s="129"/>
      <c r="BO458" s="129"/>
      <c r="BP458" s="129"/>
      <c r="BQ458" s="129"/>
      <c r="BR458" s="129"/>
      <c r="BS458" s="129"/>
      <c r="BT458" s="129"/>
      <c r="BU458" s="129"/>
      <c r="BV458" s="129"/>
      <c r="BW458" s="129"/>
      <c r="BX458" s="129"/>
      <c r="BY458" s="129"/>
      <c r="BZ458" s="129"/>
      <c r="CA458" s="129"/>
      <c r="CB458" s="129"/>
      <c r="CC458" s="129"/>
      <c r="CD458" s="129"/>
    </row>
    <row r="459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29"/>
      <c r="AM459" s="129"/>
      <c r="AN459" s="144"/>
      <c r="AO459" s="129"/>
      <c r="AP459" s="129"/>
      <c r="AQ459" s="129"/>
      <c r="AR459" s="129"/>
      <c r="AS459" s="129"/>
      <c r="AT459" s="129"/>
      <c r="AU459" s="129"/>
      <c r="AV459" s="129"/>
      <c r="AW459" s="129"/>
      <c r="AX459" s="129"/>
      <c r="AY459" s="129"/>
      <c r="AZ459" s="129"/>
      <c r="BA459" s="129"/>
      <c r="BB459" s="129"/>
      <c r="BC459" s="129"/>
      <c r="BD459" s="129"/>
      <c r="BE459" s="129"/>
      <c r="BF459" s="144"/>
      <c r="BG459" s="129"/>
      <c r="BH459" s="129"/>
      <c r="BI459" s="129"/>
      <c r="BJ459" s="129"/>
      <c r="BK459" s="129"/>
      <c r="BL459" s="129"/>
      <c r="BM459" s="129"/>
      <c r="BN459" s="129"/>
      <c r="BO459" s="129"/>
      <c r="BP459" s="129"/>
      <c r="BQ459" s="129"/>
      <c r="BR459" s="129"/>
      <c r="BS459" s="129"/>
      <c r="BT459" s="129"/>
      <c r="BU459" s="129"/>
      <c r="BV459" s="129"/>
      <c r="BW459" s="129"/>
      <c r="BX459" s="129"/>
      <c r="BY459" s="129"/>
      <c r="BZ459" s="129"/>
      <c r="CA459" s="129"/>
      <c r="CB459" s="129"/>
      <c r="CC459" s="129"/>
      <c r="CD459" s="129"/>
    </row>
    <row r="460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29"/>
      <c r="AM460" s="129"/>
      <c r="AN460" s="144"/>
      <c r="AO460" s="129"/>
      <c r="AP460" s="129"/>
      <c r="AQ460" s="129"/>
      <c r="AR460" s="129"/>
      <c r="AS460" s="129"/>
      <c r="AT460" s="129"/>
      <c r="AU460" s="129"/>
      <c r="AV460" s="129"/>
      <c r="AW460" s="129"/>
      <c r="AX460" s="129"/>
      <c r="AY460" s="129"/>
      <c r="AZ460" s="129"/>
      <c r="BA460" s="129"/>
      <c r="BB460" s="129"/>
      <c r="BC460" s="129"/>
      <c r="BD460" s="129"/>
      <c r="BE460" s="129"/>
      <c r="BF460" s="144"/>
      <c r="BG460" s="129"/>
      <c r="BH460" s="129"/>
      <c r="BI460" s="129"/>
      <c r="BJ460" s="129"/>
      <c r="BK460" s="129"/>
      <c r="BL460" s="129"/>
      <c r="BM460" s="129"/>
      <c r="BN460" s="129"/>
      <c r="BO460" s="129"/>
      <c r="BP460" s="129"/>
      <c r="BQ460" s="129"/>
      <c r="BR460" s="129"/>
      <c r="BS460" s="129"/>
      <c r="BT460" s="129"/>
      <c r="BU460" s="129"/>
      <c r="BV460" s="129"/>
      <c r="BW460" s="129"/>
      <c r="BX460" s="129"/>
      <c r="BY460" s="129"/>
      <c r="BZ460" s="129"/>
      <c r="CA460" s="129"/>
      <c r="CB460" s="129"/>
      <c r="CC460" s="129"/>
      <c r="CD460" s="129"/>
    </row>
    <row r="46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29"/>
      <c r="AM461" s="129"/>
      <c r="AN461" s="144"/>
      <c r="AO461" s="129"/>
      <c r="AP461" s="129"/>
      <c r="AQ461" s="129"/>
      <c r="AR461" s="129"/>
      <c r="AS461" s="129"/>
      <c r="AT461" s="129"/>
      <c r="AU461" s="129"/>
      <c r="AV461" s="129"/>
      <c r="AW461" s="129"/>
      <c r="AX461" s="129"/>
      <c r="AY461" s="129"/>
      <c r="AZ461" s="129"/>
      <c r="BA461" s="129"/>
      <c r="BB461" s="129"/>
      <c r="BC461" s="129"/>
      <c r="BD461" s="129"/>
      <c r="BE461" s="129"/>
      <c r="BF461" s="144"/>
      <c r="BG461" s="129"/>
      <c r="BH461" s="129"/>
      <c r="BI461" s="129"/>
      <c r="BJ461" s="129"/>
      <c r="BK461" s="129"/>
      <c r="BL461" s="129"/>
      <c r="BM461" s="129"/>
      <c r="BN461" s="129"/>
      <c r="BO461" s="129"/>
      <c r="BP461" s="129"/>
      <c r="BQ461" s="129"/>
      <c r="BR461" s="129"/>
      <c r="BS461" s="129"/>
      <c r="BT461" s="129"/>
      <c r="BU461" s="129"/>
      <c r="BV461" s="129"/>
      <c r="BW461" s="129"/>
      <c r="BX461" s="129"/>
      <c r="BY461" s="129"/>
      <c r="BZ461" s="129"/>
      <c r="CA461" s="129"/>
      <c r="CB461" s="129"/>
      <c r="CC461" s="129"/>
      <c r="CD461" s="129"/>
    </row>
    <row r="46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44"/>
      <c r="AO462" s="129"/>
      <c r="AP462" s="129"/>
      <c r="AQ462" s="129"/>
      <c r="AR462" s="129"/>
      <c r="AS462" s="129"/>
      <c r="AT462" s="129"/>
      <c r="AU462" s="129"/>
      <c r="AV462" s="129"/>
      <c r="AW462" s="129"/>
      <c r="AX462" s="129"/>
      <c r="AY462" s="129"/>
      <c r="AZ462" s="129"/>
      <c r="BA462" s="129"/>
      <c r="BB462" s="129"/>
      <c r="BC462" s="129"/>
      <c r="BD462" s="129"/>
      <c r="BE462" s="129"/>
      <c r="BF462" s="144"/>
      <c r="BG462" s="129"/>
      <c r="BH462" s="129"/>
      <c r="BI462" s="129"/>
      <c r="BJ462" s="129"/>
      <c r="BK462" s="129"/>
      <c r="BL462" s="129"/>
      <c r="BM462" s="129"/>
      <c r="BN462" s="129"/>
      <c r="BO462" s="129"/>
      <c r="BP462" s="129"/>
      <c r="BQ462" s="129"/>
      <c r="BR462" s="129"/>
      <c r="BS462" s="129"/>
      <c r="BT462" s="129"/>
      <c r="BU462" s="129"/>
      <c r="BV462" s="129"/>
      <c r="BW462" s="129"/>
      <c r="BX462" s="129"/>
      <c r="BY462" s="129"/>
      <c r="BZ462" s="129"/>
      <c r="CA462" s="129"/>
      <c r="CB462" s="129"/>
      <c r="CC462" s="129"/>
      <c r="CD462" s="129"/>
    </row>
    <row r="463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44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44"/>
      <c r="BG463" s="129"/>
      <c r="BH463" s="129"/>
      <c r="BI463" s="129"/>
      <c r="BJ463" s="129"/>
      <c r="BK463" s="129"/>
      <c r="BL463" s="129"/>
      <c r="BM463" s="129"/>
      <c r="BN463" s="129"/>
      <c r="BO463" s="129"/>
      <c r="BP463" s="129"/>
      <c r="BQ463" s="129"/>
      <c r="BR463" s="129"/>
      <c r="BS463" s="129"/>
      <c r="BT463" s="129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</row>
    <row r="464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29"/>
      <c r="AM464" s="129"/>
      <c r="AN464" s="144"/>
      <c r="AO464" s="129"/>
      <c r="AP464" s="129"/>
      <c r="AQ464" s="129"/>
      <c r="AR464" s="129"/>
      <c r="AS464" s="129"/>
      <c r="AT464" s="129"/>
      <c r="AU464" s="129"/>
      <c r="AV464" s="129"/>
      <c r="AW464" s="129"/>
      <c r="AX464" s="129"/>
      <c r="AY464" s="129"/>
      <c r="AZ464" s="129"/>
      <c r="BA464" s="129"/>
      <c r="BB464" s="129"/>
      <c r="BC464" s="129"/>
      <c r="BD464" s="129"/>
      <c r="BE464" s="129"/>
      <c r="BF464" s="144"/>
      <c r="BG464" s="129"/>
      <c r="BH464" s="129"/>
      <c r="BI464" s="129"/>
      <c r="BJ464" s="129"/>
      <c r="BK464" s="129"/>
      <c r="BL464" s="129"/>
      <c r="BM464" s="129"/>
      <c r="BN464" s="129"/>
      <c r="BO464" s="129"/>
      <c r="BP464" s="129"/>
      <c r="BQ464" s="129"/>
      <c r="BR464" s="129"/>
      <c r="BS464" s="129"/>
      <c r="BT464" s="129"/>
      <c r="BU464" s="129"/>
      <c r="BV464" s="129"/>
      <c r="BW464" s="129"/>
      <c r="BX464" s="129"/>
      <c r="BY464" s="129"/>
      <c r="BZ464" s="129"/>
      <c r="CA464" s="129"/>
      <c r="CB464" s="129"/>
      <c r="CC464" s="129"/>
      <c r="CD464" s="129"/>
    </row>
    <row r="465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29"/>
      <c r="AM465" s="129"/>
      <c r="AN465" s="144"/>
      <c r="AO465" s="129"/>
      <c r="AP465" s="129"/>
      <c r="AQ465" s="129"/>
      <c r="AR465" s="129"/>
      <c r="AS465" s="129"/>
      <c r="AT465" s="129"/>
      <c r="AU465" s="129"/>
      <c r="AV465" s="129"/>
      <c r="AW465" s="129"/>
      <c r="AX465" s="129"/>
      <c r="AY465" s="129"/>
      <c r="AZ465" s="129"/>
      <c r="BA465" s="129"/>
      <c r="BB465" s="129"/>
      <c r="BC465" s="129"/>
      <c r="BD465" s="129"/>
      <c r="BE465" s="129"/>
      <c r="BF465" s="144"/>
      <c r="BG465" s="129"/>
      <c r="BH465" s="129"/>
      <c r="BI465" s="129"/>
      <c r="BJ465" s="129"/>
      <c r="BK465" s="129"/>
      <c r="BL465" s="129"/>
      <c r="BM465" s="129"/>
      <c r="BN465" s="129"/>
      <c r="BO465" s="129"/>
      <c r="BP465" s="129"/>
      <c r="BQ465" s="129"/>
      <c r="BR465" s="129"/>
      <c r="BS465" s="129"/>
      <c r="BT465" s="129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</row>
    <row r="466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44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44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</row>
    <row r="467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44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44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</row>
    <row r="468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44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44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</row>
    <row r="469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44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44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</row>
    <row r="470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44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44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</row>
    <row r="47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44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44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</row>
    <row r="47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44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44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</row>
    <row r="473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44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44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</row>
    <row r="474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44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44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</row>
    <row r="475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44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44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</row>
    <row r="476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29"/>
      <c r="AM476" s="129"/>
      <c r="AN476" s="144"/>
      <c r="AO476" s="129"/>
      <c r="AP476" s="129"/>
      <c r="AQ476" s="129"/>
      <c r="AR476" s="129"/>
      <c r="AS476" s="129"/>
      <c r="AT476" s="129"/>
      <c r="AU476" s="129"/>
      <c r="AV476" s="129"/>
      <c r="AW476" s="129"/>
      <c r="AX476" s="129"/>
      <c r="AY476" s="129"/>
      <c r="AZ476" s="129"/>
      <c r="BA476" s="129"/>
      <c r="BB476" s="129"/>
      <c r="BC476" s="129"/>
      <c r="BD476" s="129"/>
      <c r="BE476" s="129"/>
      <c r="BF476" s="144"/>
      <c r="BG476" s="129"/>
      <c r="BH476" s="129"/>
      <c r="BI476" s="129"/>
      <c r="BJ476" s="129"/>
      <c r="BK476" s="129"/>
      <c r="BL476" s="129"/>
      <c r="BM476" s="129"/>
      <c r="BN476" s="129"/>
      <c r="BO476" s="129"/>
      <c r="BP476" s="129"/>
      <c r="BQ476" s="129"/>
      <c r="BR476" s="129"/>
      <c r="BS476" s="129"/>
      <c r="BT476" s="129"/>
      <c r="BU476" s="129"/>
      <c r="BV476" s="129"/>
      <c r="BW476" s="129"/>
      <c r="BX476" s="129"/>
      <c r="BY476" s="129"/>
      <c r="BZ476" s="129"/>
      <c r="CA476" s="129"/>
      <c r="CB476" s="129"/>
      <c r="CC476" s="129"/>
      <c r="CD476" s="129"/>
    </row>
    <row r="477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29"/>
      <c r="AM477" s="129"/>
      <c r="AN477" s="144"/>
      <c r="AO477" s="129"/>
      <c r="AP477" s="129"/>
      <c r="AQ477" s="129"/>
      <c r="AR477" s="129"/>
      <c r="AS477" s="129"/>
      <c r="AT477" s="129"/>
      <c r="AU477" s="129"/>
      <c r="AV477" s="129"/>
      <c r="AW477" s="129"/>
      <c r="AX477" s="129"/>
      <c r="AY477" s="129"/>
      <c r="AZ477" s="129"/>
      <c r="BA477" s="129"/>
      <c r="BB477" s="129"/>
      <c r="BC477" s="129"/>
      <c r="BD477" s="129"/>
      <c r="BE477" s="129"/>
      <c r="BF477" s="144"/>
      <c r="BG477" s="129"/>
      <c r="BH477" s="129"/>
      <c r="BI477" s="129"/>
      <c r="BJ477" s="129"/>
      <c r="BK477" s="129"/>
      <c r="BL477" s="129"/>
      <c r="BM477" s="129"/>
      <c r="BN477" s="129"/>
      <c r="BO477" s="129"/>
      <c r="BP477" s="129"/>
      <c r="BQ477" s="129"/>
      <c r="BR477" s="129"/>
      <c r="BS477" s="129"/>
      <c r="BT477" s="129"/>
      <c r="BU477" s="129"/>
      <c r="BV477" s="129"/>
      <c r="BW477" s="129"/>
      <c r="BX477" s="129"/>
      <c r="BY477" s="129"/>
      <c r="BZ477" s="129"/>
      <c r="CA477" s="129"/>
      <c r="CB477" s="129"/>
      <c r="CC477" s="129"/>
      <c r="CD477" s="129"/>
    </row>
    <row r="478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29"/>
      <c r="AM478" s="129"/>
      <c r="AN478" s="144"/>
      <c r="AO478" s="129"/>
      <c r="AP478" s="129"/>
      <c r="AQ478" s="129"/>
      <c r="AR478" s="129"/>
      <c r="AS478" s="129"/>
      <c r="AT478" s="129"/>
      <c r="AU478" s="129"/>
      <c r="AV478" s="129"/>
      <c r="AW478" s="129"/>
      <c r="AX478" s="129"/>
      <c r="AY478" s="129"/>
      <c r="AZ478" s="129"/>
      <c r="BA478" s="129"/>
      <c r="BB478" s="129"/>
      <c r="BC478" s="129"/>
      <c r="BD478" s="129"/>
      <c r="BE478" s="129"/>
      <c r="BF478" s="144"/>
      <c r="BG478" s="129"/>
      <c r="BH478" s="129"/>
      <c r="BI478" s="129"/>
      <c r="BJ478" s="129"/>
      <c r="BK478" s="129"/>
      <c r="BL478" s="129"/>
      <c r="BM478" s="129"/>
      <c r="BN478" s="129"/>
      <c r="BO478" s="129"/>
      <c r="BP478" s="129"/>
      <c r="BQ478" s="129"/>
      <c r="BR478" s="129"/>
      <c r="BS478" s="129"/>
      <c r="BT478" s="129"/>
      <c r="BU478" s="129"/>
      <c r="BV478" s="129"/>
      <c r="BW478" s="129"/>
      <c r="BX478" s="129"/>
      <c r="BY478" s="129"/>
      <c r="BZ478" s="129"/>
      <c r="CA478" s="129"/>
      <c r="CB478" s="129"/>
      <c r="CC478" s="129"/>
      <c r="CD478" s="129"/>
    </row>
    <row r="479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29"/>
      <c r="AM479" s="129"/>
      <c r="AN479" s="144"/>
      <c r="AO479" s="129"/>
      <c r="AP479" s="129"/>
      <c r="AQ479" s="129"/>
      <c r="AR479" s="129"/>
      <c r="AS479" s="129"/>
      <c r="AT479" s="129"/>
      <c r="AU479" s="129"/>
      <c r="AV479" s="129"/>
      <c r="AW479" s="129"/>
      <c r="AX479" s="129"/>
      <c r="AY479" s="129"/>
      <c r="AZ479" s="129"/>
      <c r="BA479" s="129"/>
      <c r="BB479" s="129"/>
      <c r="BC479" s="129"/>
      <c r="BD479" s="129"/>
      <c r="BE479" s="129"/>
      <c r="BF479" s="144"/>
      <c r="BG479" s="129"/>
      <c r="BH479" s="129"/>
      <c r="BI479" s="129"/>
      <c r="BJ479" s="129"/>
      <c r="BK479" s="129"/>
      <c r="BL479" s="129"/>
      <c r="BM479" s="129"/>
      <c r="BN479" s="129"/>
      <c r="BO479" s="129"/>
      <c r="BP479" s="129"/>
      <c r="BQ479" s="129"/>
      <c r="BR479" s="129"/>
      <c r="BS479" s="129"/>
      <c r="BT479" s="129"/>
      <c r="BU479" s="129"/>
      <c r="BV479" s="129"/>
      <c r="BW479" s="129"/>
      <c r="BX479" s="129"/>
      <c r="BY479" s="129"/>
      <c r="BZ479" s="129"/>
      <c r="CA479" s="129"/>
      <c r="CB479" s="129"/>
      <c r="CC479" s="129"/>
      <c r="CD479" s="129"/>
    </row>
    <row r="480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29"/>
      <c r="AM480" s="129"/>
      <c r="AN480" s="144"/>
      <c r="AO480" s="129"/>
      <c r="AP480" s="129"/>
      <c r="AQ480" s="129"/>
      <c r="AR480" s="129"/>
      <c r="AS480" s="129"/>
      <c r="AT480" s="129"/>
      <c r="AU480" s="129"/>
      <c r="AV480" s="129"/>
      <c r="AW480" s="129"/>
      <c r="AX480" s="129"/>
      <c r="AY480" s="129"/>
      <c r="AZ480" s="129"/>
      <c r="BA480" s="129"/>
      <c r="BB480" s="129"/>
      <c r="BC480" s="129"/>
      <c r="BD480" s="129"/>
      <c r="BE480" s="129"/>
      <c r="BF480" s="144"/>
      <c r="BG480" s="129"/>
      <c r="BH480" s="129"/>
      <c r="BI480" s="129"/>
      <c r="BJ480" s="129"/>
      <c r="BK480" s="129"/>
      <c r="BL480" s="129"/>
      <c r="BM480" s="129"/>
      <c r="BN480" s="129"/>
      <c r="BO480" s="129"/>
      <c r="BP480" s="129"/>
      <c r="BQ480" s="129"/>
      <c r="BR480" s="129"/>
      <c r="BS480" s="129"/>
      <c r="BT480" s="129"/>
      <c r="BU480" s="129"/>
      <c r="BV480" s="129"/>
      <c r="BW480" s="129"/>
      <c r="BX480" s="129"/>
      <c r="BY480" s="129"/>
      <c r="BZ480" s="129"/>
      <c r="CA480" s="129"/>
      <c r="CB480" s="129"/>
      <c r="CC480" s="129"/>
      <c r="CD480" s="129"/>
    </row>
    <row r="48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29"/>
      <c r="AM481" s="129"/>
      <c r="AN481" s="144"/>
      <c r="AO481" s="129"/>
      <c r="AP481" s="129"/>
      <c r="AQ481" s="129"/>
      <c r="AR481" s="129"/>
      <c r="AS481" s="129"/>
      <c r="AT481" s="129"/>
      <c r="AU481" s="129"/>
      <c r="AV481" s="129"/>
      <c r="AW481" s="129"/>
      <c r="AX481" s="129"/>
      <c r="AY481" s="129"/>
      <c r="AZ481" s="129"/>
      <c r="BA481" s="129"/>
      <c r="BB481" s="129"/>
      <c r="BC481" s="129"/>
      <c r="BD481" s="129"/>
      <c r="BE481" s="129"/>
      <c r="BF481" s="144"/>
      <c r="BG481" s="129"/>
      <c r="BH481" s="129"/>
      <c r="BI481" s="129"/>
      <c r="BJ481" s="129"/>
      <c r="BK481" s="129"/>
      <c r="BL481" s="129"/>
      <c r="BM481" s="129"/>
      <c r="BN481" s="129"/>
      <c r="BO481" s="129"/>
      <c r="BP481" s="129"/>
      <c r="BQ481" s="129"/>
      <c r="BR481" s="129"/>
      <c r="BS481" s="129"/>
      <c r="BT481" s="129"/>
      <c r="BU481" s="129"/>
      <c r="BV481" s="129"/>
      <c r="BW481" s="129"/>
      <c r="BX481" s="129"/>
      <c r="BY481" s="129"/>
      <c r="BZ481" s="129"/>
      <c r="CA481" s="129"/>
      <c r="CB481" s="129"/>
      <c r="CC481" s="129"/>
      <c r="CD481" s="129"/>
    </row>
    <row r="48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29"/>
      <c r="AM482" s="129"/>
      <c r="AN482" s="144"/>
      <c r="AO482" s="129"/>
      <c r="AP482" s="129"/>
      <c r="AQ482" s="129"/>
      <c r="AR482" s="129"/>
      <c r="AS482" s="129"/>
      <c r="AT482" s="129"/>
      <c r="AU482" s="129"/>
      <c r="AV482" s="129"/>
      <c r="AW482" s="129"/>
      <c r="AX482" s="129"/>
      <c r="AY482" s="129"/>
      <c r="AZ482" s="129"/>
      <c r="BA482" s="129"/>
      <c r="BB482" s="129"/>
      <c r="BC482" s="129"/>
      <c r="BD482" s="129"/>
      <c r="BE482" s="129"/>
      <c r="BF482" s="144"/>
      <c r="BG482" s="129"/>
      <c r="BH482" s="129"/>
      <c r="BI482" s="129"/>
      <c r="BJ482" s="129"/>
      <c r="BK482" s="129"/>
      <c r="BL482" s="129"/>
      <c r="BM482" s="129"/>
      <c r="BN482" s="129"/>
      <c r="BO482" s="129"/>
      <c r="BP482" s="129"/>
      <c r="BQ482" s="129"/>
      <c r="BR482" s="129"/>
      <c r="BS482" s="129"/>
      <c r="BT482" s="129"/>
      <c r="BU482" s="129"/>
      <c r="BV482" s="129"/>
      <c r="BW482" s="129"/>
      <c r="BX482" s="129"/>
      <c r="BY482" s="129"/>
      <c r="BZ482" s="129"/>
      <c r="CA482" s="129"/>
      <c r="CB482" s="129"/>
      <c r="CC482" s="129"/>
      <c r="CD482" s="129"/>
    </row>
    <row r="483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29"/>
      <c r="AM483" s="129"/>
      <c r="AN483" s="144"/>
      <c r="AO483" s="129"/>
      <c r="AP483" s="129"/>
      <c r="AQ483" s="129"/>
      <c r="AR483" s="129"/>
      <c r="AS483" s="129"/>
      <c r="AT483" s="129"/>
      <c r="AU483" s="129"/>
      <c r="AV483" s="129"/>
      <c r="AW483" s="129"/>
      <c r="AX483" s="129"/>
      <c r="AY483" s="129"/>
      <c r="AZ483" s="129"/>
      <c r="BA483" s="129"/>
      <c r="BB483" s="129"/>
      <c r="BC483" s="129"/>
      <c r="BD483" s="129"/>
      <c r="BE483" s="129"/>
      <c r="BF483" s="144"/>
      <c r="BG483" s="129"/>
      <c r="BH483" s="129"/>
      <c r="BI483" s="129"/>
      <c r="BJ483" s="129"/>
      <c r="BK483" s="129"/>
      <c r="BL483" s="129"/>
      <c r="BM483" s="129"/>
      <c r="BN483" s="129"/>
      <c r="BO483" s="129"/>
      <c r="BP483" s="129"/>
      <c r="BQ483" s="129"/>
      <c r="BR483" s="129"/>
      <c r="BS483" s="129"/>
      <c r="BT483" s="129"/>
      <c r="BU483" s="129"/>
      <c r="BV483" s="129"/>
      <c r="BW483" s="129"/>
      <c r="BX483" s="129"/>
      <c r="BY483" s="129"/>
      <c r="BZ483" s="129"/>
      <c r="CA483" s="129"/>
      <c r="CB483" s="129"/>
      <c r="CC483" s="129"/>
      <c r="CD483" s="129"/>
    </row>
    <row r="484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29"/>
      <c r="AM484" s="129"/>
      <c r="AN484" s="144"/>
      <c r="AO484" s="129"/>
      <c r="AP484" s="129"/>
      <c r="AQ484" s="129"/>
      <c r="AR484" s="129"/>
      <c r="AS484" s="129"/>
      <c r="AT484" s="129"/>
      <c r="AU484" s="129"/>
      <c r="AV484" s="129"/>
      <c r="AW484" s="129"/>
      <c r="AX484" s="129"/>
      <c r="AY484" s="129"/>
      <c r="AZ484" s="129"/>
      <c r="BA484" s="129"/>
      <c r="BB484" s="129"/>
      <c r="BC484" s="129"/>
      <c r="BD484" s="129"/>
      <c r="BE484" s="129"/>
      <c r="BF484" s="144"/>
      <c r="BG484" s="129"/>
      <c r="BH484" s="129"/>
      <c r="BI484" s="129"/>
      <c r="BJ484" s="129"/>
      <c r="BK484" s="129"/>
      <c r="BL484" s="129"/>
      <c r="BM484" s="129"/>
      <c r="BN484" s="129"/>
      <c r="BO484" s="129"/>
      <c r="BP484" s="129"/>
      <c r="BQ484" s="129"/>
      <c r="BR484" s="129"/>
      <c r="BS484" s="129"/>
      <c r="BT484" s="129"/>
      <c r="BU484" s="129"/>
      <c r="BV484" s="129"/>
      <c r="BW484" s="129"/>
      <c r="BX484" s="129"/>
      <c r="BY484" s="129"/>
      <c r="BZ484" s="129"/>
      <c r="CA484" s="129"/>
      <c r="CB484" s="129"/>
      <c r="CC484" s="129"/>
      <c r="CD484" s="129"/>
    </row>
    <row r="485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29"/>
      <c r="AM485" s="129"/>
      <c r="AN485" s="144"/>
      <c r="AO485" s="129"/>
      <c r="AP485" s="129"/>
      <c r="AQ485" s="129"/>
      <c r="AR485" s="129"/>
      <c r="AS485" s="129"/>
      <c r="AT485" s="129"/>
      <c r="AU485" s="129"/>
      <c r="AV485" s="129"/>
      <c r="AW485" s="129"/>
      <c r="AX485" s="129"/>
      <c r="AY485" s="129"/>
      <c r="AZ485" s="129"/>
      <c r="BA485" s="129"/>
      <c r="BB485" s="129"/>
      <c r="BC485" s="129"/>
      <c r="BD485" s="129"/>
      <c r="BE485" s="129"/>
      <c r="BF485" s="144"/>
      <c r="BG485" s="129"/>
      <c r="BH485" s="129"/>
      <c r="BI485" s="129"/>
      <c r="BJ485" s="129"/>
      <c r="BK485" s="129"/>
      <c r="BL485" s="129"/>
      <c r="BM485" s="129"/>
      <c r="BN485" s="129"/>
      <c r="BO485" s="129"/>
      <c r="BP485" s="129"/>
      <c r="BQ485" s="129"/>
      <c r="BR485" s="129"/>
      <c r="BS485" s="129"/>
      <c r="BT485" s="129"/>
      <c r="BU485" s="129"/>
      <c r="BV485" s="129"/>
      <c r="BW485" s="129"/>
      <c r="BX485" s="129"/>
      <c r="BY485" s="129"/>
      <c r="BZ485" s="129"/>
      <c r="CA485" s="129"/>
      <c r="CB485" s="129"/>
      <c r="CC485" s="129"/>
      <c r="CD485" s="129"/>
    </row>
    <row r="486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29"/>
      <c r="AM486" s="129"/>
      <c r="AN486" s="144"/>
      <c r="AO486" s="129"/>
      <c r="AP486" s="129"/>
      <c r="AQ486" s="129"/>
      <c r="AR486" s="129"/>
      <c r="AS486" s="129"/>
      <c r="AT486" s="129"/>
      <c r="AU486" s="129"/>
      <c r="AV486" s="129"/>
      <c r="AW486" s="129"/>
      <c r="AX486" s="129"/>
      <c r="AY486" s="129"/>
      <c r="AZ486" s="129"/>
      <c r="BA486" s="129"/>
      <c r="BB486" s="129"/>
      <c r="BC486" s="129"/>
      <c r="BD486" s="129"/>
      <c r="BE486" s="129"/>
      <c r="BF486" s="144"/>
      <c r="BG486" s="129"/>
      <c r="BH486" s="129"/>
      <c r="BI486" s="129"/>
      <c r="BJ486" s="129"/>
      <c r="BK486" s="129"/>
      <c r="BL486" s="129"/>
      <c r="BM486" s="129"/>
      <c r="BN486" s="129"/>
      <c r="BO486" s="129"/>
      <c r="BP486" s="129"/>
      <c r="BQ486" s="129"/>
      <c r="BR486" s="129"/>
      <c r="BS486" s="129"/>
      <c r="BT486" s="129"/>
      <c r="BU486" s="129"/>
      <c r="BV486" s="129"/>
      <c r="BW486" s="129"/>
      <c r="BX486" s="129"/>
      <c r="BY486" s="129"/>
      <c r="BZ486" s="129"/>
      <c r="CA486" s="129"/>
      <c r="CB486" s="129"/>
      <c r="CC486" s="129"/>
      <c r="CD486" s="129"/>
    </row>
    <row r="487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29"/>
      <c r="AM487" s="129"/>
      <c r="AN487" s="144"/>
      <c r="AO487" s="129"/>
      <c r="AP487" s="129"/>
      <c r="AQ487" s="129"/>
      <c r="AR487" s="129"/>
      <c r="AS487" s="129"/>
      <c r="AT487" s="129"/>
      <c r="AU487" s="129"/>
      <c r="AV487" s="129"/>
      <c r="AW487" s="129"/>
      <c r="AX487" s="129"/>
      <c r="AY487" s="129"/>
      <c r="AZ487" s="129"/>
      <c r="BA487" s="129"/>
      <c r="BB487" s="129"/>
      <c r="BC487" s="129"/>
      <c r="BD487" s="129"/>
      <c r="BE487" s="129"/>
      <c r="BF487" s="144"/>
      <c r="BG487" s="129"/>
      <c r="BH487" s="129"/>
      <c r="BI487" s="129"/>
      <c r="BJ487" s="129"/>
      <c r="BK487" s="129"/>
      <c r="BL487" s="129"/>
      <c r="BM487" s="129"/>
      <c r="BN487" s="129"/>
      <c r="BO487" s="129"/>
      <c r="BP487" s="129"/>
      <c r="BQ487" s="129"/>
      <c r="BR487" s="129"/>
      <c r="BS487" s="129"/>
      <c r="BT487" s="129"/>
      <c r="BU487" s="129"/>
      <c r="BV487" s="129"/>
      <c r="BW487" s="129"/>
      <c r="BX487" s="129"/>
      <c r="BY487" s="129"/>
      <c r="BZ487" s="129"/>
      <c r="CA487" s="129"/>
      <c r="CB487" s="129"/>
      <c r="CC487" s="129"/>
      <c r="CD487" s="129"/>
    </row>
    <row r="488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29"/>
      <c r="AM488" s="129"/>
      <c r="AN488" s="144"/>
      <c r="AO488" s="129"/>
      <c r="AP488" s="129"/>
      <c r="AQ488" s="129"/>
      <c r="AR488" s="129"/>
      <c r="AS488" s="129"/>
      <c r="AT488" s="129"/>
      <c r="AU488" s="129"/>
      <c r="AV488" s="129"/>
      <c r="AW488" s="129"/>
      <c r="AX488" s="129"/>
      <c r="AY488" s="129"/>
      <c r="AZ488" s="129"/>
      <c r="BA488" s="129"/>
      <c r="BB488" s="129"/>
      <c r="BC488" s="129"/>
      <c r="BD488" s="129"/>
      <c r="BE488" s="129"/>
      <c r="BF488" s="144"/>
      <c r="BG488" s="129"/>
      <c r="BH488" s="129"/>
      <c r="BI488" s="129"/>
      <c r="BJ488" s="129"/>
      <c r="BK488" s="129"/>
      <c r="BL488" s="129"/>
      <c r="BM488" s="129"/>
      <c r="BN488" s="129"/>
      <c r="BO488" s="129"/>
      <c r="BP488" s="129"/>
      <c r="BQ488" s="129"/>
      <c r="BR488" s="129"/>
      <c r="BS488" s="129"/>
      <c r="BT488" s="129"/>
      <c r="BU488" s="129"/>
      <c r="BV488" s="129"/>
      <c r="BW488" s="129"/>
      <c r="BX488" s="129"/>
      <c r="BY488" s="129"/>
      <c r="BZ488" s="129"/>
      <c r="CA488" s="129"/>
      <c r="CB488" s="129"/>
      <c r="CC488" s="129"/>
      <c r="CD488" s="129"/>
    </row>
    <row r="489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29"/>
      <c r="AM489" s="129"/>
      <c r="AN489" s="144"/>
      <c r="AO489" s="129"/>
      <c r="AP489" s="129"/>
      <c r="AQ489" s="129"/>
      <c r="AR489" s="129"/>
      <c r="AS489" s="129"/>
      <c r="AT489" s="129"/>
      <c r="AU489" s="129"/>
      <c r="AV489" s="129"/>
      <c r="AW489" s="129"/>
      <c r="AX489" s="129"/>
      <c r="AY489" s="129"/>
      <c r="AZ489" s="129"/>
      <c r="BA489" s="129"/>
      <c r="BB489" s="129"/>
      <c r="BC489" s="129"/>
      <c r="BD489" s="129"/>
      <c r="BE489" s="129"/>
      <c r="BF489" s="144"/>
      <c r="BG489" s="129"/>
      <c r="BH489" s="129"/>
      <c r="BI489" s="129"/>
      <c r="BJ489" s="129"/>
      <c r="BK489" s="129"/>
      <c r="BL489" s="129"/>
      <c r="BM489" s="129"/>
      <c r="BN489" s="129"/>
      <c r="BO489" s="129"/>
      <c r="BP489" s="129"/>
      <c r="BQ489" s="129"/>
      <c r="BR489" s="129"/>
      <c r="BS489" s="129"/>
      <c r="BT489" s="129"/>
      <c r="BU489" s="129"/>
      <c r="BV489" s="129"/>
      <c r="BW489" s="129"/>
      <c r="BX489" s="129"/>
      <c r="BY489" s="129"/>
      <c r="BZ489" s="129"/>
      <c r="CA489" s="129"/>
      <c r="CB489" s="129"/>
      <c r="CC489" s="129"/>
      <c r="CD489" s="129"/>
    </row>
    <row r="490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29"/>
      <c r="AM490" s="129"/>
      <c r="AN490" s="144"/>
      <c r="AO490" s="129"/>
      <c r="AP490" s="129"/>
      <c r="AQ490" s="129"/>
      <c r="AR490" s="129"/>
      <c r="AS490" s="129"/>
      <c r="AT490" s="129"/>
      <c r="AU490" s="129"/>
      <c r="AV490" s="129"/>
      <c r="AW490" s="129"/>
      <c r="AX490" s="129"/>
      <c r="AY490" s="129"/>
      <c r="AZ490" s="129"/>
      <c r="BA490" s="129"/>
      <c r="BB490" s="129"/>
      <c r="BC490" s="129"/>
      <c r="BD490" s="129"/>
      <c r="BE490" s="129"/>
      <c r="BF490" s="144"/>
      <c r="BG490" s="129"/>
      <c r="BH490" s="129"/>
      <c r="BI490" s="129"/>
      <c r="BJ490" s="129"/>
      <c r="BK490" s="129"/>
      <c r="BL490" s="129"/>
      <c r="BM490" s="129"/>
      <c r="BN490" s="129"/>
      <c r="BO490" s="129"/>
      <c r="BP490" s="129"/>
      <c r="BQ490" s="129"/>
      <c r="BR490" s="129"/>
      <c r="BS490" s="129"/>
      <c r="BT490" s="129"/>
      <c r="BU490" s="129"/>
      <c r="BV490" s="129"/>
      <c r="BW490" s="129"/>
      <c r="BX490" s="129"/>
      <c r="BY490" s="129"/>
      <c r="BZ490" s="129"/>
      <c r="CA490" s="129"/>
      <c r="CB490" s="129"/>
      <c r="CC490" s="129"/>
      <c r="CD490" s="129"/>
    </row>
    <row r="49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29"/>
      <c r="AM491" s="129"/>
      <c r="AN491" s="144"/>
      <c r="AO491" s="129"/>
      <c r="AP491" s="129"/>
      <c r="AQ491" s="129"/>
      <c r="AR491" s="129"/>
      <c r="AS491" s="129"/>
      <c r="AT491" s="129"/>
      <c r="AU491" s="129"/>
      <c r="AV491" s="129"/>
      <c r="AW491" s="129"/>
      <c r="AX491" s="129"/>
      <c r="AY491" s="129"/>
      <c r="AZ491" s="129"/>
      <c r="BA491" s="129"/>
      <c r="BB491" s="129"/>
      <c r="BC491" s="129"/>
      <c r="BD491" s="129"/>
      <c r="BE491" s="129"/>
      <c r="BF491" s="144"/>
      <c r="BG491" s="129"/>
      <c r="BH491" s="129"/>
      <c r="BI491" s="129"/>
      <c r="BJ491" s="129"/>
      <c r="BK491" s="129"/>
      <c r="BL491" s="129"/>
      <c r="BM491" s="129"/>
      <c r="BN491" s="129"/>
      <c r="BO491" s="129"/>
      <c r="BP491" s="129"/>
      <c r="BQ491" s="129"/>
      <c r="BR491" s="129"/>
      <c r="BS491" s="129"/>
      <c r="BT491" s="129"/>
      <c r="BU491" s="129"/>
      <c r="BV491" s="129"/>
      <c r="BW491" s="129"/>
      <c r="BX491" s="129"/>
      <c r="BY491" s="129"/>
      <c r="BZ491" s="129"/>
      <c r="CA491" s="129"/>
      <c r="CB491" s="129"/>
      <c r="CC491" s="129"/>
      <c r="CD491" s="129"/>
    </row>
    <row r="49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29"/>
      <c r="AM492" s="129"/>
      <c r="AN492" s="144"/>
      <c r="AO492" s="129"/>
      <c r="AP492" s="129"/>
      <c r="AQ492" s="129"/>
      <c r="AR492" s="129"/>
      <c r="AS492" s="129"/>
      <c r="AT492" s="129"/>
      <c r="AU492" s="129"/>
      <c r="AV492" s="129"/>
      <c r="AW492" s="129"/>
      <c r="AX492" s="129"/>
      <c r="AY492" s="129"/>
      <c r="AZ492" s="129"/>
      <c r="BA492" s="129"/>
      <c r="BB492" s="129"/>
      <c r="BC492" s="129"/>
      <c r="BD492" s="129"/>
      <c r="BE492" s="129"/>
      <c r="BF492" s="144"/>
      <c r="BG492" s="129"/>
      <c r="BH492" s="129"/>
      <c r="BI492" s="129"/>
      <c r="BJ492" s="129"/>
      <c r="BK492" s="129"/>
      <c r="BL492" s="129"/>
      <c r="BM492" s="129"/>
      <c r="BN492" s="129"/>
      <c r="BO492" s="129"/>
      <c r="BP492" s="129"/>
      <c r="BQ492" s="129"/>
      <c r="BR492" s="129"/>
      <c r="BS492" s="129"/>
      <c r="BT492" s="129"/>
      <c r="BU492" s="129"/>
      <c r="BV492" s="129"/>
      <c r="BW492" s="129"/>
      <c r="BX492" s="129"/>
      <c r="BY492" s="129"/>
      <c r="BZ492" s="129"/>
      <c r="CA492" s="129"/>
      <c r="CB492" s="129"/>
      <c r="CC492" s="129"/>
      <c r="CD492" s="129"/>
    </row>
    <row r="493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29"/>
      <c r="AM493" s="129"/>
      <c r="AN493" s="144"/>
      <c r="AO493" s="129"/>
      <c r="AP493" s="129"/>
      <c r="AQ493" s="129"/>
      <c r="AR493" s="129"/>
      <c r="AS493" s="129"/>
      <c r="AT493" s="129"/>
      <c r="AU493" s="129"/>
      <c r="AV493" s="129"/>
      <c r="AW493" s="129"/>
      <c r="AX493" s="129"/>
      <c r="AY493" s="129"/>
      <c r="AZ493" s="129"/>
      <c r="BA493" s="129"/>
      <c r="BB493" s="129"/>
      <c r="BC493" s="129"/>
      <c r="BD493" s="129"/>
      <c r="BE493" s="129"/>
      <c r="BF493" s="144"/>
      <c r="BG493" s="129"/>
      <c r="BH493" s="129"/>
      <c r="BI493" s="129"/>
      <c r="BJ493" s="129"/>
      <c r="BK493" s="129"/>
      <c r="BL493" s="129"/>
      <c r="BM493" s="129"/>
      <c r="BN493" s="129"/>
      <c r="BO493" s="129"/>
      <c r="BP493" s="129"/>
      <c r="BQ493" s="129"/>
      <c r="BR493" s="129"/>
      <c r="BS493" s="129"/>
      <c r="BT493" s="129"/>
      <c r="BU493" s="129"/>
      <c r="BV493" s="129"/>
      <c r="BW493" s="129"/>
      <c r="BX493" s="129"/>
      <c r="BY493" s="129"/>
      <c r="BZ493" s="129"/>
      <c r="CA493" s="129"/>
      <c r="CB493" s="129"/>
      <c r="CC493" s="129"/>
      <c r="CD493" s="129"/>
    </row>
    <row r="494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29"/>
      <c r="AM494" s="129"/>
      <c r="AN494" s="144"/>
      <c r="AO494" s="129"/>
      <c r="AP494" s="129"/>
      <c r="AQ494" s="129"/>
      <c r="AR494" s="129"/>
      <c r="AS494" s="129"/>
      <c r="AT494" s="129"/>
      <c r="AU494" s="129"/>
      <c r="AV494" s="129"/>
      <c r="AW494" s="129"/>
      <c r="AX494" s="129"/>
      <c r="AY494" s="129"/>
      <c r="AZ494" s="129"/>
      <c r="BA494" s="129"/>
      <c r="BB494" s="129"/>
      <c r="BC494" s="129"/>
      <c r="BD494" s="129"/>
      <c r="BE494" s="129"/>
      <c r="BF494" s="144"/>
      <c r="BG494" s="129"/>
      <c r="BH494" s="129"/>
      <c r="BI494" s="129"/>
      <c r="BJ494" s="129"/>
      <c r="BK494" s="129"/>
      <c r="BL494" s="129"/>
      <c r="BM494" s="129"/>
      <c r="BN494" s="129"/>
      <c r="BO494" s="129"/>
      <c r="BP494" s="129"/>
      <c r="BQ494" s="129"/>
      <c r="BR494" s="129"/>
      <c r="BS494" s="129"/>
      <c r="BT494" s="129"/>
      <c r="BU494" s="129"/>
      <c r="BV494" s="129"/>
      <c r="BW494" s="129"/>
      <c r="BX494" s="129"/>
      <c r="BY494" s="129"/>
      <c r="BZ494" s="129"/>
      <c r="CA494" s="129"/>
      <c r="CB494" s="129"/>
      <c r="CC494" s="129"/>
      <c r="CD494" s="129"/>
    </row>
    <row r="495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29"/>
      <c r="AM495" s="129"/>
      <c r="AN495" s="144"/>
      <c r="AO495" s="129"/>
      <c r="AP495" s="129"/>
      <c r="AQ495" s="129"/>
      <c r="AR495" s="129"/>
      <c r="AS495" s="129"/>
      <c r="AT495" s="129"/>
      <c r="AU495" s="129"/>
      <c r="AV495" s="129"/>
      <c r="AW495" s="129"/>
      <c r="AX495" s="129"/>
      <c r="AY495" s="129"/>
      <c r="AZ495" s="129"/>
      <c r="BA495" s="129"/>
      <c r="BB495" s="129"/>
      <c r="BC495" s="129"/>
      <c r="BD495" s="129"/>
      <c r="BE495" s="129"/>
      <c r="BF495" s="144"/>
      <c r="BG495" s="129"/>
      <c r="BH495" s="129"/>
      <c r="BI495" s="129"/>
      <c r="BJ495" s="129"/>
      <c r="BK495" s="129"/>
      <c r="BL495" s="129"/>
      <c r="BM495" s="129"/>
      <c r="BN495" s="129"/>
      <c r="BO495" s="129"/>
      <c r="BP495" s="129"/>
      <c r="BQ495" s="129"/>
      <c r="BR495" s="129"/>
      <c r="BS495" s="129"/>
      <c r="BT495" s="129"/>
      <c r="BU495" s="129"/>
      <c r="BV495" s="129"/>
      <c r="BW495" s="129"/>
      <c r="BX495" s="129"/>
      <c r="BY495" s="129"/>
      <c r="BZ495" s="129"/>
      <c r="CA495" s="129"/>
      <c r="CB495" s="129"/>
      <c r="CC495" s="129"/>
      <c r="CD495" s="129"/>
    </row>
    <row r="496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29"/>
      <c r="AM496" s="129"/>
      <c r="AN496" s="144"/>
      <c r="AO496" s="129"/>
      <c r="AP496" s="129"/>
      <c r="AQ496" s="129"/>
      <c r="AR496" s="129"/>
      <c r="AS496" s="129"/>
      <c r="AT496" s="129"/>
      <c r="AU496" s="129"/>
      <c r="AV496" s="129"/>
      <c r="AW496" s="129"/>
      <c r="AX496" s="129"/>
      <c r="AY496" s="129"/>
      <c r="AZ496" s="129"/>
      <c r="BA496" s="129"/>
      <c r="BB496" s="129"/>
      <c r="BC496" s="129"/>
      <c r="BD496" s="129"/>
      <c r="BE496" s="129"/>
      <c r="BF496" s="144"/>
      <c r="BG496" s="129"/>
      <c r="BH496" s="129"/>
      <c r="BI496" s="129"/>
      <c r="BJ496" s="129"/>
      <c r="BK496" s="129"/>
      <c r="BL496" s="129"/>
      <c r="BM496" s="129"/>
      <c r="BN496" s="129"/>
      <c r="BO496" s="129"/>
      <c r="BP496" s="129"/>
      <c r="BQ496" s="129"/>
      <c r="BR496" s="129"/>
      <c r="BS496" s="129"/>
      <c r="BT496" s="129"/>
      <c r="BU496" s="129"/>
      <c r="BV496" s="129"/>
      <c r="BW496" s="129"/>
      <c r="BX496" s="129"/>
      <c r="BY496" s="129"/>
      <c r="BZ496" s="129"/>
      <c r="CA496" s="129"/>
      <c r="CB496" s="129"/>
      <c r="CC496" s="129"/>
      <c r="CD496" s="129"/>
    </row>
    <row r="497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29"/>
      <c r="AM497" s="129"/>
      <c r="AN497" s="144"/>
      <c r="AO497" s="129"/>
      <c r="AP497" s="129"/>
      <c r="AQ497" s="129"/>
      <c r="AR497" s="129"/>
      <c r="AS497" s="129"/>
      <c r="AT497" s="129"/>
      <c r="AU497" s="129"/>
      <c r="AV497" s="129"/>
      <c r="AW497" s="129"/>
      <c r="AX497" s="129"/>
      <c r="AY497" s="129"/>
      <c r="AZ497" s="129"/>
      <c r="BA497" s="129"/>
      <c r="BB497" s="129"/>
      <c r="BC497" s="129"/>
      <c r="BD497" s="129"/>
      <c r="BE497" s="129"/>
      <c r="BF497" s="144"/>
      <c r="BG497" s="129"/>
      <c r="BH497" s="129"/>
      <c r="BI497" s="129"/>
      <c r="BJ497" s="129"/>
      <c r="BK497" s="129"/>
      <c r="BL497" s="129"/>
      <c r="BM497" s="129"/>
      <c r="BN497" s="129"/>
      <c r="BO497" s="129"/>
      <c r="BP497" s="129"/>
      <c r="BQ497" s="129"/>
      <c r="BR497" s="129"/>
      <c r="BS497" s="129"/>
      <c r="BT497" s="129"/>
      <c r="BU497" s="129"/>
      <c r="BV497" s="129"/>
      <c r="BW497" s="129"/>
      <c r="BX497" s="129"/>
      <c r="BY497" s="129"/>
      <c r="BZ497" s="129"/>
      <c r="CA497" s="129"/>
      <c r="CB497" s="129"/>
      <c r="CC497" s="129"/>
      <c r="CD497" s="129"/>
    </row>
    <row r="498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29"/>
      <c r="AM498" s="129"/>
      <c r="AN498" s="144"/>
      <c r="AO498" s="129"/>
      <c r="AP498" s="129"/>
      <c r="AQ498" s="129"/>
      <c r="AR498" s="129"/>
      <c r="AS498" s="129"/>
      <c r="AT498" s="129"/>
      <c r="AU498" s="129"/>
      <c r="AV498" s="129"/>
      <c r="AW498" s="129"/>
      <c r="AX498" s="129"/>
      <c r="AY498" s="129"/>
      <c r="AZ498" s="129"/>
      <c r="BA498" s="129"/>
      <c r="BB498" s="129"/>
      <c r="BC498" s="129"/>
      <c r="BD498" s="129"/>
      <c r="BE498" s="129"/>
      <c r="BF498" s="144"/>
      <c r="BG498" s="129"/>
      <c r="BH498" s="129"/>
      <c r="BI498" s="129"/>
      <c r="BJ498" s="129"/>
      <c r="BK498" s="129"/>
      <c r="BL498" s="129"/>
      <c r="BM498" s="129"/>
      <c r="BN498" s="129"/>
      <c r="BO498" s="129"/>
      <c r="BP498" s="129"/>
      <c r="BQ498" s="129"/>
      <c r="BR498" s="129"/>
      <c r="BS498" s="129"/>
      <c r="BT498" s="129"/>
      <c r="BU498" s="129"/>
      <c r="BV498" s="129"/>
      <c r="BW498" s="129"/>
      <c r="BX498" s="129"/>
      <c r="BY498" s="129"/>
      <c r="BZ498" s="129"/>
      <c r="CA498" s="129"/>
      <c r="CB498" s="129"/>
      <c r="CC498" s="129"/>
      <c r="CD498" s="129"/>
    </row>
    <row r="499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29"/>
      <c r="AM499" s="129"/>
      <c r="AN499" s="144"/>
      <c r="AO499" s="129"/>
      <c r="AP499" s="129"/>
      <c r="AQ499" s="129"/>
      <c r="AR499" s="129"/>
      <c r="AS499" s="129"/>
      <c r="AT499" s="129"/>
      <c r="AU499" s="129"/>
      <c r="AV499" s="129"/>
      <c r="AW499" s="129"/>
      <c r="AX499" s="129"/>
      <c r="AY499" s="129"/>
      <c r="AZ499" s="129"/>
      <c r="BA499" s="129"/>
      <c r="BB499" s="129"/>
      <c r="BC499" s="129"/>
      <c r="BD499" s="129"/>
      <c r="BE499" s="129"/>
      <c r="BF499" s="144"/>
      <c r="BG499" s="129"/>
      <c r="BH499" s="129"/>
      <c r="BI499" s="129"/>
      <c r="BJ499" s="129"/>
      <c r="BK499" s="129"/>
      <c r="BL499" s="129"/>
      <c r="BM499" s="129"/>
      <c r="BN499" s="129"/>
      <c r="BO499" s="129"/>
      <c r="BP499" s="129"/>
      <c r="BQ499" s="129"/>
      <c r="BR499" s="129"/>
      <c r="BS499" s="129"/>
      <c r="BT499" s="129"/>
      <c r="BU499" s="129"/>
      <c r="BV499" s="129"/>
      <c r="BW499" s="129"/>
      <c r="BX499" s="129"/>
      <c r="BY499" s="129"/>
      <c r="BZ499" s="129"/>
      <c r="CA499" s="129"/>
      <c r="CB499" s="129"/>
      <c r="CC499" s="129"/>
      <c r="CD499" s="129"/>
    </row>
    <row r="500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44"/>
      <c r="AO500" s="129"/>
      <c r="AP500" s="129"/>
      <c r="AQ500" s="129"/>
      <c r="AR500" s="129"/>
      <c r="AS500" s="129"/>
      <c r="AT500" s="129"/>
      <c r="AU500" s="129"/>
      <c r="AV500" s="129"/>
      <c r="AW500" s="129"/>
      <c r="AX500" s="129"/>
      <c r="AY500" s="129"/>
      <c r="AZ500" s="129"/>
      <c r="BA500" s="129"/>
      <c r="BB500" s="129"/>
      <c r="BC500" s="129"/>
      <c r="BD500" s="129"/>
      <c r="BE500" s="129"/>
      <c r="BF500" s="144"/>
      <c r="BG500" s="129"/>
      <c r="BH500" s="129"/>
      <c r="BI500" s="129"/>
      <c r="BJ500" s="129"/>
      <c r="BK500" s="129"/>
      <c r="BL500" s="129"/>
      <c r="BM500" s="129"/>
      <c r="BN500" s="129"/>
      <c r="BO500" s="129"/>
      <c r="BP500" s="129"/>
      <c r="BQ500" s="129"/>
      <c r="BR500" s="129"/>
      <c r="BS500" s="129"/>
      <c r="BT500" s="129"/>
      <c r="BU500" s="129"/>
      <c r="BV500" s="129"/>
      <c r="BW500" s="129"/>
      <c r="BX500" s="129"/>
      <c r="BY500" s="129"/>
      <c r="BZ500" s="129"/>
      <c r="CA500" s="129"/>
      <c r="CB500" s="129"/>
      <c r="CC500" s="129"/>
      <c r="CD500" s="129"/>
    </row>
    <row r="50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44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44"/>
      <c r="BG501" s="129"/>
      <c r="BH501" s="129"/>
      <c r="BI501" s="129"/>
      <c r="BJ501" s="129"/>
      <c r="BK501" s="129"/>
      <c r="BL501" s="129"/>
      <c r="BM501" s="129"/>
      <c r="BN501" s="129"/>
      <c r="BO501" s="129"/>
      <c r="BP501" s="129"/>
      <c r="BQ501" s="129"/>
      <c r="BR501" s="129"/>
      <c r="BS501" s="129"/>
      <c r="BT501" s="129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</row>
    <row r="50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29"/>
      <c r="AM502" s="129"/>
      <c r="AN502" s="144"/>
      <c r="AO502" s="129"/>
      <c r="AP502" s="129"/>
      <c r="AQ502" s="129"/>
      <c r="AR502" s="129"/>
      <c r="AS502" s="129"/>
      <c r="AT502" s="129"/>
      <c r="AU502" s="129"/>
      <c r="AV502" s="129"/>
      <c r="AW502" s="129"/>
      <c r="AX502" s="129"/>
      <c r="AY502" s="129"/>
      <c r="AZ502" s="129"/>
      <c r="BA502" s="129"/>
      <c r="BB502" s="129"/>
      <c r="BC502" s="129"/>
      <c r="BD502" s="129"/>
      <c r="BE502" s="129"/>
      <c r="BF502" s="144"/>
      <c r="BG502" s="129"/>
      <c r="BH502" s="129"/>
      <c r="BI502" s="129"/>
      <c r="BJ502" s="129"/>
      <c r="BK502" s="129"/>
      <c r="BL502" s="129"/>
      <c r="BM502" s="129"/>
      <c r="BN502" s="129"/>
      <c r="BO502" s="129"/>
      <c r="BP502" s="129"/>
      <c r="BQ502" s="129"/>
      <c r="BR502" s="129"/>
      <c r="BS502" s="129"/>
      <c r="BT502" s="129"/>
      <c r="BU502" s="129"/>
      <c r="BV502" s="129"/>
      <c r="BW502" s="129"/>
      <c r="BX502" s="129"/>
      <c r="BY502" s="129"/>
      <c r="BZ502" s="129"/>
      <c r="CA502" s="129"/>
      <c r="CB502" s="129"/>
      <c r="CC502" s="129"/>
      <c r="CD502" s="129"/>
    </row>
    <row r="503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29"/>
      <c r="AM503" s="129"/>
      <c r="AN503" s="144"/>
      <c r="AO503" s="129"/>
      <c r="AP503" s="129"/>
      <c r="AQ503" s="129"/>
      <c r="AR503" s="129"/>
      <c r="AS503" s="129"/>
      <c r="AT503" s="129"/>
      <c r="AU503" s="129"/>
      <c r="AV503" s="129"/>
      <c r="AW503" s="129"/>
      <c r="AX503" s="129"/>
      <c r="AY503" s="129"/>
      <c r="AZ503" s="129"/>
      <c r="BA503" s="129"/>
      <c r="BB503" s="129"/>
      <c r="BC503" s="129"/>
      <c r="BD503" s="129"/>
      <c r="BE503" s="129"/>
      <c r="BF503" s="144"/>
      <c r="BG503" s="129"/>
      <c r="BH503" s="129"/>
      <c r="BI503" s="129"/>
      <c r="BJ503" s="129"/>
      <c r="BK503" s="129"/>
      <c r="BL503" s="129"/>
      <c r="BM503" s="129"/>
      <c r="BN503" s="129"/>
      <c r="BO503" s="129"/>
      <c r="BP503" s="129"/>
      <c r="BQ503" s="129"/>
      <c r="BR503" s="129"/>
      <c r="BS503" s="129"/>
      <c r="BT503" s="129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</row>
    <row r="504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44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44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</row>
    <row r="505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44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44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</row>
    <row r="506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44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44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</row>
    <row r="507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44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44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</row>
    <row r="508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44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44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</row>
    <row r="509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44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44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</row>
    <row r="510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44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44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</row>
    <row r="51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44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44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</row>
    <row r="51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44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44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</row>
    <row r="513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44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44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</row>
    <row r="514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29"/>
      <c r="AM514" s="129"/>
      <c r="AN514" s="144"/>
      <c r="AO514" s="129"/>
      <c r="AP514" s="129"/>
      <c r="AQ514" s="129"/>
      <c r="AR514" s="129"/>
      <c r="AS514" s="129"/>
      <c r="AT514" s="129"/>
      <c r="AU514" s="129"/>
      <c r="AV514" s="129"/>
      <c r="AW514" s="129"/>
      <c r="AX514" s="129"/>
      <c r="AY514" s="129"/>
      <c r="AZ514" s="129"/>
      <c r="BA514" s="129"/>
      <c r="BB514" s="129"/>
      <c r="BC514" s="129"/>
      <c r="BD514" s="129"/>
      <c r="BE514" s="129"/>
      <c r="BF514" s="144"/>
      <c r="BG514" s="129"/>
      <c r="BH514" s="129"/>
      <c r="BI514" s="129"/>
      <c r="BJ514" s="129"/>
      <c r="BK514" s="129"/>
      <c r="BL514" s="129"/>
      <c r="BM514" s="129"/>
      <c r="BN514" s="129"/>
      <c r="BO514" s="129"/>
      <c r="BP514" s="129"/>
      <c r="BQ514" s="129"/>
      <c r="BR514" s="129"/>
      <c r="BS514" s="129"/>
      <c r="BT514" s="129"/>
      <c r="BU514" s="129"/>
      <c r="BV514" s="129"/>
      <c r="BW514" s="129"/>
      <c r="BX514" s="129"/>
      <c r="BY514" s="129"/>
      <c r="BZ514" s="129"/>
      <c r="CA514" s="129"/>
      <c r="CB514" s="129"/>
      <c r="CC514" s="129"/>
      <c r="CD514" s="129"/>
    </row>
    <row r="515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29"/>
      <c r="AM515" s="129"/>
      <c r="AN515" s="144"/>
      <c r="AO515" s="129"/>
      <c r="AP515" s="129"/>
      <c r="AQ515" s="129"/>
      <c r="AR515" s="129"/>
      <c r="AS515" s="129"/>
      <c r="AT515" s="129"/>
      <c r="AU515" s="129"/>
      <c r="AV515" s="129"/>
      <c r="AW515" s="129"/>
      <c r="AX515" s="129"/>
      <c r="AY515" s="129"/>
      <c r="AZ515" s="129"/>
      <c r="BA515" s="129"/>
      <c r="BB515" s="129"/>
      <c r="BC515" s="129"/>
      <c r="BD515" s="129"/>
      <c r="BE515" s="129"/>
      <c r="BF515" s="144"/>
      <c r="BG515" s="129"/>
      <c r="BH515" s="129"/>
      <c r="BI515" s="129"/>
      <c r="BJ515" s="129"/>
      <c r="BK515" s="129"/>
      <c r="BL515" s="129"/>
      <c r="BM515" s="129"/>
      <c r="BN515" s="129"/>
      <c r="BO515" s="129"/>
      <c r="BP515" s="129"/>
      <c r="BQ515" s="129"/>
      <c r="BR515" s="129"/>
      <c r="BS515" s="129"/>
      <c r="BT515" s="129"/>
      <c r="BU515" s="129"/>
      <c r="BV515" s="129"/>
      <c r="BW515" s="129"/>
      <c r="BX515" s="129"/>
      <c r="BY515" s="129"/>
      <c r="BZ515" s="129"/>
      <c r="CA515" s="129"/>
      <c r="CB515" s="129"/>
      <c r="CC515" s="129"/>
      <c r="CD515" s="129"/>
    </row>
    <row r="516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29"/>
      <c r="AM516" s="129"/>
      <c r="AN516" s="144"/>
      <c r="AO516" s="129"/>
      <c r="AP516" s="129"/>
      <c r="AQ516" s="129"/>
      <c r="AR516" s="129"/>
      <c r="AS516" s="129"/>
      <c r="AT516" s="129"/>
      <c r="AU516" s="129"/>
      <c r="AV516" s="129"/>
      <c r="AW516" s="129"/>
      <c r="AX516" s="129"/>
      <c r="AY516" s="129"/>
      <c r="AZ516" s="129"/>
      <c r="BA516" s="129"/>
      <c r="BB516" s="129"/>
      <c r="BC516" s="129"/>
      <c r="BD516" s="129"/>
      <c r="BE516" s="129"/>
      <c r="BF516" s="144"/>
      <c r="BG516" s="129"/>
      <c r="BH516" s="129"/>
      <c r="BI516" s="129"/>
      <c r="BJ516" s="129"/>
      <c r="BK516" s="129"/>
      <c r="BL516" s="129"/>
      <c r="BM516" s="129"/>
      <c r="BN516" s="129"/>
      <c r="BO516" s="129"/>
      <c r="BP516" s="129"/>
      <c r="BQ516" s="129"/>
      <c r="BR516" s="129"/>
      <c r="BS516" s="129"/>
      <c r="BT516" s="129"/>
      <c r="BU516" s="129"/>
      <c r="BV516" s="129"/>
      <c r="BW516" s="129"/>
      <c r="BX516" s="129"/>
      <c r="BY516" s="129"/>
      <c r="BZ516" s="129"/>
      <c r="CA516" s="129"/>
      <c r="CB516" s="129"/>
      <c r="CC516" s="129"/>
      <c r="CD516" s="129"/>
    </row>
    <row r="517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29"/>
      <c r="AM517" s="129"/>
      <c r="AN517" s="144"/>
      <c r="AO517" s="129"/>
      <c r="AP517" s="129"/>
      <c r="AQ517" s="129"/>
      <c r="AR517" s="129"/>
      <c r="AS517" s="129"/>
      <c r="AT517" s="129"/>
      <c r="AU517" s="129"/>
      <c r="AV517" s="129"/>
      <c r="AW517" s="129"/>
      <c r="AX517" s="129"/>
      <c r="AY517" s="129"/>
      <c r="AZ517" s="129"/>
      <c r="BA517" s="129"/>
      <c r="BB517" s="129"/>
      <c r="BC517" s="129"/>
      <c r="BD517" s="129"/>
      <c r="BE517" s="129"/>
      <c r="BF517" s="144"/>
      <c r="BG517" s="129"/>
      <c r="BH517" s="129"/>
      <c r="BI517" s="129"/>
      <c r="BJ517" s="129"/>
      <c r="BK517" s="129"/>
      <c r="BL517" s="129"/>
      <c r="BM517" s="129"/>
      <c r="BN517" s="129"/>
      <c r="BO517" s="129"/>
      <c r="BP517" s="129"/>
      <c r="BQ517" s="129"/>
      <c r="BR517" s="129"/>
      <c r="BS517" s="129"/>
      <c r="BT517" s="129"/>
      <c r="BU517" s="129"/>
      <c r="BV517" s="129"/>
      <c r="BW517" s="129"/>
      <c r="BX517" s="129"/>
      <c r="BY517" s="129"/>
      <c r="BZ517" s="129"/>
      <c r="CA517" s="129"/>
      <c r="CB517" s="129"/>
      <c r="CC517" s="129"/>
      <c r="CD517" s="129"/>
    </row>
    <row r="518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29"/>
      <c r="AM518" s="129"/>
      <c r="AN518" s="144"/>
      <c r="AO518" s="129"/>
      <c r="AP518" s="129"/>
      <c r="AQ518" s="129"/>
      <c r="AR518" s="129"/>
      <c r="AS518" s="129"/>
      <c r="AT518" s="129"/>
      <c r="AU518" s="129"/>
      <c r="AV518" s="129"/>
      <c r="AW518" s="129"/>
      <c r="AX518" s="129"/>
      <c r="AY518" s="129"/>
      <c r="AZ518" s="129"/>
      <c r="BA518" s="129"/>
      <c r="BB518" s="129"/>
      <c r="BC518" s="129"/>
      <c r="BD518" s="129"/>
      <c r="BE518" s="129"/>
      <c r="BF518" s="144"/>
      <c r="BG518" s="129"/>
      <c r="BH518" s="129"/>
      <c r="BI518" s="129"/>
      <c r="BJ518" s="129"/>
      <c r="BK518" s="129"/>
      <c r="BL518" s="129"/>
      <c r="BM518" s="129"/>
      <c r="BN518" s="129"/>
      <c r="BO518" s="129"/>
      <c r="BP518" s="129"/>
      <c r="BQ518" s="129"/>
      <c r="BR518" s="129"/>
      <c r="BS518" s="129"/>
      <c r="BT518" s="129"/>
      <c r="BU518" s="129"/>
      <c r="BV518" s="129"/>
      <c r="BW518" s="129"/>
      <c r="BX518" s="129"/>
      <c r="BY518" s="129"/>
      <c r="BZ518" s="129"/>
      <c r="CA518" s="129"/>
      <c r="CB518" s="129"/>
      <c r="CC518" s="129"/>
      <c r="CD518" s="129"/>
    </row>
    <row r="519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29"/>
      <c r="AM519" s="129"/>
      <c r="AN519" s="144"/>
      <c r="AO519" s="129"/>
      <c r="AP519" s="129"/>
      <c r="AQ519" s="129"/>
      <c r="AR519" s="129"/>
      <c r="AS519" s="129"/>
      <c r="AT519" s="129"/>
      <c r="AU519" s="129"/>
      <c r="AV519" s="129"/>
      <c r="AW519" s="129"/>
      <c r="AX519" s="129"/>
      <c r="AY519" s="129"/>
      <c r="AZ519" s="129"/>
      <c r="BA519" s="129"/>
      <c r="BB519" s="129"/>
      <c r="BC519" s="129"/>
      <c r="BD519" s="129"/>
      <c r="BE519" s="129"/>
      <c r="BF519" s="144"/>
      <c r="BG519" s="129"/>
      <c r="BH519" s="129"/>
      <c r="BI519" s="129"/>
      <c r="BJ519" s="129"/>
      <c r="BK519" s="129"/>
      <c r="BL519" s="129"/>
      <c r="BM519" s="129"/>
      <c r="BN519" s="129"/>
      <c r="BO519" s="129"/>
      <c r="BP519" s="129"/>
      <c r="BQ519" s="129"/>
      <c r="BR519" s="129"/>
      <c r="BS519" s="129"/>
      <c r="BT519" s="129"/>
      <c r="BU519" s="129"/>
      <c r="BV519" s="129"/>
      <c r="BW519" s="129"/>
      <c r="BX519" s="129"/>
      <c r="BY519" s="129"/>
      <c r="BZ519" s="129"/>
      <c r="CA519" s="129"/>
      <c r="CB519" s="129"/>
      <c r="CC519" s="129"/>
      <c r="CD519" s="129"/>
    </row>
    <row r="520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29"/>
      <c r="AM520" s="129"/>
      <c r="AN520" s="144"/>
      <c r="AO520" s="129"/>
      <c r="AP520" s="129"/>
      <c r="AQ520" s="129"/>
      <c r="AR520" s="129"/>
      <c r="AS520" s="129"/>
      <c r="AT520" s="129"/>
      <c r="AU520" s="129"/>
      <c r="AV520" s="129"/>
      <c r="AW520" s="129"/>
      <c r="AX520" s="129"/>
      <c r="AY520" s="129"/>
      <c r="AZ520" s="129"/>
      <c r="BA520" s="129"/>
      <c r="BB520" s="129"/>
      <c r="BC520" s="129"/>
      <c r="BD520" s="129"/>
      <c r="BE520" s="129"/>
      <c r="BF520" s="144"/>
      <c r="BG520" s="129"/>
      <c r="BH520" s="129"/>
      <c r="BI520" s="129"/>
      <c r="BJ520" s="129"/>
      <c r="BK520" s="129"/>
      <c r="BL520" s="129"/>
      <c r="BM520" s="129"/>
      <c r="BN520" s="129"/>
      <c r="BO520" s="129"/>
      <c r="BP520" s="129"/>
      <c r="BQ520" s="129"/>
      <c r="BR520" s="129"/>
      <c r="BS520" s="129"/>
      <c r="BT520" s="129"/>
      <c r="BU520" s="129"/>
      <c r="BV520" s="129"/>
      <c r="BW520" s="129"/>
      <c r="BX520" s="129"/>
      <c r="BY520" s="129"/>
      <c r="BZ520" s="129"/>
      <c r="CA520" s="129"/>
      <c r="CB520" s="129"/>
      <c r="CC520" s="129"/>
      <c r="CD520" s="129"/>
    </row>
    <row r="52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29"/>
      <c r="AM521" s="129"/>
      <c r="AN521" s="144"/>
      <c r="AO521" s="129"/>
      <c r="AP521" s="129"/>
      <c r="AQ521" s="129"/>
      <c r="AR521" s="129"/>
      <c r="AS521" s="129"/>
      <c r="AT521" s="129"/>
      <c r="AU521" s="129"/>
      <c r="AV521" s="129"/>
      <c r="AW521" s="129"/>
      <c r="AX521" s="129"/>
      <c r="AY521" s="129"/>
      <c r="AZ521" s="129"/>
      <c r="BA521" s="129"/>
      <c r="BB521" s="129"/>
      <c r="BC521" s="129"/>
      <c r="BD521" s="129"/>
      <c r="BE521" s="129"/>
      <c r="BF521" s="144"/>
      <c r="BG521" s="129"/>
      <c r="BH521" s="129"/>
      <c r="BI521" s="129"/>
      <c r="BJ521" s="129"/>
      <c r="BK521" s="129"/>
      <c r="BL521" s="129"/>
      <c r="BM521" s="129"/>
      <c r="BN521" s="129"/>
      <c r="BO521" s="129"/>
      <c r="BP521" s="129"/>
      <c r="BQ521" s="129"/>
      <c r="BR521" s="129"/>
      <c r="BS521" s="129"/>
      <c r="BT521" s="129"/>
      <c r="BU521" s="129"/>
      <c r="BV521" s="129"/>
      <c r="BW521" s="129"/>
      <c r="BX521" s="129"/>
      <c r="BY521" s="129"/>
      <c r="BZ521" s="129"/>
      <c r="CA521" s="129"/>
      <c r="CB521" s="129"/>
      <c r="CC521" s="129"/>
      <c r="CD521" s="129"/>
    </row>
    <row r="52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29"/>
      <c r="AM522" s="129"/>
      <c r="AN522" s="144"/>
      <c r="AO522" s="129"/>
      <c r="AP522" s="129"/>
      <c r="AQ522" s="129"/>
      <c r="AR522" s="129"/>
      <c r="AS522" s="129"/>
      <c r="AT522" s="129"/>
      <c r="AU522" s="129"/>
      <c r="AV522" s="129"/>
      <c r="AW522" s="129"/>
      <c r="AX522" s="129"/>
      <c r="AY522" s="129"/>
      <c r="AZ522" s="129"/>
      <c r="BA522" s="129"/>
      <c r="BB522" s="129"/>
      <c r="BC522" s="129"/>
      <c r="BD522" s="129"/>
      <c r="BE522" s="129"/>
      <c r="BF522" s="144"/>
      <c r="BG522" s="129"/>
      <c r="BH522" s="129"/>
      <c r="BI522" s="129"/>
      <c r="BJ522" s="129"/>
      <c r="BK522" s="129"/>
      <c r="BL522" s="129"/>
      <c r="BM522" s="129"/>
      <c r="BN522" s="129"/>
      <c r="BO522" s="129"/>
      <c r="BP522" s="129"/>
      <c r="BQ522" s="129"/>
      <c r="BR522" s="129"/>
      <c r="BS522" s="129"/>
      <c r="BT522" s="129"/>
      <c r="BU522" s="129"/>
      <c r="BV522" s="129"/>
      <c r="BW522" s="129"/>
      <c r="BX522" s="129"/>
      <c r="BY522" s="129"/>
      <c r="BZ522" s="129"/>
      <c r="CA522" s="129"/>
      <c r="CB522" s="129"/>
      <c r="CC522" s="129"/>
      <c r="CD522" s="129"/>
    </row>
    <row r="523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29"/>
      <c r="AM523" s="129"/>
      <c r="AN523" s="144"/>
      <c r="AO523" s="129"/>
      <c r="AP523" s="129"/>
      <c r="AQ523" s="129"/>
      <c r="AR523" s="129"/>
      <c r="AS523" s="129"/>
      <c r="AT523" s="129"/>
      <c r="AU523" s="129"/>
      <c r="AV523" s="129"/>
      <c r="AW523" s="129"/>
      <c r="AX523" s="129"/>
      <c r="AY523" s="129"/>
      <c r="AZ523" s="129"/>
      <c r="BA523" s="129"/>
      <c r="BB523" s="129"/>
      <c r="BC523" s="129"/>
      <c r="BD523" s="129"/>
      <c r="BE523" s="129"/>
      <c r="BF523" s="144"/>
      <c r="BG523" s="129"/>
      <c r="BH523" s="129"/>
      <c r="BI523" s="129"/>
      <c r="BJ523" s="129"/>
      <c r="BK523" s="129"/>
      <c r="BL523" s="129"/>
      <c r="BM523" s="129"/>
      <c r="BN523" s="129"/>
      <c r="BO523" s="129"/>
      <c r="BP523" s="129"/>
      <c r="BQ523" s="129"/>
      <c r="BR523" s="129"/>
      <c r="BS523" s="129"/>
      <c r="BT523" s="129"/>
      <c r="BU523" s="129"/>
      <c r="BV523" s="129"/>
      <c r="BW523" s="129"/>
      <c r="BX523" s="129"/>
      <c r="BY523" s="129"/>
      <c r="BZ523" s="129"/>
      <c r="CA523" s="129"/>
      <c r="CB523" s="129"/>
      <c r="CC523" s="129"/>
      <c r="CD523" s="129"/>
    </row>
    <row r="524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29"/>
      <c r="AM524" s="129"/>
      <c r="AN524" s="144"/>
      <c r="AO524" s="129"/>
      <c r="AP524" s="129"/>
      <c r="AQ524" s="129"/>
      <c r="AR524" s="129"/>
      <c r="AS524" s="129"/>
      <c r="AT524" s="129"/>
      <c r="AU524" s="129"/>
      <c r="AV524" s="129"/>
      <c r="AW524" s="129"/>
      <c r="AX524" s="129"/>
      <c r="AY524" s="129"/>
      <c r="AZ524" s="129"/>
      <c r="BA524" s="129"/>
      <c r="BB524" s="129"/>
      <c r="BC524" s="129"/>
      <c r="BD524" s="129"/>
      <c r="BE524" s="129"/>
      <c r="BF524" s="144"/>
      <c r="BG524" s="129"/>
      <c r="BH524" s="129"/>
      <c r="BI524" s="129"/>
      <c r="BJ524" s="129"/>
      <c r="BK524" s="129"/>
      <c r="BL524" s="129"/>
      <c r="BM524" s="129"/>
      <c r="BN524" s="129"/>
      <c r="BO524" s="129"/>
      <c r="BP524" s="129"/>
      <c r="BQ524" s="129"/>
      <c r="BR524" s="129"/>
      <c r="BS524" s="129"/>
      <c r="BT524" s="129"/>
      <c r="BU524" s="129"/>
      <c r="BV524" s="129"/>
      <c r="BW524" s="129"/>
      <c r="BX524" s="129"/>
      <c r="BY524" s="129"/>
      <c r="BZ524" s="129"/>
      <c r="CA524" s="129"/>
      <c r="CB524" s="129"/>
      <c r="CC524" s="129"/>
      <c r="CD524" s="129"/>
    </row>
    <row r="525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29"/>
      <c r="AM525" s="129"/>
      <c r="AN525" s="144"/>
      <c r="AO525" s="129"/>
      <c r="AP525" s="129"/>
      <c r="AQ525" s="129"/>
      <c r="AR525" s="129"/>
      <c r="AS525" s="129"/>
      <c r="AT525" s="129"/>
      <c r="AU525" s="129"/>
      <c r="AV525" s="129"/>
      <c r="AW525" s="129"/>
      <c r="AX525" s="129"/>
      <c r="AY525" s="129"/>
      <c r="AZ525" s="129"/>
      <c r="BA525" s="129"/>
      <c r="BB525" s="129"/>
      <c r="BC525" s="129"/>
      <c r="BD525" s="129"/>
      <c r="BE525" s="129"/>
      <c r="BF525" s="144"/>
      <c r="BG525" s="129"/>
      <c r="BH525" s="129"/>
      <c r="BI525" s="129"/>
      <c r="BJ525" s="129"/>
      <c r="BK525" s="129"/>
      <c r="BL525" s="129"/>
      <c r="BM525" s="129"/>
      <c r="BN525" s="129"/>
      <c r="BO525" s="129"/>
      <c r="BP525" s="129"/>
      <c r="BQ525" s="129"/>
      <c r="BR525" s="129"/>
      <c r="BS525" s="129"/>
      <c r="BT525" s="129"/>
      <c r="BU525" s="129"/>
      <c r="BV525" s="129"/>
      <c r="BW525" s="129"/>
      <c r="BX525" s="129"/>
      <c r="BY525" s="129"/>
      <c r="BZ525" s="129"/>
      <c r="CA525" s="129"/>
      <c r="CB525" s="129"/>
      <c r="CC525" s="129"/>
      <c r="CD525" s="129"/>
    </row>
    <row r="526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29"/>
      <c r="AM526" s="129"/>
      <c r="AN526" s="144"/>
      <c r="AO526" s="129"/>
      <c r="AP526" s="129"/>
      <c r="AQ526" s="129"/>
      <c r="AR526" s="129"/>
      <c r="AS526" s="129"/>
      <c r="AT526" s="129"/>
      <c r="AU526" s="129"/>
      <c r="AV526" s="129"/>
      <c r="AW526" s="129"/>
      <c r="AX526" s="129"/>
      <c r="AY526" s="129"/>
      <c r="AZ526" s="129"/>
      <c r="BA526" s="129"/>
      <c r="BB526" s="129"/>
      <c r="BC526" s="129"/>
      <c r="BD526" s="129"/>
      <c r="BE526" s="129"/>
      <c r="BF526" s="144"/>
      <c r="BG526" s="129"/>
      <c r="BH526" s="129"/>
      <c r="BI526" s="129"/>
      <c r="BJ526" s="129"/>
      <c r="BK526" s="129"/>
      <c r="BL526" s="129"/>
      <c r="BM526" s="129"/>
      <c r="BN526" s="129"/>
      <c r="BO526" s="129"/>
      <c r="BP526" s="129"/>
      <c r="BQ526" s="129"/>
      <c r="BR526" s="129"/>
      <c r="BS526" s="129"/>
      <c r="BT526" s="129"/>
      <c r="BU526" s="129"/>
      <c r="BV526" s="129"/>
      <c r="BW526" s="129"/>
      <c r="BX526" s="129"/>
      <c r="BY526" s="129"/>
      <c r="BZ526" s="129"/>
      <c r="CA526" s="129"/>
      <c r="CB526" s="129"/>
      <c r="CC526" s="129"/>
      <c r="CD526" s="129"/>
    </row>
    <row r="527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29"/>
      <c r="AM527" s="129"/>
      <c r="AN527" s="144"/>
      <c r="AO527" s="129"/>
      <c r="AP527" s="129"/>
      <c r="AQ527" s="129"/>
      <c r="AR527" s="129"/>
      <c r="AS527" s="129"/>
      <c r="AT527" s="129"/>
      <c r="AU527" s="129"/>
      <c r="AV527" s="129"/>
      <c r="AW527" s="129"/>
      <c r="AX527" s="129"/>
      <c r="AY527" s="129"/>
      <c r="AZ527" s="129"/>
      <c r="BA527" s="129"/>
      <c r="BB527" s="129"/>
      <c r="BC527" s="129"/>
      <c r="BD527" s="129"/>
      <c r="BE527" s="129"/>
      <c r="BF527" s="144"/>
      <c r="BG527" s="129"/>
      <c r="BH527" s="129"/>
      <c r="BI527" s="129"/>
      <c r="BJ527" s="129"/>
      <c r="BK527" s="129"/>
      <c r="BL527" s="129"/>
      <c r="BM527" s="129"/>
      <c r="BN527" s="129"/>
      <c r="BO527" s="129"/>
      <c r="BP527" s="129"/>
      <c r="BQ527" s="129"/>
      <c r="BR527" s="129"/>
      <c r="BS527" s="129"/>
      <c r="BT527" s="129"/>
      <c r="BU527" s="129"/>
      <c r="BV527" s="129"/>
      <c r="BW527" s="129"/>
      <c r="BX527" s="129"/>
      <c r="BY527" s="129"/>
      <c r="BZ527" s="129"/>
      <c r="CA527" s="129"/>
      <c r="CB527" s="129"/>
      <c r="CC527" s="129"/>
      <c r="CD527" s="129"/>
    </row>
    <row r="528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29"/>
      <c r="AM528" s="129"/>
      <c r="AN528" s="144"/>
      <c r="AO528" s="129"/>
      <c r="AP528" s="129"/>
      <c r="AQ528" s="129"/>
      <c r="AR528" s="129"/>
      <c r="AS528" s="129"/>
      <c r="AT528" s="129"/>
      <c r="AU528" s="129"/>
      <c r="AV528" s="129"/>
      <c r="AW528" s="129"/>
      <c r="AX528" s="129"/>
      <c r="AY528" s="129"/>
      <c r="AZ528" s="129"/>
      <c r="BA528" s="129"/>
      <c r="BB528" s="129"/>
      <c r="BC528" s="129"/>
      <c r="BD528" s="129"/>
      <c r="BE528" s="129"/>
      <c r="BF528" s="144"/>
      <c r="BG528" s="129"/>
      <c r="BH528" s="129"/>
      <c r="BI528" s="129"/>
      <c r="BJ528" s="129"/>
      <c r="BK528" s="129"/>
      <c r="BL528" s="129"/>
      <c r="BM528" s="129"/>
      <c r="BN528" s="129"/>
      <c r="BO528" s="129"/>
      <c r="BP528" s="129"/>
      <c r="BQ528" s="129"/>
      <c r="BR528" s="129"/>
      <c r="BS528" s="129"/>
      <c r="BT528" s="129"/>
      <c r="BU528" s="129"/>
      <c r="BV528" s="129"/>
      <c r="BW528" s="129"/>
      <c r="BX528" s="129"/>
      <c r="BY528" s="129"/>
      <c r="BZ528" s="129"/>
      <c r="CA528" s="129"/>
      <c r="CB528" s="129"/>
      <c r="CC528" s="129"/>
      <c r="CD528" s="129"/>
    </row>
    <row r="529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29"/>
      <c r="AM529" s="129"/>
      <c r="AN529" s="144"/>
      <c r="AO529" s="129"/>
      <c r="AP529" s="129"/>
      <c r="AQ529" s="129"/>
      <c r="AR529" s="129"/>
      <c r="AS529" s="129"/>
      <c r="AT529" s="129"/>
      <c r="AU529" s="129"/>
      <c r="AV529" s="129"/>
      <c r="AW529" s="129"/>
      <c r="AX529" s="129"/>
      <c r="AY529" s="129"/>
      <c r="AZ529" s="129"/>
      <c r="BA529" s="129"/>
      <c r="BB529" s="129"/>
      <c r="BC529" s="129"/>
      <c r="BD529" s="129"/>
      <c r="BE529" s="129"/>
      <c r="BF529" s="144"/>
      <c r="BG529" s="129"/>
      <c r="BH529" s="129"/>
      <c r="BI529" s="129"/>
      <c r="BJ529" s="129"/>
      <c r="BK529" s="129"/>
      <c r="BL529" s="129"/>
      <c r="BM529" s="129"/>
      <c r="BN529" s="129"/>
      <c r="BO529" s="129"/>
      <c r="BP529" s="129"/>
      <c r="BQ529" s="129"/>
      <c r="BR529" s="129"/>
      <c r="BS529" s="129"/>
      <c r="BT529" s="129"/>
      <c r="BU529" s="129"/>
      <c r="BV529" s="129"/>
      <c r="BW529" s="129"/>
      <c r="BX529" s="129"/>
      <c r="BY529" s="129"/>
      <c r="BZ529" s="129"/>
      <c r="CA529" s="129"/>
      <c r="CB529" s="129"/>
      <c r="CC529" s="129"/>
      <c r="CD529" s="129"/>
    </row>
    <row r="530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29"/>
      <c r="AM530" s="129"/>
      <c r="AN530" s="144"/>
      <c r="AO530" s="129"/>
      <c r="AP530" s="129"/>
      <c r="AQ530" s="129"/>
      <c r="AR530" s="129"/>
      <c r="AS530" s="129"/>
      <c r="AT530" s="129"/>
      <c r="AU530" s="129"/>
      <c r="AV530" s="129"/>
      <c r="AW530" s="129"/>
      <c r="AX530" s="129"/>
      <c r="AY530" s="129"/>
      <c r="AZ530" s="129"/>
      <c r="BA530" s="129"/>
      <c r="BB530" s="129"/>
      <c r="BC530" s="129"/>
      <c r="BD530" s="129"/>
      <c r="BE530" s="129"/>
      <c r="BF530" s="144"/>
      <c r="BG530" s="129"/>
      <c r="BH530" s="129"/>
      <c r="BI530" s="129"/>
      <c r="BJ530" s="129"/>
      <c r="BK530" s="129"/>
      <c r="BL530" s="129"/>
      <c r="BM530" s="129"/>
      <c r="BN530" s="129"/>
      <c r="BO530" s="129"/>
      <c r="BP530" s="129"/>
      <c r="BQ530" s="129"/>
      <c r="BR530" s="129"/>
      <c r="BS530" s="129"/>
      <c r="BT530" s="129"/>
      <c r="BU530" s="129"/>
      <c r="BV530" s="129"/>
      <c r="BW530" s="129"/>
      <c r="BX530" s="129"/>
      <c r="BY530" s="129"/>
      <c r="BZ530" s="129"/>
      <c r="CA530" s="129"/>
      <c r="CB530" s="129"/>
      <c r="CC530" s="129"/>
      <c r="CD530" s="129"/>
    </row>
    <row r="53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129"/>
      <c r="AN531" s="144"/>
      <c r="AO531" s="129"/>
      <c r="AP531" s="129"/>
      <c r="AQ531" s="129"/>
      <c r="AR531" s="129"/>
      <c r="AS531" s="129"/>
      <c r="AT531" s="129"/>
      <c r="AU531" s="129"/>
      <c r="AV531" s="129"/>
      <c r="AW531" s="129"/>
      <c r="AX531" s="129"/>
      <c r="AY531" s="129"/>
      <c r="AZ531" s="129"/>
      <c r="BA531" s="129"/>
      <c r="BB531" s="129"/>
      <c r="BC531" s="129"/>
      <c r="BD531" s="129"/>
      <c r="BE531" s="129"/>
      <c r="BF531" s="144"/>
      <c r="BG531" s="129"/>
      <c r="BH531" s="129"/>
      <c r="BI531" s="129"/>
      <c r="BJ531" s="129"/>
      <c r="BK531" s="129"/>
      <c r="BL531" s="129"/>
      <c r="BM531" s="129"/>
      <c r="BN531" s="129"/>
      <c r="BO531" s="129"/>
      <c r="BP531" s="129"/>
      <c r="BQ531" s="129"/>
      <c r="BR531" s="129"/>
      <c r="BS531" s="129"/>
      <c r="BT531" s="129"/>
      <c r="BU531" s="129"/>
      <c r="BV531" s="129"/>
      <c r="BW531" s="129"/>
      <c r="BX531" s="129"/>
      <c r="BY531" s="129"/>
      <c r="BZ531" s="129"/>
      <c r="CA531" s="129"/>
      <c r="CB531" s="129"/>
      <c r="CC531" s="129"/>
      <c r="CD531" s="129"/>
    </row>
    <row r="53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29"/>
      <c r="AM532" s="129"/>
      <c r="AN532" s="144"/>
      <c r="AO532" s="129"/>
      <c r="AP532" s="129"/>
      <c r="AQ532" s="129"/>
      <c r="AR532" s="129"/>
      <c r="AS532" s="129"/>
      <c r="AT532" s="129"/>
      <c r="AU532" s="129"/>
      <c r="AV532" s="129"/>
      <c r="AW532" s="129"/>
      <c r="AX532" s="129"/>
      <c r="AY532" s="129"/>
      <c r="AZ532" s="129"/>
      <c r="BA532" s="129"/>
      <c r="BB532" s="129"/>
      <c r="BC532" s="129"/>
      <c r="BD532" s="129"/>
      <c r="BE532" s="129"/>
      <c r="BF532" s="144"/>
      <c r="BG532" s="129"/>
      <c r="BH532" s="129"/>
      <c r="BI532" s="129"/>
      <c r="BJ532" s="129"/>
      <c r="BK532" s="129"/>
      <c r="BL532" s="129"/>
      <c r="BM532" s="129"/>
      <c r="BN532" s="129"/>
      <c r="BO532" s="129"/>
      <c r="BP532" s="129"/>
      <c r="BQ532" s="129"/>
      <c r="BR532" s="129"/>
      <c r="BS532" s="129"/>
      <c r="BT532" s="129"/>
      <c r="BU532" s="129"/>
      <c r="BV532" s="129"/>
      <c r="BW532" s="129"/>
      <c r="BX532" s="129"/>
      <c r="BY532" s="129"/>
      <c r="BZ532" s="129"/>
      <c r="CA532" s="129"/>
      <c r="CB532" s="129"/>
      <c r="CC532" s="129"/>
      <c r="CD532" s="129"/>
    </row>
    <row r="533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29"/>
      <c r="AM533" s="129"/>
      <c r="AN533" s="144"/>
      <c r="AO533" s="129"/>
      <c r="AP533" s="129"/>
      <c r="AQ533" s="129"/>
      <c r="AR533" s="129"/>
      <c r="AS533" s="129"/>
      <c r="AT533" s="129"/>
      <c r="AU533" s="129"/>
      <c r="AV533" s="129"/>
      <c r="AW533" s="129"/>
      <c r="AX533" s="129"/>
      <c r="AY533" s="129"/>
      <c r="AZ533" s="129"/>
      <c r="BA533" s="129"/>
      <c r="BB533" s="129"/>
      <c r="BC533" s="129"/>
      <c r="BD533" s="129"/>
      <c r="BE533" s="129"/>
      <c r="BF533" s="144"/>
      <c r="BG533" s="129"/>
      <c r="BH533" s="129"/>
      <c r="BI533" s="129"/>
      <c r="BJ533" s="129"/>
      <c r="BK533" s="129"/>
      <c r="BL533" s="129"/>
      <c r="BM533" s="129"/>
      <c r="BN533" s="129"/>
      <c r="BO533" s="129"/>
      <c r="BP533" s="129"/>
      <c r="BQ533" s="129"/>
      <c r="BR533" s="129"/>
      <c r="BS533" s="129"/>
      <c r="BT533" s="129"/>
      <c r="BU533" s="129"/>
      <c r="BV533" s="129"/>
      <c r="BW533" s="129"/>
      <c r="BX533" s="129"/>
      <c r="BY533" s="129"/>
      <c r="BZ533" s="129"/>
      <c r="CA533" s="129"/>
      <c r="CB533" s="129"/>
      <c r="CC533" s="129"/>
      <c r="CD533" s="129"/>
    </row>
    <row r="534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29"/>
      <c r="AM534" s="129"/>
      <c r="AN534" s="144"/>
      <c r="AO534" s="129"/>
      <c r="AP534" s="129"/>
      <c r="AQ534" s="129"/>
      <c r="AR534" s="129"/>
      <c r="AS534" s="129"/>
      <c r="AT534" s="129"/>
      <c r="AU534" s="129"/>
      <c r="AV534" s="129"/>
      <c r="AW534" s="129"/>
      <c r="AX534" s="129"/>
      <c r="AY534" s="129"/>
      <c r="AZ534" s="129"/>
      <c r="BA534" s="129"/>
      <c r="BB534" s="129"/>
      <c r="BC534" s="129"/>
      <c r="BD534" s="129"/>
      <c r="BE534" s="129"/>
      <c r="BF534" s="144"/>
      <c r="BG534" s="129"/>
      <c r="BH534" s="129"/>
      <c r="BI534" s="129"/>
      <c r="BJ534" s="129"/>
      <c r="BK534" s="129"/>
      <c r="BL534" s="129"/>
      <c r="BM534" s="129"/>
      <c r="BN534" s="129"/>
      <c r="BO534" s="129"/>
      <c r="BP534" s="129"/>
      <c r="BQ534" s="129"/>
      <c r="BR534" s="129"/>
      <c r="BS534" s="129"/>
      <c r="BT534" s="129"/>
      <c r="BU534" s="129"/>
      <c r="BV534" s="129"/>
      <c r="BW534" s="129"/>
      <c r="BX534" s="129"/>
      <c r="BY534" s="129"/>
      <c r="BZ534" s="129"/>
      <c r="CA534" s="129"/>
      <c r="CB534" s="129"/>
      <c r="CC534" s="129"/>
      <c r="CD534" s="129"/>
    </row>
    <row r="535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29"/>
      <c r="AM535" s="129"/>
      <c r="AN535" s="144"/>
      <c r="AO535" s="129"/>
      <c r="AP535" s="129"/>
      <c r="AQ535" s="129"/>
      <c r="AR535" s="129"/>
      <c r="AS535" s="129"/>
      <c r="AT535" s="129"/>
      <c r="AU535" s="129"/>
      <c r="AV535" s="129"/>
      <c r="AW535" s="129"/>
      <c r="AX535" s="129"/>
      <c r="AY535" s="129"/>
      <c r="AZ535" s="129"/>
      <c r="BA535" s="129"/>
      <c r="BB535" s="129"/>
      <c r="BC535" s="129"/>
      <c r="BD535" s="129"/>
      <c r="BE535" s="129"/>
      <c r="BF535" s="144"/>
      <c r="BG535" s="129"/>
      <c r="BH535" s="129"/>
      <c r="BI535" s="129"/>
      <c r="BJ535" s="129"/>
      <c r="BK535" s="129"/>
      <c r="BL535" s="129"/>
      <c r="BM535" s="129"/>
      <c r="BN535" s="129"/>
      <c r="BO535" s="129"/>
      <c r="BP535" s="129"/>
      <c r="BQ535" s="129"/>
      <c r="BR535" s="129"/>
      <c r="BS535" s="129"/>
      <c r="BT535" s="129"/>
      <c r="BU535" s="129"/>
      <c r="BV535" s="129"/>
      <c r="BW535" s="129"/>
      <c r="BX535" s="129"/>
      <c r="BY535" s="129"/>
      <c r="BZ535" s="129"/>
      <c r="CA535" s="129"/>
      <c r="CB535" s="129"/>
      <c r="CC535" s="129"/>
      <c r="CD535" s="129"/>
    </row>
    <row r="536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29"/>
      <c r="AM536" s="129"/>
      <c r="AN536" s="144"/>
      <c r="AO536" s="129"/>
      <c r="AP536" s="129"/>
      <c r="AQ536" s="129"/>
      <c r="AR536" s="129"/>
      <c r="AS536" s="129"/>
      <c r="AT536" s="129"/>
      <c r="AU536" s="129"/>
      <c r="AV536" s="129"/>
      <c r="AW536" s="129"/>
      <c r="AX536" s="129"/>
      <c r="AY536" s="129"/>
      <c r="AZ536" s="129"/>
      <c r="BA536" s="129"/>
      <c r="BB536" s="129"/>
      <c r="BC536" s="129"/>
      <c r="BD536" s="129"/>
      <c r="BE536" s="129"/>
      <c r="BF536" s="144"/>
      <c r="BG536" s="129"/>
      <c r="BH536" s="129"/>
      <c r="BI536" s="129"/>
      <c r="BJ536" s="129"/>
      <c r="BK536" s="129"/>
      <c r="BL536" s="129"/>
      <c r="BM536" s="129"/>
      <c r="BN536" s="129"/>
      <c r="BO536" s="129"/>
      <c r="BP536" s="129"/>
      <c r="BQ536" s="129"/>
      <c r="BR536" s="129"/>
      <c r="BS536" s="129"/>
      <c r="BT536" s="129"/>
      <c r="BU536" s="129"/>
      <c r="BV536" s="129"/>
      <c r="BW536" s="129"/>
      <c r="BX536" s="129"/>
      <c r="BY536" s="129"/>
      <c r="BZ536" s="129"/>
      <c r="CA536" s="129"/>
      <c r="CB536" s="129"/>
      <c r="CC536" s="129"/>
      <c r="CD536" s="129"/>
    </row>
    <row r="537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29"/>
      <c r="AM537" s="129"/>
      <c r="AN537" s="144"/>
      <c r="AO537" s="129"/>
      <c r="AP537" s="129"/>
      <c r="AQ537" s="129"/>
      <c r="AR537" s="129"/>
      <c r="AS537" s="129"/>
      <c r="AT537" s="129"/>
      <c r="AU537" s="129"/>
      <c r="AV537" s="129"/>
      <c r="AW537" s="129"/>
      <c r="AX537" s="129"/>
      <c r="AY537" s="129"/>
      <c r="AZ537" s="129"/>
      <c r="BA537" s="129"/>
      <c r="BB537" s="129"/>
      <c r="BC537" s="129"/>
      <c r="BD537" s="129"/>
      <c r="BE537" s="129"/>
      <c r="BF537" s="144"/>
      <c r="BG537" s="129"/>
      <c r="BH537" s="129"/>
      <c r="BI537" s="129"/>
      <c r="BJ537" s="129"/>
      <c r="BK537" s="129"/>
      <c r="BL537" s="129"/>
      <c r="BM537" s="129"/>
      <c r="BN537" s="129"/>
      <c r="BO537" s="129"/>
      <c r="BP537" s="129"/>
      <c r="BQ537" s="129"/>
      <c r="BR537" s="129"/>
      <c r="BS537" s="129"/>
      <c r="BT537" s="129"/>
      <c r="BU537" s="129"/>
      <c r="BV537" s="129"/>
      <c r="BW537" s="129"/>
      <c r="BX537" s="129"/>
      <c r="BY537" s="129"/>
      <c r="BZ537" s="129"/>
      <c r="CA537" s="129"/>
      <c r="CB537" s="129"/>
      <c r="CC537" s="129"/>
      <c r="CD537" s="129"/>
    </row>
    <row r="538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44"/>
      <c r="AO538" s="129"/>
      <c r="AP538" s="129"/>
      <c r="AQ538" s="129"/>
      <c r="AR538" s="129"/>
      <c r="AS538" s="129"/>
      <c r="AT538" s="129"/>
      <c r="AU538" s="129"/>
      <c r="AV538" s="129"/>
      <c r="AW538" s="129"/>
      <c r="AX538" s="129"/>
      <c r="AY538" s="129"/>
      <c r="AZ538" s="129"/>
      <c r="BA538" s="129"/>
      <c r="BB538" s="129"/>
      <c r="BC538" s="129"/>
      <c r="BD538" s="129"/>
      <c r="BE538" s="129"/>
      <c r="BF538" s="144"/>
      <c r="BG538" s="129"/>
      <c r="BH538" s="129"/>
      <c r="BI538" s="129"/>
      <c r="BJ538" s="129"/>
      <c r="BK538" s="129"/>
      <c r="BL538" s="129"/>
      <c r="BM538" s="129"/>
      <c r="BN538" s="129"/>
      <c r="BO538" s="129"/>
      <c r="BP538" s="129"/>
      <c r="BQ538" s="129"/>
      <c r="BR538" s="129"/>
      <c r="BS538" s="129"/>
      <c r="BT538" s="129"/>
      <c r="BU538" s="129"/>
      <c r="BV538" s="129"/>
      <c r="BW538" s="129"/>
      <c r="BX538" s="129"/>
      <c r="BY538" s="129"/>
      <c r="BZ538" s="129"/>
      <c r="CA538" s="129"/>
      <c r="CB538" s="129"/>
      <c r="CC538" s="129"/>
      <c r="CD538" s="129"/>
    </row>
    <row r="539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44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44"/>
      <c r="BG539" s="129"/>
      <c r="BH539" s="129"/>
      <c r="BI539" s="129"/>
      <c r="BJ539" s="129"/>
      <c r="BK539" s="129"/>
      <c r="BL539" s="129"/>
      <c r="BM539" s="129"/>
      <c r="BN539" s="129"/>
      <c r="BO539" s="129"/>
      <c r="BP539" s="129"/>
      <c r="BQ539" s="129"/>
      <c r="BR539" s="129"/>
      <c r="BS539" s="129"/>
      <c r="BT539" s="129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</row>
    <row r="540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29"/>
      <c r="AM540" s="129"/>
      <c r="AN540" s="144"/>
      <c r="AO540" s="129"/>
      <c r="AP540" s="129"/>
      <c r="AQ540" s="129"/>
      <c r="AR540" s="129"/>
      <c r="AS540" s="129"/>
      <c r="AT540" s="129"/>
      <c r="AU540" s="129"/>
      <c r="AV540" s="129"/>
      <c r="AW540" s="129"/>
      <c r="AX540" s="129"/>
      <c r="AY540" s="129"/>
      <c r="AZ540" s="129"/>
      <c r="BA540" s="129"/>
      <c r="BB540" s="129"/>
      <c r="BC540" s="129"/>
      <c r="BD540" s="129"/>
      <c r="BE540" s="129"/>
      <c r="BF540" s="144"/>
      <c r="BG540" s="129"/>
      <c r="BH540" s="129"/>
      <c r="BI540" s="129"/>
      <c r="BJ540" s="129"/>
      <c r="BK540" s="129"/>
      <c r="BL540" s="129"/>
      <c r="BM540" s="129"/>
      <c r="BN540" s="129"/>
      <c r="BO540" s="129"/>
      <c r="BP540" s="129"/>
      <c r="BQ540" s="129"/>
      <c r="BR540" s="129"/>
      <c r="BS540" s="129"/>
      <c r="BT540" s="129"/>
      <c r="BU540" s="129"/>
      <c r="BV540" s="129"/>
      <c r="BW540" s="129"/>
      <c r="BX540" s="129"/>
      <c r="BY540" s="129"/>
      <c r="BZ540" s="129"/>
      <c r="CA540" s="129"/>
      <c r="CB540" s="129"/>
      <c r="CC540" s="129"/>
      <c r="CD540" s="129"/>
    </row>
    <row r="54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29"/>
      <c r="AM541" s="129"/>
      <c r="AN541" s="144"/>
      <c r="AO541" s="129"/>
      <c r="AP541" s="129"/>
      <c r="AQ541" s="129"/>
      <c r="AR541" s="129"/>
      <c r="AS541" s="129"/>
      <c r="AT541" s="129"/>
      <c r="AU541" s="129"/>
      <c r="AV541" s="129"/>
      <c r="AW541" s="129"/>
      <c r="AX541" s="129"/>
      <c r="AY541" s="129"/>
      <c r="AZ541" s="129"/>
      <c r="BA541" s="129"/>
      <c r="BB541" s="129"/>
      <c r="BC541" s="129"/>
      <c r="BD541" s="129"/>
      <c r="BE541" s="129"/>
      <c r="BF541" s="144"/>
      <c r="BG541" s="129"/>
      <c r="BH541" s="129"/>
      <c r="BI541" s="129"/>
      <c r="BJ541" s="129"/>
      <c r="BK541" s="129"/>
      <c r="BL541" s="129"/>
      <c r="BM541" s="129"/>
      <c r="BN541" s="129"/>
      <c r="BO541" s="129"/>
      <c r="BP541" s="129"/>
      <c r="BQ541" s="129"/>
      <c r="BR541" s="129"/>
      <c r="BS541" s="129"/>
      <c r="BT541" s="129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</row>
    <row r="54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44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44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</row>
    <row r="543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44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44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</row>
    <row r="544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44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44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</row>
    <row r="545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44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44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</row>
    <row r="546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44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44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</row>
    <row r="547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44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44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</row>
    <row r="548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44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44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</row>
    <row r="549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44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44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</row>
    <row r="550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44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44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</row>
    <row r="55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44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44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</row>
    <row r="55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29"/>
      <c r="AM552" s="129"/>
      <c r="AN552" s="144"/>
      <c r="AO552" s="129"/>
      <c r="AP552" s="129"/>
      <c r="AQ552" s="129"/>
      <c r="AR552" s="129"/>
      <c r="AS552" s="129"/>
      <c r="AT552" s="129"/>
      <c r="AU552" s="129"/>
      <c r="AV552" s="129"/>
      <c r="AW552" s="129"/>
      <c r="AX552" s="129"/>
      <c r="AY552" s="129"/>
      <c r="AZ552" s="129"/>
      <c r="BA552" s="129"/>
      <c r="BB552" s="129"/>
      <c r="BC552" s="129"/>
      <c r="BD552" s="129"/>
      <c r="BE552" s="129"/>
      <c r="BF552" s="144"/>
      <c r="BG552" s="129"/>
      <c r="BH552" s="129"/>
      <c r="BI552" s="129"/>
      <c r="BJ552" s="129"/>
      <c r="BK552" s="129"/>
      <c r="BL552" s="129"/>
      <c r="BM552" s="129"/>
      <c r="BN552" s="129"/>
      <c r="BO552" s="129"/>
      <c r="BP552" s="129"/>
      <c r="BQ552" s="129"/>
      <c r="BR552" s="129"/>
      <c r="BS552" s="129"/>
      <c r="BT552" s="129"/>
      <c r="BU552" s="129"/>
      <c r="BV552" s="129"/>
      <c r="BW552" s="129"/>
      <c r="BX552" s="129"/>
      <c r="BY552" s="129"/>
      <c r="BZ552" s="129"/>
      <c r="CA552" s="129"/>
      <c r="CB552" s="129"/>
      <c r="CC552" s="129"/>
      <c r="CD552" s="129"/>
    </row>
    <row r="553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29"/>
      <c r="AM553" s="129"/>
      <c r="AN553" s="144"/>
      <c r="AO553" s="129"/>
      <c r="AP553" s="129"/>
      <c r="AQ553" s="129"/>
      <c r="AR553" s="129"/>
      <c r="AS553" s="129"/>
      <c r="AT553" s="129"/>
      <c r="AU553" s="129"/>
      <c r="AV553" s="129"/>
      <c r="AW553" s="129"/>
      <c r="AX553" s="129"/>
      <c r="AY553" s="129"/>
      <c r="AZ553" s="129"/>
      <c r="BA553" s="129"/>
      <c r="BB553" s="129"/>
      <c r="BC553" s="129"/>
      <c r="BD553" s="129"/>
      <c r="BE553" s="129"/>
      <c r="BF553" s="144"/>
      <c r="BG553" s="129"/>
      <c r="BH553" s="129"/>
      <c r="BI553" s="129"/>
      <c r="BJ553" s="129"/>
      <c r="BK553" s="129"/>
      <c r="BL553" s="129"/>
      <c r="BM553" s="129"/>
      <c r="BN553" s="129"/>
      <c r="BO553" s="129"/>
      <c r="BP553" s="129"/>
      <c r="BQ553" s="129"/>
      <c r="BR553" s="129"/>
      <c r="BS553" s="129"/>
      <c r="BT553" s="129"/>
      <c r="BU553" s="129"/>
      <c r="BV553" s="129"/>
      <c r="BW553" s="129"/>
      <c r="BX553" s="129"/>
      <c r="BY553" s="129"/>
      <c r="BZ553" s="129"/>
      <c r="CA553" s="129"/>
      <c r="CB553" s="129"/>
      <c r="CC553" s="129"/>
      <c r="CD553" s="129"/>
    </row>
    <row r="554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29"/>
      <c r="AM554" s="129"/>
      <c r="AN554" s="144"/>
      <c r="AO554" s="129"/>
      <c r="AP554" s="129"/>
      <c r="AQ554" s="129"/>
      <c r="AR554" s="129"/>
      <c r="AS554" s="129"/>
      <c r="AT554" s="129"/>
      <c r="AU554" s="129"/>
      <c r="AV554" s="129"/>
      <c r="AW554" s="129"/>
      <c r="AX554" s="129"/>
      <c r="AY554" s="129"/>
      <c r="AZ554" s="129"/>
      <c r="BA554" s="129"/>
      <c r="BB554" s="129"/>
      <c r="BC554" s="129"/>
      <c r="BD554" s="129"/>
      <c r="BE554" s="129"/>
      <c r="BF554" s="144"/>
      <c r="BG554" s="129"/>
      <c r="BH554" s="129"/>
      <c r="BI554" s="129"/>
      <c r="BJ554" s="129"/>
      <c r="BK554" s="129"/>
      <c r="BL554" s="129"/>
      <c r="BM554" s="129"/>
      <c r="BN554" s="129"/>
      <c r="BO554" s="129"/>
      <c r="BP554" s="129"/>
      <c r="BQ554" s="129"/>
      <c r="BR554" s="129"/>
      <c r="BS554" s="129"/>
      <c r="BT554" s="129"/>
      <c r="BU554" s="129"/>
      <c r="BV554" s="129"/>
      <c r="BW554" s="129"/>
      <c r="BX554" s="129"/>
      <c r="BY554" s="129"/>
      <c r="BZ554" s="129"/>
      <c r="CA554" s="129"/>
      <c r="CB554" s="129"/>
      <c r="CC554" s="129"/>
      <c r="CD554" s="129"/>
    </row>
    <row r="555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29"/>
      <c r="AM555" s="129"/>
      <c r="AN555" s="144"/>
      <c r="AO555" s="129"/>
      <c r="AP555" s="129"/>
      <c r="AQ555" s="129"/>
      <c r="AR555" s="129"/>
      <c r="AS555" s="129"/>
      <c r="AT555" s="129"/>
      <c r="AU555" s="129"/>
      <c r="AV555" s="129"/>
      <c r="AW555" s="129"/>
      <c r="AX555" s="129"/>
      <c r="AY555" s="129"/>
      <c r="AZ555" s="129"/>
      <c r="BA555" s="129"/>
      <c r="BB555" s="129"/>
      <c r="BC555" s="129"/>
      <c r="BD555" s="129"/>
      <c r="BE555" s="129"/>
      <c r="BF555" s="144"/>
      <c r="BG555" s="129"/>
      <c r="BH555" s="129"/>
      <c r="BI555" s="129"/>
      <c r="BJ555" s="129"/>
      <c r="BK555" s="129"/>
      <c r="BL555" s="129"/>
      <c r="BM555" s="129"/>
      <c r="BN555" s="129"/>
      <c r="BO555" s="129"/>
      <c r="BP555" s="129"/>
      <c r="BQ555" s="129"/>
      <c r="BR555" s="129"/>
      <c r="BS555" s="129"/>
      <c r="BT555" s="129"/>
      <c r="BU555" s="129"/>
      <c r="BV555" s="129"/>
      <c r="BW555" s="129"/>
      <c r="BX555" s="129"/>
      <c r="BY555" s="129"/>
      <c r="BZ555" s="129"/>
      <c r="CA555" s="129"/>
      <c r="CB555" s="129"/>
      <c r="CC555" s="129"/>
      <c r="CD555" s="129"/>
    </row>
    <row r="556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29"/>
      <c r="AM556" s="129"/>
      <c r="AN556" s="144"/>
      <c r="AO556" s="129"/>
      <c r="AP556" s="129"/>
      <c r="AQ556" s="129"/>
      <c r="AR556" s="129"/>
      <c r="AS556" s="129"/>
      <c r="AT556" s="129"/>
      <c r="AU556" s="129"/>
      <c r="AV556" s="129"/>
      <c r="AW556" s="129"/>
      <c r="AX556" s="129"/>
      <c r="AY556" s="129"/>
      <c r="AZ556" s="129"/>
      <c r="BA556" s="129"/>
      <c r="BB556" s="129"/>
      <c r="BC556" s="129"/>
      <c r="BD556" s="129"/>
      <c r="BE556" s="129"/>
      <c r="BF556" s="144"/>
      <c r="BG556" s="129"/>
      <c r="BH556" s="129"/>
      <c r="BI556" s="129"/>
      <c r="BJ556" s="129"/>
      <c r="BK556" s="129"/>
      <c r="BL556" s="129"/>
      <c r="BM556" s="129"/>
      <c r="BN556" s="129"/>
      <c r="BO556" s="129"/>
      <c r="BP556" s="129"/>
      <c r="BQ556" s="129"/>
      <c r="BR556" s="129"/>
      <c r="BS556" s="129"/>
      <c r="BT556" s="129"/>
      <c r="BU556" s="129"/>
      <c r="BV556" s="129"/>
      <c r="BW556" s="129"/>
      <c r="BX556" s="129"/>
      <c r="BY556" s="129"/>
      <c r="BZ556" s="129"/>
      <c r="CA556" s="129"/>
      <c r="CB556" s="129"/>
      <c r="CC556" s="129"/>
      <c r="CD556" s="129"/>
    </row>
    <row r="557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29"/>
      <c r="AM557" s="129"/>
      <c r="AN557" s="144"/>
      <c r="AO557" s="129"/>
      <c r="AP557" s="129"/>
      <c r="AQ557" s="129"/>
      <c r="AR557" s="129"/>
      <c r="AS557" s="129"/>
      <c r="AT557" s="129"/>
      <c r="AU557" s="129"/>
      <c r="AV557" s="129"/>
      <c r="AW557" s="129"/>
      <c r="AX557" s="129"/>
      <c r="AY557" s="129"/>
      <c r="AZ557" s="129"/>
      <c r="BA557" s="129"/>
      <c r="BB557" s="129"/>
      <c r="BC557" s="129"/>
      <c r="BD557" s="129"/>
      <c r="BE557" s="129"/>
      <c r="BF557" s="144"/>
      <c r="BG557" s="129"/>
      <c r="BH557" s="129"/>
      <c r="BI557" s="129"/>
      <c r="BJ557" s="129"/>
      <c r="BK557" s="129"/>
      <c r="BL557" s="129"/>
      <c r="BM557" s="129"/>
      <c r="BN557" s="129"/>
      <c r="BO557" s="129"/>
      <c r="BP557" s="129"/>
      <c r="BQ557" s="129"/>
      <c r="BR557" s="129"/>
      <c r="BS557" s="129"/>
      <c r="BT557" s="129"/>
      <c r="BU557" s="129"/>
      <c r="BV557" s="129"/>
      <c r="BW557" s="129"/>
      <c r="BX557" s="129"/>
      <c r="BY557" s="129"/>
      <c r="BZ557" s="129"/>
      <c r="CA557" s="129"/>
      <c r="CB557" s="129"/>
      <c r="CC557" s="129"/>
      <c r="CD557" s="129"/>
    </row>
    <row r="558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29"/>
      <c r="AM558" s="129"/>
      <c r="AN558" s="144"/>
      <c r="AO558" s="129"/>
      <c r="AP558" s="129"/>
      <c r="AQ558" s="129"/>
      <c r="AR558" s="129"/>
      <c r="AS558" s="129"/>
      <c r="AT558" s="129"/>
      <c r="AU558" s="129"/>
      <c r="AV558" s="129"/>
      <c r="AW558" s="129"/>
      <c r="AX558" s="129"/>
      <c r="AY558" s="129"/>
      <c r="AZ558" s="129"/>
      <c r="BA558" s="129"/>
      <c r="BB558" s="129"/>
      <c r="BC558" s="129"/>
      <c r="BD558" s="129"/>
      <c r="BE558" s="129"/>
      <c r="BF558" s="144"/>
      <c r="BG558" s="129"/>
      <c r="BH558" s="129"/>
      <c r="BI558" s="129"/>
      <c r="BJ558" s="129"/>
      <c r="BK558" s="129"/>
      <c r="BL558" s="129"/>
      <c r="BM558" s="129"/>
      <c r="BN558" s="129"/>
      <c r="BO558" s="129"/>
      <c r="BP558" s="129"/>
      <c r="BQ558" s="129"/>
      <c r="BR558" s="129"/>
      <c r="BS558" s="129"/>
      <c r="BT558" s="129"/>
      <c r="BU558" s="129"/>
      <c r="BV558" s="129"/>
      <c r="BW558" s="129"/>
      <c r="BX558" s="129"/>
      <c r="BY558" s="129"/>
      <c r="BZ558" s="129"/>
      <c r="CA558" s="129"/>
      <c r="CB558" s="129"/>
      <c r="CC558" s="129"/>
      <c r="CD558" s="129"/>
    </row>
    <row r="559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29"/>
      <c r="AM559" s="129"/>
      <c r="AN559" s="144"/>
      <c r="AO559" s="129"/>
      <c r="AP559" s="129"/>
      <c r="AQ559" s="129"/>
      <c r="AR559" s="129"/>
      <c r="AS559" s="129"/>
      <c r="AT559" s="129"/>
      <c r="AU559" s="129"/>
      <c r="AV559" s="129"/>
      <c r="AW559" s="129"/>
      <c r="AX559" s="129"/>
      <c r="AY559" s="129"/>
      <c r="AZ559" s="129"/>
      <c r="BA559" s="129"/>
      <c r="BB559" s="129"/>
      <c r="BC559" s="129"/>
      <c r="BD559" s="129"/>
      <c r="BE559" s="129"/>
      <c r="BF559" s="144"/>
      <c r="BG559" s="129"/>
      <c r="BH559" s="129"/>
      <c r="BI559" s="129"/>
      <c r="BJ559" s="129"/>
      <c r="BK559" s="129"/>
      <c r="BL559" s="129"/>
      <c r="BM559" s="129"/>
      <c r="BN559" s="129"/>
      <c r="BO559" s="129"/>
      <c r="BP559" s="129"/>
      <c r="BQ559" s="129"/>
      <c r="BR559" s="129"/>
      <c r="BS559" s="129"/>
      <c r="BT559" s="129"/>
      <c r="BU559" s="129"/>
      <c r="BV559" s="129"/>
      <c r="BW559" s="129"/>
      <c r="BX559" s="129"/>
      <c r="BY559" s="129"/>
      <c r="BZ559" s="129"/>
      <c r="CA559" s="129"/>
      <c r="CB559" s="129"/>
      <c r="CC559" s="129"/>
      <c r="CD559" s="129"/>
    </row>
    <row r="560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29"/>
      <c r="AM560" s="129"/>
      <c r="AN560" s="144"/>
      <c r="AO560" s="129"/>
      <c r="AP560" s="129"/>
      <c r="AQ560" s="129"/>
      <c r="AR560" s="129"/>
      <c r="AS560" s="129"/>
      <c r="AT560" s="129"/>
      <c r="AU560" s="129"/>
      <c r="AV560" s="129"/>
      <c r="AW560" s="129"/>
      <c r="AX560" s="129"/>
      <c r="AY560" s="129"/>
      <c r="AZ560" s="129"/>
      <c r="BA560" s="129"/>
      <c r="BB560" s="129"/>
      <c r="BC560" s="129"/>
      <c r="BD560" s="129"/>
      <c r="BE560" s="129"/>
      <c r="BF560" s="144"/>
      <c r="BG560" s="129"/>
      <c r="BH560" s="129"/>
      <c r="BI560" s="129"/>
      <c r="BJ560" s="129"/>
      <c r="BK560" s="129"/>
      <c r="BL560" s="129"/>
      <c r="BM560" s="129"/>
      <c r="BN560" s="129"/>
      <c r="BO560" s="129"/>
      <c r="BP560" s="129"/>
      <c r="BQ560" s="129"/>
      <c r="BR560" s="129"/>
      <c r="BS560" s="129"/>
      <c r="BT560" s="129"/>
      <c r="BU560" s="129"/>
      <c r="BV560" s="129"/>
      <c r="BW560" s="129"/>
      <c r="BX560" s="129"/>
      <c r="BY560" s="129"/>
      <c r="BZ560" s="129"/>
      <c r="CA560" s="129"/>
      <c r="CB560" s="129"/>
      <c r="CC560" s="129"/>
      <c r="CD560" s="129"/>
    </row>
    <row r="56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29"/>
      <c r="AM561" s="129"/>
      <c r="AN561" s="144"/>
      <c r="AO561" s="129"/>
      <c r="AP561" s="129"/>
      <c r="AQ561" s="129"/>
      <c r="AR561" s="129"/>
      <c r="AS561" s="129"/>
      <c r="AT561" s="129"/>
      <c r="AU561" s="129"/>
      <c r="AV561" s="129"/>
      <c r="AW561" s="129"/>
      <c r="AX561" s="129"/>
      <c r="AY561" s="129"/>
      <c r="AZ561" s="129"/>
      <c r="BA561" s="129"/>
      <c r="BB561" s="129"/>
      <c r="BC561" s="129"/>
      <c r="BD561" s="129"/>
      <c r="BE561" s="129"/>
      <c r="BF561" s="144"/>
      <c r="BG561" s="129"/>
      <c r="BH561" s="129"/>
      <c r="BI561" s="129"/>
      <c r="BJ561" s="129"/>
      <c r="BK561" s="129"/>
      <c r="BL561" s="129"/>
      <c r="BM561" s="129"/>
      <c r="BN561" s="129"/>
      <c r="BO561" s="129"/>
      <c r="BP561" s="129"/>
      <c r="BQ561" s="129"/>
      <c r="BR561" s="129"/>
      <c r="BS561" s="129"/>
      <c r="BT561" s="129"/>
      <c r="BU561" s="129"/>
      <c r="BV561" s="129"/>
      <c r="BW561" s="129"/>
      <c r="BX561" s="129"/>
      <c r="BY561" s="129"/>
      <c r="BZ561" s="129"/>
      <c r="CA561" s="129"/>
      <c r="CB561" s="129"/>
      <c r="CC561" s="129"/>
      <c r="CD561" s="129"/>
    </row>
    <row r="56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29"/>
      <c r="AM562" s="129"/>
      <c r="AN562" s="144"/>
      <c r="AO562" s="129"/>
      <c r="AP562" s="129"/>
      <c r="AQ562" s="129"/>
      <c r="AR562" s="129"/>
      <c r="AS562" s="129"/>
      <c r="AT562" s="129"/>
      <c r="AU562" s="129"/>
      <c r="AV562" s="129"/>
      <c r="AW562" s="129"/>
      <c r="AX562" s="129"/>
      <c r="AY562" s="129"/>
      <c r="AZ562" s="129"/>
      <c r="BA562" s="129"/>
      <c r="BB562" s="129"/>
      <c r="BC562" s="129"/>
      <c r="BD562" s="129"/>
      <c r="BE562" s="129"/>
      <c r="BF562" s="144"/>
      <c r="BG562" s="129"/>
      <c r="BH562" s="129"/>
      <c r="BI562" s="129"/>
      <c r="BJ562" s="129"/>
      <c r="BK562" s="129"/>
      <c r="BL562" s="129"/>
      <c r="BM562" s="129"/>
      <c r="BN562" s="129"/>
      <c r="BO562" s="129"/>
      <c r="BP562" s="129"/>
      <c r="BQ562" s="129"/>
      <c r="BR562" s="129"/>
      <c r="BS562" s="129"/>
      <c r="BT562" s="129"/>
      <c r="BU562" s="129"/>
      <c r="BV562" s="129"/>
      <c r="BW562" s="129"/>
      <c r="BX562" s="129"/>
      <c r="BY562" s="129"/>
      <c r="BZ562" s="129"/>
      <c r="CA562" s="129"/>
      <c r="CB562" s="129"/>
      <c r="CC562" s="129"/>
      <c r="CD562" s="129"/>
    </row>
    <row r="563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29"/>
      <c r="AM563" s="129"/>
      <c r="AN563" s="144"/>
      <c r="AO563" s="129"/>
      <c r="AP563" s="129"/>
      <c r="AQ563" s="129"/>
      <c r="AR563" s="129"/>
      <c r="AS563" s="129"/>
      <c r="AT563" s="129"/>
      <c r="AU563" s="129"/>
      <c r="AV563" s="129"/>
      <c r="AW563" s="129"/>
      <c r="AX563" s="129"/>
      <c r="AY563" s="129"/>
      <c r="AZ563" s="129"/>
      <c r="BA563" s="129"/>
      <c r="BB563" s="129"/>
      <c r="BC563" s="129"/>
      <c r="BD563" s="129"/>
      <c r="BE563" s="129"/>
      <c r="BF563" s="144"/>
      <c r="BG563" s="129"/>
      <c r="BH563" s="129"/>
      <c r="BI563" s="129"/>
      <c r="BJ563" s="129"/>
      <c r="BK563" s="129"/>
      <c r="BL563" s="129"/>
      <c r="BM563" s="129"/>
      <c r="BN563" s="129"/>
      <c r="BO563" s="129"/>
      <c r="BP563" s="129"/>
      <c r="BQ563" s="129"/>
      <c r="BR563" s="129"/>
      <c r="BS563" s="129"/>
      <c r="BT563" s="129"/>
      <c r="BU563" s="129"/>
      <c r="BV563" s="129"/>
      <c r="BW563" s="129"/>
      <c r="BX563" s="129"/>
      <c r="BY563" s="129"/>
      <c r="BZ563" s="129"/>
      <c r="CA563" s="129"/>
      <c r="CB563" s="129"/>
      <c r="CC563" s="129"/>
      <c r="CD563" s="129"/>
    </row>
    <row r="564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29"/>
      <c r="AM564" s="129"/>
      <c r="AN564" s="144"/>
      <c r="AO564" s="129"/>
      <c r="AP564" s="129"/>
      <c r="AQ564" s="129"/>
      <c r="AR564" s="129"/>
      <c r="AS564" s="129"/>
      <c r="AT564" s="129"/>
      <c r="AU564" s="129"/>
      <c r="AV564" s="129"/>
      <c r="AW564" s="129"/>
      <c r="AX564" s="129"/>
      <c r="AY564" s="129"/>
      <c r="AZ564" s="129"/>
      <c r="BA564" s="129"/>
      <c r="BB564" s="129"/>
      <c r="BC564" s="129"/>
      <c r="BD564" s="129"/>
      <c r="BE564" s="129"/>
      <c r="BF564" s="144"/>
      <c r="BG564" s="129"/>
      <c r="BH564" s="129"/>
      <c r="BI564" s="129"/>
      <c r="BJ564" s="129"/>
      <c r="BK564" s="129"/>
      <c r="BL564" s="129"/>
      <c r="BM564" s="129"/>
      <c r="BN564" s="129"/>
      <c r="BO564" s="129"/>
      <c r="BP564" s="129"/>
      <c r="BQ564" s="129"/>
      <c r="BR564" s="129"/>
      <c r="BS564" s="129"/>
      <c r="BT564" s="129"/>
      <c r="BU564" s="129"/>
      <c r="BV564" s="129"/>
      <c r="BW564" s="129"/>
      <c r="BX564" s="129"/>
      <c r="BY564" s="129"/>
      <c r="BZ564" s="129"/>
      <c r="CA564" s="129"/>
      <c r="CB564" s="129"/>
      <c r="CC564" s="129"/>
      <c r="CD564" s="129"/>
    </row>
    <row r="565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29"/>
      <c r="AM565" s="129"/>
      <c r="AN565" s="144"/>
      <c r="AO565" s="129"/>
      <c r="AP565" s="129"/>
      <c r="AQ565" s="129"/>
      <c r="AR565" s="129"/>
      <c r="AS565" s="129"/>
      <c r="AT565" s="129"/>
      <c r="AU565" s="129"/>
      <c r="AV565" s="129"/>
      <c r="AW565" s="129"/>
      <c r="AX565" s="129"/>
      <c r="AY565" s="129"/>
      <c r="AZ565" s="129"/>
      <c r="BA565" s="129"/>
      <c r="BB565" s="129"/>
      <c r="BC565" s="129"/>
      <c r="BD565" s="129"/>
      <c r="BE565" s="129"/>
      <c r="BF565" s="144"/>
      <c r="BG565" s="129"/>
      <c r="BH565" s="129"/>
      <c r="BI565" s="129"/>
      <c r="BJ565" s="129"/>
      <c r="BK565" s="129"/>
      <c r="BL565" s="129"/>
      <c r="BM565" s="129"/>
      <c r="BN565" s="129"/>
      <c r="BO565" s="129"/>
      <c r="BP565" s="129"/>
      <c r="BQ565" s="129"/>
      <c r="BR565" s="129"/>
      <c r="BS565" s="129"/>
      <c r="BT565" s="129"/>
      <c r="BU565" s="129"/>
      <c r="BV565" s="129"/>
      <c r="BW565" s="129"/>
      <c r="BX565" s="129"/>
      <c r="BY565" s="129"/>
      <c r="BZ565" s="129"/>
      <c r="CA565" s="129"/>
      <c r="CB565" s="129"/>
      <c r="CC565" s="129"/>
      <c r="CD565" s="129"/>
    </row>
    <row r="566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29"/>
      <c r="AM566" s="129"/>
      <c r="AN566" s="144"/>
      <c r="AO566" s="129"/>
      <c r="AP566" s="129"/>
      <c r="AQ566" s="129"/>
      <c r="AR566" s="129"/>
      <c r="AS566" s="129"/>
      <c r="AT566" s="129"/>
      <c r="AU566" s="129"/>
      <c r="AV566" s="129"/>
      <c r="AW566" s="129"/>
      <c r="AX566" s="129"/>
      <c r="AY566" s="129"/>
      <c r="AZ566" s="129"/>
      <c r="BA566" s="129"/>
      <c r="BB566" s="129"/>
      <c r="BC566" s="129"/>
      <c r="BD566" s="129"/>
      <c r="BE566" s="129"/>
      <c r="BF566" s="144"/>
      <c r="BG566" s="129"/>
      <c r="BH566" s="129"/>
      <c r="BI566" s="129"/>
      <c r="BJ566" s="129"/>
      <c r="BK566" s="129"/>
      <c r="BL566" s="129"/>
      <c r="BM566" s="129"/>
      <c r="BN566" s="129"/>
      <c r="BO566" s="129"/>
      <c r="BP566" s="129"/>
      <c r="BQ566" s="129"/>
      <c r="BR566" s="129"/>
      <c r="BS566" s="129"/>
      <c r="BT566" s="129"/>
      <c r="BU566" s="129"/>
      <c r="BV566" s="129"/>
      <c r="BW566" s="129"/>
      <c r="BX566" s="129"/>
      <c r="BY566" s="129"/>
      <c r="BZ566" s="129"/>
      <c r="CA566" s="129"/>
      <c r="CB566" s="129"/>
      <c r="CC566" s="129"/>
      <c r="CD566" s="129"/>
    </row>
    <row r="567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29"/>
      <c r="AM567" s="129"/>
      <c r="AN567" s="144"/>
      <c r="AO567" s="129"/>
      <c r="AP567" s="129"/>
      <c r="AQ567" s="129"/>
      <c r="AR567" s="129"/>
      <c r="AS567" s="129"/>
      <c r="AT567" s="129"/>
      <c r="AU567" s="129"/>
      <c r="AV567" s="129"/>
      <c r="AW567" s="129"/>
      <c r="AX567" s="129"/>
      <c r="AY567" s="129"/>
      <c r="AZ567" s="129"/>
      <c r="BA567" s="129"/>
      <c r="BB567" s="129"/>
      <c r="BC567" s="129"/>
      <c r="BD567" s="129"/>
      <c r="BE567" s="129"/>
      <c r="BF567" s="144"/>
      <c r="BG567" s="129"/>
      <c r="BH567" s="129"/>
      <c r="BI567" s="129"/>
      <c r="BJ567" s="129"/>
      <c r="BK567" s="129"/>
      <c r="BL567" s="129"/>
      <c r="BM567" s="129"/>
      <c r="BN567" s="129"/>
      <c r="BO567" s="129"/>
      <c r="BP567" s="129"/>
      <c r="BQ567" s="129"/>
      <c r="BR567" s="129"/>
      <c r="BS567" s="129"/>
      <c r="BT567" s="129"/>
      <c r="BU567" s="129"/>
      <c r="BV567" s="129"/>
      <c r="BW567" s="129"/>
      <c r="BX567" s="129"/>
      <c r="BY567" s="129"/>
      <c r="BZ567" s="129"/>
      <c r="CA567" s="129"/>
      <c r="CB567" s="129"/>
      <c r="CC567" s="129"/>
      <c r="CD567" s="129"/>
    </row>
    <row r="568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29"/>
      <c r="AM568" s="129"/>
      <c r="AN568" s="144"/>
      <c r="AO568" s="129"/>
      <c r="AP568" s="129"/>
      <c r="AQ568" s="129"/>
      <c r="AR568" s="129"/>
      <c r="AS568" s="129"/>
      <c r="AT568" s="129"/>
      <c r="AU568" s="129"/>
      <c r="AV568" s="129"/>
      <c r="AW568" s="129"/>
      <c r="AX568" s="129"/>
      <c r="AY568" s="129"/>
      <c r="AZ568" s="129"/>
      <c r="BA568" s="129"/>
      <c r="BB568" s="129"/>
      <c r="BC568" s="129"/>
      <c r="BD568" s="129"/>
      <c r="BE568" s="129"/>
      <c r="BF568" s="144"/>
      <c r="BG568" s="129"/>
      <c r="BH568" s="129"/>
      <c r="BI568" s="129"/>
      <c r="BJ568" s="129"/>
      <c r="BK568" s="129"/>
      <c r="BL568" s="129"/>
      <c r="BM568" s="129"/>
      <c r="BN568" s="129"/>
      <c r="BO568" s="129"/>
      <c r="BP568" s="129"/>
      <c r="BQ568" s="129"/>
      <c r="BR568" s="129"/>
      <c r="BS568" s="129"/>
      <c r="BT568" s="129"/>
      <c r="BU568" s="129"/>
      <c r="BV568" s="129"/>
      <c r="BW568" s="129"/>
      <c r="BX568" s="129"/>
      <c r="BY568" s="129"/>
      <c r="BZ568" s="129"/>
      <c r="CA568" s="129"/>
      <c r="CB568" s="129"/>
      <c r="CC568" s="129"/>
      <c r="CD568" s="129"/>
    </row>
    <row r="569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29"/>
      <c r="AM569" s="129"/>
      <c r="AN569" s="144"/>
      <c r="AO569" s="129"/>
      <c r="AP569" s="129"/>
      <c r="AQ569" s="129"/>
      <c r="AR569" s="129"/>
      <c r="AS569" s="129"/>
      <c r="AT569" s="129"/>
      <c r="AU569" s="129"/>
      <c r="AV569" s="129"/>
      <c r="AW569" s="129"/>
      <c r="AX569" s="129"/>
      <c r="AY569" s="129"/>
      <c r="AZ569" s="129"/>
      <c r="BA569" s="129"/>
      <c r="BB569" s="129"/>
      <c r="BC569" s="129"/>
      <c r="BD569" s="129"/>
      <c r="BE569" s="129"/>
      <c r="BF569" s="144"/>
      <c r="BG569" s="129"/>
      <c r="BH569" s="129"/>
      <c r="BI569" s="129"/>
      <c r="BJ569" s="129"/>
      <c r="BK569" s="129"/>
      <c r="BL569" s="129"/>
      <c r="BM569" s="129"/>
      <c r="BN569" s="129"/>
      <c r="BO569" s="129"/>
      <c r="BP569" s="129"/>
      <c r="BQ569" s="129"/>
      <c r="BR569" s="129"/>
      <c r="BS569" s="129"/>
      <c r="BT569" s="129"/>
      <c r="BU569" s="129"/>
      <c r="BV569" s="129"/>
      <c r="BW569" s="129"/>
      <c r="BX569" s="129"/>
      <c r="BY569" s="129"/>
      <c r="BZ569" s="129"/>
      <c r="CA569" s="129"/>
      <c r="CB569" s="129"/>
      <c r="CC569" s="129"/>
      <c r="CD569" s="129"/>
    </row>
    <row r="570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29"/>
      <c r="AM570" s="129"/>
      <c r="AN570" s="144"/>
      <c r="AO570" s="129"/>
      <c r="AP570" s="129"/>
      <c r="AQ570" s="129"/>
      <c r="AR570" s="129"/>
      <c r="AS570" s="129"/>
      <c r="AT570" s="129"/>
      <c r="AU570" s="129"/>
      <c r="AV570" s="129"/>
      <c r="AW570" s="129"/>
      <c r="AX570" s="129"/>
      <c r="AY570" s="129"/>
      <c r="AZ570" s="129"/>
      <c r="BA570" s="129"/>
      <c r="BB570" s="129"/>
      <c r="BC570" s="129"/>
      <c r="BD570" s="129"/>
      <c r="BE570" s="129"/>
      <c r="BF570" s="144"/>
      <c r="BG570" s="129"/>
      <c r="BH570" s="129"/>
      <c r="BI570" s="129"/>
      <c r="BJ570" s="129"/>
      <c r="BK570" s="129"/>
      <c r="BL570" s="129"/>
      <c r="BM570" s="129"/>
      <c r="BN570" s="129"/>
      <c r="BO570" s="129"/>
      <c r="BP570" s="129"/>
      <c r="BQ570" s="129"/>
      <c r="BR570" s="129"/>
      <c r="BS570" s="129"/>
      <c r="BT570" s="129"/>
      <c r="BU570" s="129"/>
      <c r="BV570" s="129"/>
      <c r="BW570" s="129"/>
      <c r="BX570" s="129"/>
      <c r="BY570" s="129"/>
      <c r="BZ570" s="129"/>
      <c r="CA570" s="129"/>
      <c r="CB570" s="129"/>
      <c r="CC570" s="129"/>
      <c r="CD570" s="129"/>
    </row>
    <row r="57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29"/>
      <c r="AM571" s="129"/>
      <c r="AN571" s="144"/>
      <c r="AO571" s="129"/>
      <c r="AP571" s="129"/>
      <c r="AQ571" s="129"/>
      <c r="AR571" s="129"/>
      <c r="AS571" s="129"/>
      <c r="AT571" s="129"/>
      <c r="AU571" s="129"/>
      <c r="AV571" s="129"/>
      <c r="AW571" s="129"/>
      <c r="AX571" s="129"/>
      <c r="AY571" s="129"/>
      <c r="AZ571" s="129"/>
      <c r="BA571" s="129"/>
      <c r="BB571" s="129"/>
      <c r="BC571" s="129"/>
      <c r="BD571" s="129"/>
      <c r="BE571" s="129"/>
      <c r="BF571" s="144"/>
      <c r="BG571" s="129"/>
      <c r="BH571" s="129"/>
      <c r="BI571" s="129"/>
      <c r="BJ571" s="129"/>
      <c r="BK571" s="129"/>
      <c r="BL571" s="129"/>
      <c r="BM571" s="129"/>
      <c r="BN571" s="129"/>
      <c r="BO571" s="129"/>
      <c r="BP571" s="129"/>
      <c r="BQ571" s="129"/>
      <c r="BR571" s="129"/>
      <c r="BS571" s="129"/>
      <c r="BT571" s="129"/>
      <c r="BU571" s="129"/>
      <c r="BV571" s="129"/>
      <c r="BW571" s="129"/>
      <c r="BX571" s="129"/>
      <c r="BY571" s="129"/>
      <c r="BZ571" s="129"/>
      <c r="CA571" s="129"/>
      <c r="CB571" s="129"/>
      <c r="CC571" s="129"/>
      <c r="CD571" s="129"/>
    </row>
    <row r="57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29"/>
      <c r="AM572" s="129"/>
      <c r="AN572" s="144"/>
      <c r="AO572" s="129"/>
      <c r="AP572" s="129"/>
      <c r="AQ572" s="129"/>
      <c r="AR572" s="129"/>
      <c r="AS572" s="129"/>
      <c r="AT572" s="129"/>
      <c r="AU572" s="129"/>
      <c r="AV572" s="129"/>
      <c r="AW572" s="129"/>
      <c r="AX572" s="129"/>
      <c r="AY572" s="129"/>
      <c r="AZ572" s="129"/>
      <c r="BA572" s="129"/>
      <c r="BB572" s="129"/>
      <c r="BC572" s="129"/>
      <c r="BD572" s="129"/>
      <c r="BE572" s="129"/>
      <c r="BF572" s="144"/>
      <c r="BG572" s="129"/>
      <c r="BH572" s="129"/>
      <c r="BI572" s="129"/>
      <c r="BJ572" s="129"/>
      <c r="BK572" s="129"/>
      <c r="BL572" s="129"/>
      <c r="BM572" s="129"/>
      <c r="BN572" s="129"/>
      <c r="BO572" s="129"/>
      <c r="BP572" s="129"/>
      <c r="BQ572" s="129"/>
      <c r="BR572" s="129"/>
      <c r="BS572" s="129"/>
      <c r="BT572" s="129"/>
      <c r="BU572" s="129"/>
      <c r="BV572" s="129"/>
      <c r="BW572" s="129"/>
      <c r="BX572" s="129"/>
      <c r="BY572" s="129"/>
      <c r="BZ572" s="129"/>
      <c r="CA572" s="129"/>
      <c r="CB572" s="129"/>
      <c r="CC572" s="129"/>
      <c r="CD572" s="129"/>
    </row>
    <row r="573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29"/>
      <c r="AM573" s="129"/>
      <c r="AN573" s="144"/>
      <c r="AO573" s="129"/>
      <c r="AP573" s="129"/>
      <c r="AQ573" s="129"/>
      <c r="AR573" s="129"/>
      <c r="AS573" s="129"/>
      <c r="AT573" s="129"/>
      <c r="AU573" s="129"/>
      <c r="AV573" s="129"/>
      <c r="AW573" s="129"/>
      <c r="AX573" s="129"/>
      <c r="AY573" s="129"/>
      <c r="AZ573" s="129"/>
      <c r="BA573" s="129"/>
      <c r="BB573" s="129"/>
      <c r="BC573" s="129"/>
      <c r="BD573" s="129"/>
      <c r="BE573" s="129"/>
      <c r="BF573" s="144"/>
      <c r="BG573" s="129"/>
      <c r="BH573" s="129"/>
      <c r="BI573" s="129"/>
      <c r="BJ573" s="129"/>
      <c r="BK573" s="129"/>
      <c r="BL573" s="129"/>
      <c r="BM573" s="129"/>
      <c r="BN573" s="129"/>
      <c r="BO573" s="129"/>
      <c r="BP573" s="129"/>
      <c r="BQ573" s="129"/>
      <c r="BR573" s="129"/>
      <c r="BS573" s="129"/>
      <c r="BT573" s="129"/>
      <c r="BU573" s="129"/>
      <c r="BV573" s="129"/>
      <c r="BW573" s="129"/>
      <c r="BX573" s="129"/>
      <c r="BY573" s="129"/>
      <c r="BZ573" s="129"/>
      <c r="CA573" s="129"/>
      <c r="CB573" s="129"/>
      <c r="CC573" s="129"/>
      <c r="CD573" s="129"/>
    </row>
    <row r="574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29"/>
      <c r="AM574" s="129"/>
      <c r="AN574" s="144"/>
      <c r="AO574" s="129"/>
      <c r="AP574" s="129"/>
      <c r="AQ574" s="129"/>
      <c r="AR574" s="129"/>
      <c r="AS574" s="129"/>
      <c r="AT574" s="129"/>
      <c r="AU574" s="129"/>
      <c r="AV574" s="129"/>
      <c r="AW574" s="129"/>
      <c r="AX574" s="129"/>
      <c r="AY574" s="129"/>
      <c r="AZ574" s="129"/>
      <c r="BA574" s="129"/>
      <c r="BB574" s="129"/>
      <c r="BC574" s="129"/>
      <c r="BD574" s="129"/>
      <c r="BE574" s="129"/>
      <c r="BF574" s="144"/>
      <c r="BG574" s="129"/>
      <c r="BH574" s="129"/>
      <c r="BI574" s="129"/>
      <c r="BJ574" s="129"/>
      <c r="BK574" s="129"/>
      <c r="BL574" s="129"/>
      <c r="BM574" s="129"/>
      <c r="BN574" s="129"/>
      <c r="BO574" s="129"/>
      <c r="BP574" s="129"/>
      <c r="BQ574" s="129"/>
      <c r="BR574" s="129"/>
      <c r="BS574" s="129"/>
      <c r="BT574" s="129"/>
      <c r="BU574" s="129"/>
      <c r="BV574" s="129"/>
      <c r="BW574" s="129"/>
      <c r="BX574" s="129"/>
      <c r="BY574" s="129"/>
      <c r="BZ574" s="129"/>
      <c r="CA574" s="129"/>
      <c r="CB574" s="129"/>
      <c r="CC574" s="129"/>
      <c r="CD574" s="129"/>
    </row>
    <row r="575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29"/>
      <c r="AM575" s="129"/>
      <c r="AN575" s="144"/>
      <c r="AO575" s="129"/>
      <c r="AP575" s="129"/>
      <c r="AQ575" s="129"/>
      <c r="AR575" s="129"/>
      <c r="AS575" s="129"/>
      <c r="AT575" s="129"/>
      <c r="AU575" s="129"/>
      <c r="AV575" s="129"/>
      <c r="AW575" s="129"/>
      <c r="AX575" s="129"/>
      <c r="AY575" s="129"/>
      <c r="AZ575" s="129"/>
      <c r="BA575" s="129"/>
      <c r="BB575" s="129"/>
      <c r="BC575" s="129"/>
      <c r="BD575" s="129"/>
      <c r="BE575" s="129"/>
      <c r="BF575" s="144"/>
      <c r="BG575" s="129"/>
      <c r="BH575" s="129"/>
      <c r="BI575" s="129"/>
      <c r="BJ575" s="129"/>
      <c r="BK575" s="129"/>
      <c r="BL575" s="129"/>
      <c r="BM575" s="129"/>
      <c r="BN575" s="129"/>
      <c r="BO575" s="129"/>
      <c r="BP575" s="129"/>
      <c r="BQ575" s="129"/>
      <c r="BR575" s="129"/>
      <c r="BS575" s="129"/>
      <c r="BT575" s="129"/>
      <c r="BU575" s="129"/>
      <c r="BV575" s="129"/>
      <c r="BW575" s="129"/>
      <c r="BX575" s="129"/>
      <c r="BY575" s="129"/>
      <c r="BZ575" s="129"/>
      <c r="CA575" s="129"/>
      <c r="CB575" s="129"/>
      <c r="CC575" s="129"/>
      <c r="CD575" s="129"/>
    </row>
    <row r="576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44"/>
      <c r="AO576" s="129"/>
      <c r="AP576" s="129"/>
      <c r="AQ576" s="129"/>
      <c r="AR576" s="129"/>
      <c r="AS576" s="129"/>
      <c r="AT576" s="129"/>
      <c r="AU576" s="129"/>
      <c r="AV576" s="129"/>
      <c r="AW576" s="129"/>
      <c r="AX576" s="129"/>
      <c r="AY576" s="129"/>
      <c r="AZ576" s="129"/>
      <c r="BA576" s="129"/>
      <c r="BB576" s="129"/>
      <c r="BC576" s="129"/>
      <c r="BD576" s="129"/>
      <c r="BE576" s="129"/>
      <c r="BF576" s="144"/>
      <c r="BG576" s="129"/>
      <c r="BH576" s="129"/>
      <c r="BI576" s="129"/>
      <c r="BJ576" s="129"/>
      <c r="BK576" s="129"/>
      <c r="BL576" s="129"/>
      <c r="BM576" s="129"/>
      <c r="BN576" s="129"/>
      <c r="BO576" s="129"/>
      <c r="BP576" s="129"/>
      <c r="BQ576" s="129"/>
      <c r="BR576" s="129"/>
      <c r="BS576" s="129"/>
      <c r="BT576" s="129"/>
      <c r="BU576" s="129"/>
      <c r="BV576" s="129"/>
      <c r="BW576" s="129"/>
      <c r="BX576" s="129"/>
      <c r="BY576" s="129"/>
      <c r="BZ576" s="129"/>
      <c r="CA576" s="129"/>
      <c r="CB576" s="129"/>
      <c r="CC576" s="129"/>
      <c r="CD576" s="129"/>
    </row>
    <row r="577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44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44"/>
      <c r="BG577" s="129"/>
      <c r="BH577" s="129"/>
      <c r="BI577" s="129"/>
      <c r="BJ577" s="129"/>
      <c r="BK577" s="129"/>
      <c r="BL577" s="129"/>
      <c r="BM577" s="129"/>
      <c r="BN577" s="129"/>
      <c r="BO577" s="129"/>
      <c r="BP577" s="129"/>
      <c r="BQ577" s="129"/>
      <c r="BR577" s="129"/>
      <c r="BS577" s="129"/>
      <c r="BT577" s="129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</row>
    <row r="578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29"/>
      <c r="AM578" s="129"/>
      <c r="AN578" s="144"/>
      <c r="AO578" s="129"/>
      <c r="AP578" s="129"/>
      <c r="AQ578" s="129"/>
      <c r="AR578" s="129"/>
      <c r="AS578" s="129"/>
      <c r="AT578" s="129"/>
      <c r="AU578" s="129"/>
      <c r="AV578" s="129"/>
      <c r="AW578" s="129"/>
      <c r="AX578" s="129"/>
      <c r="AY578" s="129"/>
      <c r="AZ578" s="129"/>
      <c r="BA578" s="129"/>
      <c r="BB578" s="129"/>
      <c r="BC578" s="129"/>
      <c r="BD578" s="129"/>
      <c r="BE578" s="129"/>
      <c r="BF578" s="144"/>
      <c r="BG578" s="129"/>
      <c r="BH578" s="129"/>
      <c r="BI578" s="129"/>
      <c r="BJ578" s="129"/>
      <c r="BK578" s="129"/>
      <c r="BL578" s="129"/>
      <c r="BM578" s="129"/>
      <c r="BN578" s="129"/>
      <c r="BO578" s="129"/>
      <c r="BP578" s="129"/>
      <c r="BQ578" s="129"/>
      <c r="BR578" s="129"/>
      <c r="BS578" s="129"/>
      <c r="BT578" s="129"/>
      <c r="BU578" s="129"/>
      <c r="BV578" s="129"/>
      <c r="BW578" s="129"/>
      <c r="BX578" s="129"/>
      <c r="BY578" s="129"/>
      <c r="BZ578" s="129"/>
      <c r="CA578" s="129"/>
      <c r="CB578" s="129"/>
      <c r="CC578" s="129"/>
      <c r="CD578" s="129"/>
    </row>
    <row r="579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29"/>
      <c r="AM579" s="129"/>
      <c r="AN579" s="144"/>
      <c r="AO579" s="129"/>
      <c r="AP579" s="129"/>
      <c r="AQ579" s="129"/>
      <c r="AR579" s="129"/>
      <c r="AS579" s="129"/>
      <c r="AT579" s="129"/>
      <c r="AU579" s="129"/>
      <c r="AV579" s="129"/>
      <c r="AW579" s="129"/>
      <c r="AX579" s="129"/>
      <c r="AY579" s="129"/>
      <c r="AZ579" s="129"/>
      <c r="BA579" s="129"/>
      <c r="BB579" s="129"/>
      <c r="BC579" s="129"/>
      <c r="BD579" s="129"/>
      <c r="BE579" s="129"/>
      <c r="BF579" s="144"/>
      <c r="BG579" s="129"/>
      <c r="BH579" s="129"/>
      <c r="BI579" s="129"/>
      <c r="BJ579" s="129"/>
      <c r="BK579" s="129"/>
      <c r="BL579" s="129"/>
      <c r="BM579" s="129"/>
      <c r="BN579" s="129"/>
      <c r="BO579" s="129"/>
      <c r="BP579" s="129"/>
      <c r="BQ579" s="129"/>
      <c r="BR579" s="129"/>
      <c r="BS579" s="129"/>
      <c r="BT579" s="12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</row>
    <row r="580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44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44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</row>
    <row r="58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44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44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</row>
    <row r="58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44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44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</row>
    <row r="583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44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44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</row>
    <row r="584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44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44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</row>
    <row r="585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44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44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</row>
    <row r="586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44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44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</row>
    <row r="587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44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44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</row>
    <row r="588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44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44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</row>
    <row r="589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44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44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</row>
    <row r="590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29"/>
      <c r="AM590" s="129"/>
      <c r="AN590" s="144"/>
      <c r="AO590" s="129"/>
      <c r="AP590" s="129"/>
      <c r="AQ590" s="129"/>
      <c r="AR590" s="129"/>
      <c r="AS590" s="129"/>
      <c r="AT590" s="129"/>
      <c r="AU590" s="129"/>
      <c r="AV590" s="129"/>
      <c r="AW590" s="129"/>
      <c r="AX590" s="129"/>
      <c r="AY590" s="129"/>
      <c r="AZ590" s="129"/>
      <c r="BA590" s="129"/>
      <c r="BB590" s="129"/>
      <c r="BC590" s="129"/>
      <c r="BD590" s="129"/>
      <c r="BE590" s="129"/>
      <c r="BF590" s="144"/>
      <c r="BG590" s="129"/>
      <c r="BH590" s="129"/>
      <c r="BI590" s="129"/>
      <c r="BJ590" s="129"/>
      <c r="BK590" s="129"/>
      <c r="BL590" s="129"/>
      <c r="BM590" s="129"/>
      <c r="BN590" s="129"/>
      <c r="BO590" s="129"/>
      <c r="BP590" s="129"/>
      <c r="BQ590" s="129"/>
      <c r="BR590" s="129"/>
      <c r="BS590" s="129"/>
      <c r="BT590" s="129"/>
      <c r="BU590" s="129"/>
      <c r="BV590" s="129"/>
      <c r="BW590" s="129"/>
      <c r="BX590" s="129"/>
      <c r="BY590" s="129"/>
      <c r="BZ590" s="129"/>
      <c r="CA590" s="129"/>
      <c r="CB590" s="129"/>
      <c r="CC590" s="129"/>
      <c r="CD590" s="129"/>
    </row>
    <row r="59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29"/>
      <c r="AM591" s="129"/>
      <c r="AN591" s="144"/>
      <c r="AO591" s="129"/>
      <c r="AP591" s="129"/>
      <c r="AQ591" s="129"/>
      <c r="AR591" s="129"/>
      <c r="AS591" s="129"/>
      <c r="AT591" s="129"/>
      <c r="AU591" s="129"/>
      <c r="AV591" s="129"/>
      <c r="AW591" s="129"/>
      <c r="AX591" s="129"/>
      <c r="AY591" s="129"/>
      <c r="AZ591" s="129"/>
      <c r="BA591" s="129"/>
      <c r="BB591" s="129"/>
      <c r="BC591" s="129"/>
      <c r="BD591" s="129"/>
      <c r="BE591" s="129"/>
      <c r="BF591" s="144"/>
      <c r="BG591" s="129"/>
      <c r="BH591" s="129"/>
      <c r="BI591" s="129"/>
      <c r="BJ591" s="129"/>
      <c r="BK591" s="129"/>
      <c r="BL591" s="129"/>
      <c r="BM591" s="129"/>
      <c r="BN591" s="129"/>
      <c r="BO591" s="129"/>
      <c r="BP591" s="129"/>
      <c r="BQ591" s="129"/>
      <c r="BR591" s="129"/>
      <c r="BS591" s="129"/>
      <c r="BT591" s="129"/>
      <c r="BU591" s="129"/>
      <c r="BV591" s="129"/>
      <c r="BW591" s="129"/>
      <c r="BX591" s="129"/>
      <c r="BY591" s="129"/>
      <c r="BZ591" s="129"/>
      <c r="CA591" s="129"/>
      <c r="CB591" s="129"/>
      <c r="CC591" s="129"/>
      <c r="CD591" s="129"/>
    </row>
    <row r="59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29"/>
      <c r="AM592" s="129"/>
      <c r="AN592" s="144"/>
      <c r="AO592" s="129"/>
      <c r="AP592" s="129"/>
      <c r="AQ592" s="129"/>
      <c r="AR592" s="129"/>
      <c r="AS592" s="129"/>
      <c r="AT592" s="129"/>
      <c r="AU592" s="129"/>
      <c r="AV592" s="129"/>
      <c r="AW592" s="129"/>
      <c r="AX592" s="129"/>
      <c r="AY592" s="129"/>
      <c r="AZ592" s="129"/>
      <c r="BA592" s="129"/>
      <c r="BB592" s="129"/>
      <c r="BC592" s="129"/>
      <c r="BD592" s="129"/>
      <c r="BE592" s="129"/>
      <c r="BF592" s="144"/>
      <c r="BG592" s="129"/>
      <c r="BH592" s="129"/>
      <c r="BI592" s="129"/>
      <c r="BJ592" s="129"/>
      <c r="BK592" s="129"/>
      <c r="BL592" s="129"/>
      <c r="BM592" s="129"/>
      <c r="BN592" s="129"/>
      <c r="BO592" s="129"/>
      <c r="BP592" s="129"/>
      <c r="BQ592" s="129"/>
      <c r="BR592" s="129"/>
      <c r="BS592" s="129"/>
      <c r="BT592" s="129"/>
      <c r="BU592" s="129"/>
      <c r="BV592" s="129"/>
      <c r="BW592" s="129"/>
      <c r="BX592" s="129"/>
      <c r="BY592" s="129"/>
      <c r="BZ592" s="129"/>
      <c r="CA592" s="129"/>
      <c r="CB592" s="129"/>
      <c r="CC592" s="129"/>
      <c r="CD592" s="129"/>
    </row>
    <row r="593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29"/>
      <c r="AM593" s="129"/>
      <c r="AN593" s="144"/>
      <c r="AO593" s="129"/>
      <c r="AP593" s="129"/>
      <c r="AQ593" s="129"/>
      <c r="AR593" s="129"/>
      <c r="AS593" s="129"/>
      <c r="AT593" s="129"/>
      <c r="AU593" s="129"/>
      <c r="AV593" s="129"/>
      <c r="AW593" s="129"/>
      <c r="AX593" s="129"/>
      <c r="AY593" s="129"/>
      <c r="AZ593" s="129"/>
      <c r="BA593" s="129"/>
      <c r="BB593" s="129"/>
      <c r="BC593" s="129"/>
      <c r="BD593" s="129"/>
      <c r="BE593" s="129"/>
      <c r="BF593" s="144"/>
      <c r="BG593" s="129"/>
      <c r="BH593" s="129"/>
      <c r="BI593" s="129"/>
      <c r="BJ593" s="129"/>
      <c r="BK593" s="129"/>
      <c r="BL593" s="129"/>
      <c r="BM593" s="129"/>
      <c r="BN593" s="129"/>
      <c r="BO593" s="129"/>
      <c r="BP593" s="129"/>
      <c r="BQ593" s="129"/>
      <c r="BR593" s="129"/>
      <c r="BS593" s="129"/>
      <c r="BT593" s="129"/>
      <c r="BU593" s="129"/>
      <c r="BV593" s="129"/>
      <c r="BW593" s="129"/>
      <c r="BX593" s="129"/>
      <c r="BY593" s="129"/>
      <c r="BZ593" s="129"/>
      <c r="CA593" s="129"/>
      <c r="CB593" s="129"/>
      <c r="CC593" s="129"/>
      <c r="CD593" s="129"/>
    </row>
    <row r="594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29"/>
      <c r="AM594" s="129"/>
      <c r="AN594" s="144"/>
      <c r="AO594" s="129"/>
      <c r="AP594" s="129"/>
      <c r="AQ594" s="129"/>
      <c r="AR594" s="129"/>
      <c r="AS594" s="129"/>
      <c r="AT594" s="129"/>
      <c r="AU594" s="129"/>
      <c r="AV594" s="129"/>
      <c r="AW594" s="129"/>
      <c r="AX594" s="129"/>
      <c r="AY594" s="129"/>
      <c r="AZ594" s="129"/>
      <c r="BA594" s="129"/>
      <c r="BB594" s="129"/>
      <c r="BC594" s="129"/>
      <c r="BD594" s="129"/>
      <c r="BE594" s="129"/>
      <c r="BF594" s="144"/>
      <c r="BG594" s="129"/>
      <c r="BH594" s="129"/>
      <c r="BI594" s="129"/>
      <c r="BJ594" s="129"/>
      <c r="BK594" s="129"/>
      <c r="BL594" s="129"/>
      <c r="BM594" s="129"/>
      <c r="BN594" s="129"/>
      <c r="BO594" s="129"/>
      <c r="BP594" s="129"/>
      <c r="BQ594" s="129"/>
      <c r="BR594" s="129"/>
      <c r="BS594" s="129"/>
      <c r="BT594" s="129"/>
      <c r="BU594" s="129"/>
      <c r="BV594" s="129"/>
      <c r="BW594" s="129"/>
      <c r="BX594" s="129"/>
      <c r="BY594" s="129"/>
      <c r="BZ594" s="129"/>
      <c r="CA594" s="129"/>
      <c r="CB594" s="129"/>
      <c r="CC594" s="129"/>
      <c r="CD594" s="129"/>
    </row>
    <row r="595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29"/>
      <c r="AM595" s="129"/>
      <c r="AN595" s="144"/>
      <c r="AO595" s="129"/>
      <c r="AP595" s="129"/>
      <c r="AQ595" s="129"/>
      <c r="AR595" s="129"/>
      <c r="AS595" s="129"/>
      <c r="AT595" s="129"/>
      <c r="AU595" s="129"/>
      <c r="AV595" s="129"/>
      <c r="AW595" s="129"/>
      <c r="AX595" s="129"/>
      <c r="AY595" s="129"/>
      <c r="AZ595" s="129"/>
      <c r="BA595" s="129"/>
      <c r="BB595" s="129"/>
      <c r="BC595" s="129"/>
      <c r="BD595" s="129"/>
      <c r="BE595" s="129"/>
      <c r="BF595" s="144"/>
      <c r="BG595" s="129"/>
      <c r="BH595" s="129"/>
      <c r="BI595" s="129"/>
      <c r="BJ595" s="129"/>
      <c r="BK595" s="129"/>
      <c r="BL595" s="129"/>
      <c r="BM595" s="129"/>
      <c r="BN595" s="129"/>
      <c r="BO595" s="129"/>
      <c r="BP595" s="129"/>
      <c r="BQ595" s="129"/>
      <c r="BR595" s="129"/>
      <c r="BS595" s="129"/>
      <c r="BT595" s="129"/>
      <c r="BU595" s="129"/>
      <c r="BV595" s="129"/>
      <c r="BW595" s="129"/>
      <c r="BX595" s="129"/>
      <c r="BY595" s="129"/>
      <c r="BZ595" s="129"/>
      <c r="CA595" s="129"/>
      <c r="CB595" s="129"/>
      <c r="CC595" s="129"/>
      <c r="CD595" s="129"/>
    </row>
    <row r="596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29"/>
      <c r="AM596" s="129"/>
      <c r="AN596" s="144"/>
      <c r="AO596" s="129"/>
      <c r="AP596" s="129"/>
      <c r="AQ596" s="129"/>
      <c r="AR596" s="129"/>
      <c r="AS596" s="129"/>
      <c r="AT596" s="129"/>
      <c r="AU596" s="129"/>
      <c r="AV596" s="129"/>
      <c r="AW596" s="129"/>
      <c r="AX596" s="129"/>
      <c r="AY596" s="129"/>
      <c r="AZ596" s="129"/>
      <c r="BA596" s="129"/>
      <c r="BB596" s="129"/>
      <c r="BC596" s="129"/>
      <c r="BD596" s="129"/>
      <c r="BE596" s="129"/>
      <c r="BF596" s="144"/>
      <c r="BG596" s="129"/>
      <c r="BH596" s="129"/>
      <c r="BI596" s="129"/>
      <c r="BJ596" s="129"/>
      <c r="BK596" s="129"/>
      <c r="BL596" s="129"/>
      <c r="BM596" s="129"/>
      <c r="BN596" s="129"/>
      <c r="BO596" s="129"/>
      <c r="BP596" s="129"/>
      <c r="BQ596" s="129"/>
      <c r="BR596" s="129"/>
      <c r="BS596" s="129"/>
      <c r="BT596" s="129"/>
      <c r="BU596" s="129"/>
      <c r="BV596" s="129"/>
      <c r="BW596" s="129"/>
      <c r="BX596" s="129"/>
      <c r="BY596" s="129"/>
      <c r="BZ596" s="129"/>
      <c r="CA596" s="129"/>
      <c r="CB596" s="129"/>
      <c r="CC596" s="129"/>
      <c r="CD596" s="129"/>
    </row>
    <row r="597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29"/>
      <c r="AM597" s="129"/>
      <c r="AN597" s="144"/>
      <c r="AO597" s="129"/>
      <c r="AP597" s="129"/>
      <c r="AQ597" s="129"/>
      <c r="AR597" s="129"/>
      <c r="AS597" s="129"/>
      <c r="AT597" s="129"/>
      <c r="AU597" s="129"/>
      <c r="AV597" s="129"/>
      <c r="AW597" s="129"/>
      <c r="AX597" s="129"/>
      <c r="AY597" s="129"/>
      <c r="AZ597" s="129"/>
      <c r="BA597" s="129"/>
      <c r="BB597" s="129"/>
      <c r="BC597" s="129"/>
      <c r="BD597" s="129"/>
      <c r="BE597" s="129"/>
      <c r="BF597" s="144"/>
      <c r="BG597" s="129"/>
      <c r="BH597" s="129"/>
      <c r="BI597" s="129"/>
      <c r="BJ597" s="129"/>
      <c r="BK597" s="129"/>
      <c r="BL597" s="129"/>
      <c r="BM597" s="129"/>
      <c r="BN597" s="129"/>
      <c r="BO597" s="129"/>
      <c r="BP597" s="129"/>
      <c r="BQ597" s="129"/>
      <c r="BR597" s="129"/>
      <c r="BS597" s="129"/>
      <c r="BT597" s="129"/>
      <c r="BU597" s="129"/>
      <c r="BV597" s="129"/>
      <c r="BW597" s="129"/>
      <c r="BX597" s="129"/>
      <c r="BY597" s="129"/>
      <c r="BZ597" s="129"/>
      <c r="CA597" s="129"/>
      <c r="CB597" s="129"/>
      <c r="CC597" s="129"/>
      <c r="CD597" s="129"/>
    </row>
    <row r="598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29"/>
      <c r="AM598" s="129"/>
      <c r="AN598" s="144"/>
      <c r="AO598" s="129"/>
      <c r="AP598" s="129"/>
      <c r="AQ598" s="129"/>
      <c r="AR598" s="129"/>
      <c r="AS598" s="129"/>
      <c r="AT598" s="129"/>
      <c r="AU598" s="129"/>
      <c r="AV598" s="129"/>
      <c r="AW598" s="129"/>
      <c r="AX598" s="129"/>
      <c r="AY598" s="129"/>
      <c r="AZ598" s="129"/>
      <c r="BA598" s="129"/>
      <c r="BB598" s="129"/>
      <c r="BC598" s="129"/>
      <c r="BD598" s="129"/>
      <c r="BE598" s="129"/>
      <c r="BF598" s="144"/>
      <c r="BG598" s="129"/>
      <c r="BH598" s="129"/>
      <c r="BI598" s="129"/>
      <c r="BJ598" s="129"/>
      <c r="BK598" s="129"/>
      <c r="BL598" s="129"/>
      <c r="BM598" s="129"/>
      <c r="BN598" s="129"/>
      <c r="BO598" s="129"/>
      <c r="BP598" s="129"/>
      <c r="BQ598" s="129"/>
      <c r="BR598" s="129"/>
      <c r="BS598" s="129"/>
      <c r="BT598" s="129"/>
      <c r="BU598" s="129"/>
      <c r="BV598" s="129"/>
      <c r="BW598" s="129"/>
      <c r="BX598" s="129"/>
      <c r="BY598" s="129"/>
      <c r="BZ598" s="129"/>
      <c r="CA598" s="129"/>
      <c r="CB598" s="129"/>
      <c r="CC598" s="129"/>
      <c r="CD598" s="129"/>
    </row>
    <row r="599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29"/>
      <c r="AM599" s="129"/>
      <c r="AN599" s="144"/>
      <c r="AO599" s="129"/>
      <c r="AP599" s="129"/>
      <c r="AQ599" s="129"/>
      <c r="AR599" s="129"/>
      <c r="AS599" s="129"/>
      <c r="AT599" s="129"/>
      <c r="AU599" s="129"/>
      <c r="AV599" s="129"/>
      <c r="AW599" s="129"/>
      <c r="AX599" s="129"/>
      <c r="AY599" s="129"/>
      <c r="AZ599" s="129"/>
      <c r="BA599" s="129"/>
      <c r="BB599" s="129"/>
      <c r="BC599" s="129"/>
      <c r="BD599" s="129"/>
      <c r="BE599" s="129"/>
      <c r="BF599" s="144"/>
      <c r="BG599" s="129"/>
      <c r="BH599" s="129"/>
      <c r="BI599" s="129"/>
      <c r="BJ599" s="129"/>
      <c r="BK599" s="129"/>
      <c r="BL599" s="129"/>
      <c r="BM599" s="129"/>
      <c r="BN599" s="129"/>
      <c r="BO599" s="129"/>
      <c r="BP599" s="129"/>
      <c r="BQ599" s="129"/>
      <c r="BR599" s="129"/>
      <c r="BS599" s="129"/>
      <c r="BT599" s="129"/>
      <c r="BU599" s="129"/>
      <c r="BV599" s="129"/>
      <c r="BW599" s="129"/>
      <c r="BX599" s="129"/>
      <c r="BY599" s="129"/>
      <c r="BZ599" s="129"/>
      <c r="CA599" s="129"/>
      <c r="CB599" s="129"/>
      <c r="CC599" s="129"/>
      <c r="CD599" s="129"/>
    </row>
    <row r="600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29"/>
      <c r="AM600" s="129"/>
      <c r="AN600" s="144"/>
      <c r="AO600" s="129"/>
      <c r="AP600" s="129"/>
      <c r="AQ600" s="129"/>
      <c r="AR600" s="129"/>
      <c r="AS600" s="129"/>
      <c r="AT600" s="129"/>
      <c r="AU600" s="129"/>
      <c r="AV600" s="129"/>
      <c r="AW600" s="129"/>
      <c r="AX600" s="129"/>
      <c r="AY600" s="129"/>
      <c r="AZ600" s="129"/>
      <c r="BA600" s="129"/>
      <c r="BB600" s="129"/>
      <c r="BC600" s="129"/>
      <c r="BD600" s="129"/>
      <c r="BE600" s="129"/>
      <c r="BF600" s="144"/>
      <c r="BG600" s="129"/>
      <c r="BH600" s="129"/>
      <c r="BI600" s="129"/>
      <c r="BJ600" s="129"/>
      <c r="BK600" s="129"/>
      <c r="BL600" s="129"/>
      <c r="BM600" s="129"/>
      <c r="BN600" s="129"/>
      <c r="BO600" s="129"/>
      <c r="BP600" s="129"/>
      <c r="BQ600" s="129"/>
      <c r="BR600" s="129"/>
      <c r="BS600" s="129"/>
      <c r="BT600" s="129"/>
      <c r="BU600" s="129"/>
      <c r="BV600" s="129"/>
      <c r="BW600" s="129"/>
      <c r="BX600" s="129"/>
      <c r="BY600" s="129"/>
      <c r="BZ600" s="129"/>
      <c r="CA600" s="129"/>
      <c r="CB600" s="129"/>
      <c r="CC600" s="129"/>
      <c r="CD600" s="129"/>
    </row>
    <row r="60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29"/>
      <c r="AM601" s="129"/>
      <c r="AN601" s="144"/>
      <c r="AO601" s="129"/>
      <c r="AP601" s="129"/>
      <c r="AQ601" s="129"/>
      <c r="AR601" s="129"/>
      <c r="AS601" s="129"/>
      <c r="AT601" s="129"/>
      <c r="AU601" s="129"/>
      <c r="AV601" s="129"/>
      <c r="AW601" s="129"/>
      <c r="AX601" s="129"/>
      <c r="AY601" s="129"/>
      <c r="AZ601" s="129"/>
      <c r="BA601" s="129"/>
      <c r="BB601" s="129"/>
      <c r="BC601" s="129"/>
      <c r="BD601" s="129"/>
      <c r="BE601" s="129"/>
      <c r="BF601" s="144"/>
      <c r="BG601" s="129"/>
      <c r="BH601" s="129"/>
      <c r="BI601" s="129"/>
      <c r="BJ601" s="129"/>
      <c r="BK601" s="129"/>
      <c r="BL601" s="129"/>
      <c r="BM601" s="129"/>
      <c r="BN601" s="129"/>
      <c r="BO601" s="129"/>
      <c r="BP601" s="129"/>
      <c r="BQ601" s="129"/>
      <c r="BR601" s="129"/>
      <c r="BS601" s="129"/>
      <c r="BT601" s="129"/>
      <c r="BU601" s="129"/>
      <c r="BV601" s="129"/>
      <c r="BW601" s="129"/>
      <c r="BX601" s="129"/>
      <c r="BY601" s="129"/>
      <c r="BZ601" s="129"/>
      <c r="CA601" s="129"/>
      <c r="CB601" s="129"/>
      <c r="CC601" s="129"/>
      <c r="CD601" s="129"/>
    </row>
    <row r="60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29"/>
      <c r="AM602" s="129"/>
      <c r="AN602" s="144"/>
      <c r="AO602" s="129"/>
      <c r="AP602" s="129"/>
      <c r="AQ602" s="129"/>
      <c r="AR602" s="129"/>
      <c r="AS602" s="129"/>
      <c r="AT602" s="129"/>
      <c r="AU602" s="129"/>
      <c r="AV602" s="129"/>
      <c r="AW602" s="129"/>
      <c r="AX602" s="129"/>
      <c r="AY602" s="129"/>
      <c r="AZ602" s="129"/>
      <c r="BA602" s="129"/>
      <c r="BB602" s="129"/>
      <c r="BC602" s="129"/>
      <c r="BD602" s="129"/>
      <c r="BE602" s="129"/>
      <c r="BF602" s="144"/>
      <c r="BG602" s="129"/>
      <c r="BH602" s="129"/>
      <c r="BI602" s="129"/>
      <c r="BJ602" s="129"/>
      <c r="BK602" s="129"/>
      <c r="BL602" s="129"/>
      <c r="BM602" s="129"/>
      <c r="BN602" s="129"/>
      <c r="BO602" s="129"/>
      <c r="BP602" s="129"/>
      <c r="BQ602" s="129"/>
      <c r="BR602" s="129"/>
      <c r="BS602" s="129"/>
      <c r="BT602" s="129"/>
      <c r="BU602" s="129"/>
      <c r="BV602" s="129"/>
      <c r="BW602" s="129"/>
      <c r="BX602" s="129"/>
      <c r="BY602" s="129"/>
      <c r="BZ602" s="129"/>
      <c r="CA602" s="129"/>
      <c r="CB602" s="129"/>
      <c r="CC602" s="129"/>
      <c r="CD602" s="129"/>
    </row>
    <row r="603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29"/>
      <c r="AM603" s="129"/>
      <c r="AN603" s="144"/>
      <c r="AO603" s="129"/>
      <c r="AP603" s="129"/>
      <c r="AQ603" s="129"/>
      <c r="AR603" s="129"/>
      <c r="AS603" s="129"/>
      <c r="AT603" s="129"/>
      <c r="AU603" s="129"/>
      <c r="AV603" s="129"/>
      <c r="AW603" s="129"/>
      <c r="AX603" s="129"/>
      <c r="AY603" s="129"/>
      <c r="AZ603" s="129"/>
      <c r="BA603" s="129"/>
      <c r="BB603" s="129"/>
      <c r="BC603" s="129"/>
      <c r="BD603" s="129"/>
      <c r="BE603" s="129"/>
      <c r="BF603" s="144"/>
      <c r="BG603" s="129"/>
      <c r="BH603" s="129"/>
      <c r="BI603" s="129"/>
      <c r="BJ603" s="129"/>
      <c r="BK603" s="129"/>
      <c r="BL603" s="129"/>
      <c r="BM603" s="129"/>
      <c r="BN603" s="129"/>
      <c r="BO603" s="129"/>
      <c r="BP603" s="129"/>
      <c r="BQ603" s="129"/>
      <c r="BR603" s="129"/>
      <c r="BS603" s="129"/>
      <c r="BT603" s="129"/>
      <c r="BU603" s="129"/>
      <c r="BV603" s="129"/>
      <c r="BW603" s="129"/>
      <c r="BX603" s="129"/>
      <c r="BY603" s="129"/>
      <c r="BZ603" s="129"/>
      <c r="CA603" s="129"/>
      <c r="CB603" s="129"/>
      <c r="CC603" s="129"/>
      <c r="CD603" s="129"/>
    </row>
    <row r="604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29"/>
      <c r="AM604" s="129"/>
      <c r="AN604" s="144"/>
      <c r="AO604" s="129"/>
      <c r="AP604" s="129"/>
      <c r="AQ604" s="129"/>
      <c r="AR604" s="129"/>
      <c r="AS604" s="129"/>
      <c r="AT604" s="129"/>
      <c r="AU604" s="129"/>
      <c r="AV604" s="129"/>
      <c r="AW604" s="129"/>
      <c r="AX604" s="129"/>
      <c r="AY604" s="129"/>
      <c r="AZ604" s="129"/>
      <c r="BA604" s="129"/>
      <c r="BB604" s="129"/>
      <c r="BC604" s="129"/>
      <c r="BD604" s="129"/>
      <c r="BE604" s="129"/>
      <c r="BF604" s="144"/>
      <c r="BG604" s="129"/>
      <c r="BH604" s="129"/>
      <c r="BI604" s="129"/>
      <c r="BJ604" s="129"/>
      <c r="BK604" s="129"/>
      <c r="BL604" s="129"/>
      <c r="BM604" s="129"/>
      <c r="BN604" s="129"/>
      <c r="BO604" s="129"/>
      <c r="BP604" s="129"/>
      <c r="BQ604" s="129"/>
      <c r="BR604" s="129"/>
      <c r="BS604" s="129"/>
      <c r="BT604" s="129"/>
      <c r="BU604" s="129"/>
      <c r="BV604" s="129"/>
      <c r="BW604" s="129"/>
      <c r="BX604" s="129"/>
      <c r="BY604" s="129"/>
      <c r="BZ604" s="129"/>
      <c r="CA604" s="129"/>
      <c r="CB604" s="129"/>
      <c r="CC604" s="129"/>
      <c r="CD604" s="129"/>
    </row>
    <row r="605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29"/>
      <c r="AM605" s="129"/>
      <c r="AN605" s="144"/>
      <c r="AO605" s="129"/>
      <c r="AP605" s="129"/>
      <c r="AQ605" s="129"/>
      <c r="AR605" s="129"/>
      <c r="AS605" s="129"/>
      <c r="AT605" s="129"/>
      <c r="AU605" s="129"/>
      <c r="AV605" s="129"/>
      <c r="AW605" s="129"/>
      <c r="AX605" s="129"/>
      <c r="AY605" s="129"/>
      <c r="AZ605" s="129"/>
      <c r="BA605" s="129"/>
      <c r="BB605" s="129"/>
      <c r="BC605" s="129"/>
      <c r="BD605" s="129"/>
      <c r="BE605" s="129"/>
      <c r="BF605" s="144"/>
      <c r="BG605" s="129"/>
      <c r="BH605" s="129"/>
      <c r="BI605" s="129"/>
      <c r="BJ605" s="129"/>
      <c r="BK605" s="129"/>
      <c r="BL605" s="129"/>
      <c r="BM605" s="129"/>
      <c r="BN605" s="129"/>
      <c r="BO605" s="129"/>
      <c r="BP605" s="129"/>
      <c r="BQ605" s="129"/>
      <c r="BR605" s="129"/>
      <c r="BS605" s="129"/>
      <c r="BT605" s="129"/>
      <c r="BU605" s="129"/>
      <c r="BV605" s="129"/>
      <c r="BW605" s="129"/>
      <c r="BX605" s="129"/>
      <c r="BY605" s="129"/>
      <c r="BZ605" s="129"/>
      <c r="CA605" s="129"/>
      <c r="CB605" s="129"/>
      <c r="CC605" s="129"/>
      <c r="CD605" s="129"/>
    </row>
    <row r="606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29"/>
      <c r="AM606" s="129"/>
      <c r="AN606" s="144"/>
      <c r="AO606" s="129"/>
      <c r="AP606" s="129"/>
      <c r="AQ606" s="129"/>
      <c r="AR606" s="129"/>
      <c r="AS606" s="129"/>
      <c r="AT606" s="129"/>
      <c r="AU606" s="129"/>
      <c r="AV606" s="129"/>
      <c r="AW606" s="129"/>
      <c r="AX606" s="129"/>
      <c r="AY606" s="129"/>
      <c r="AZ606" s="129"/>
      <c r="BA606" s="129"/>
      <c r="BB606" s="129"/>
      <c r="BC606" s="129"/>
      <c r="BD606" s="129"/>
      <c r="BE606" s="129"/>
      <c r="BF606" s="144"/>
      <c r="BG606" s="129"/>
      <c r="BH606" s="129"/>
      <c r="BI606" s="129"/>
      <c r="BJ606" s="129"/>
      <c r="BK606" s="129"/>
      <c r="BL606" s="129"/>
      <c r="BM606" s="129"/>
      <c r="BN606" s="129"/>
      <c r="BO606" s="129"/>
      <c r="BP606" s="129"/>
      <c r="BQ606" s="129"/>
      <c r="BR606" s="129"/>
      <c r="BS606" s="129"/>
      <c r="BT606" s="129"/>
      <c r="BU606" s="129"/>
      <c r="BV606" s="129"/>
      <c r="BW606" s="129"/>
      <c r="BX606" s="129"/>
      <c r="BY606" s="129"/>
      <c r="BZ606" s="129"/>
      <c r="CA606" s="129"/>
      <c r="CB606" s="129"/>
      <c r="CC606" s="129"/>
      <c r="CD606" s="129"/>
    </row>
    <row r="607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29"/>
      <c r="AM607" s="129"/>
      <c r="AN607" s="144"/>
      <c r="AO607" s="129"/>
      <c r="AP607" s="129"/>
      <c r="AQ607" s="129"/>
      <c r="AR607" s="129"/>
      <c r="AS607" s="129"/>
      <c r="AT607" s="129"/>
      <c r="AU607" s="129"/>
      <c r="AV607" s="129"/>
      <c r="AW607" s="129"/>
      <c r="AX607" s="129"/>
      <c r="AY607" s="129"/>
      <c r="AZ607" s="129"/>
      <c r="BA607" s="129"/>
      <c r="BB607" s="129"/>
      <c r="BC607" s="129"/>
      <c r="BD607" s="129"/>
      <c r="BE607" s="129"/>
      <c r="BF607" s="144"/>
      <c r="BG607" s="129"/>
      <c r="BH607" s="129"/>
      <c r="BI607" s="129"/>
      <c r="BJ607" s="129"/>
      <c r="BK607" s="129"/>
      <c r="BL607" s="129"/>
      <c r="BM607" s="129"/>
      <c r="BN607" s="129"/>
      <c r="BO607" s="129"/>
      <c r="BP607" s="129"/>
      <c r="BQ607" s="129"/>
      <c r="BR607" s="129"/>
      <c r="BS607" s="129"/>
      <c r="BT607" s="129"/>
      <c r="BU607" s="129"/>
      <c r="BV607" s="129"/>
      <c r="BW607" s="129"/>
      <c r="BX607" s="129"/>
      <c r="BY607" s="129"/>
      <c r="BZ607" s="129"/>
      <c r="CA607" s="129"/>
      <c r="CB607" s="129"/>
      <c r="CC607" s="129"/>
      <c r="CD607" s="129"/>
    </row>
    <row r="608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29"/>
      <c r="AM608" s="129"/>
      <c r="AN608" s="144"/>
      <c r="AO608" s="129"/>
      <c r="AP608" s="129"/>
      <c r="AQ608" s="129"/>
      <c r="AR608" s="129"/>
      <c r="AS608" s="129"/>
      <c r="AT608" s="129"/>
      <c r="AU608" s="129"/>
      <c r="AV608" s="129"/>
      <c r="AW608" s="129"/>
      <c r="AX608" s="129"/>
      <c r="AY608" s="129"/>
      <c r="AZ608" s="129"/>
      <c r="BA608" s="129"/>
      <c r="BB608" s="129"/>
      <c r="BC608" s="129"/>
      <c r="BD608" s="129"/>
      <c r="BE608" s="129"/>
      <c r="BF608" s="144"/>
      <c r="BG608" s="129"/>
      <c r="BH608" s="129"/>
      <c r="BI608" s="129"/>
      <c r="BJ608" s="129"/>
      <c r="BK608" s="129"/>
      <c r="BL608" s="129"/>
      <c r="BM608" s="129"/>
      <c r="BN608" s="129"/>
      <c r="BO608" s="129"/>
      <c r="BP608" s="129"/>
      <c r="BQ608" s="129"/>
      <c r="BR608" s="129"/>
      <c r="BS608" s="129"/>
      <c r="BT608" s="129"/>
      <c r="BU608" s="129"/>
      <c r="BV608" s="129"/>
      <c r="BW608" s="129"/>
      <c r="BX608" s="129"/>
      <c r="BY608" s="129"/>
      <c r="BZ608" s="129"/>
      <c r="CA608" s="129"/>
      <c r="CB608" s="129"/>
      <c r="CC608" s="129"/>
      <c r="CD608" s="129"/>
    </row>
    <row r="609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29"/>
      <c r="AM609" s="129"/>
      <c r="AN609" s="144"/>
      <c r="AO609" s="129"/>
      <c r="AP609" s="129"/>
      <c r="AQ609" s="129"/>
      <c r="AR609" s="129"/>
      <c r="AS609" s="129"/>
      <c r="AT609" s="129"/>
      <c r="AU609" s="129"/>
      <c r="AV609" s="129"/>
      <c r="AW609" s="129"/>
      <c r="AX609" s="129"/>
      <c r="AY609" s="129"/>
      <c r="AZ609" s="129"/>
      <c r="BA609" s="129"/>
      <c r="BB609" s="129"/>
      <c r="BC609" s="129"/>
      <c r="BD609" s="129"/>
      <c r="BE609" s="129"/>
      <c r="BF609" s="144"/>
      <c r="BG609" s="129"/>
      <c r="BH609" s="129"/>
      <c r="BI609" s="129"/>
      <c r="BJ609" s="129"/>
      <c r="BK609" s="129"/>
      <c r="BL609" s="129"/>
      <c r="BM609" s="129"/>
      <c r="BN609" s="129"/>
      <c r="BO609" s="129"/>
      <c r="BP609" s="129"/>
      <c r="BQ609" s="129"/>
      <c r="BR609" s="129"/>
      <c r="BS609" s="129"/>
      <c r="BT609" s="129"/>
      <c r="BU609" s="129"/>
      <c r="BV609" s="129"/>
      <c r="BW609" s="129"/>
      <c r="BX609" s="129"/>
      <c r="BY609" s="129"/>
      <c r="BZ609" s="129"/>
      <c r="CA609" s="129"/>
      <c r="CB609" s="129"/>
      <c r="CC609" s="129"/>
      <c r="CD609" s="129"/>
    </row>
    <row r="610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29"/>
      <c r="AM610" s="129"/>
      <c r="AN610" s="144"/>
      <c r="AO610" s="129"/>
      <c r="AP610" s="129"/>
      <c r="AQ610" s="129"/>
      <c r="AR610" s="129"/>
      <c r="AS610" s="129"/>
      <c r="AT610" s="129"/>
      <c r="AU610" s="129"/>
      <c r="AV610" s="129"/>
      <c r="AW610" s="129"/>
      <c r="AX610" s="129"/>
      <c r="AY610" s="129"/>
      <c r="AZ610" s="129"/>
      <c r="BA610" s="129"/>
      <c r="BB610" s="129"/>
      <c r="BC610" s="129"/>
      <c r="BD610" s="129"/>
      <c r="BE610" s="129"/>
      <c r="BF610" s="144"/>
      <c r="BG610" s="129"/>
      <c r="BH610" s="129"/>
      <c r="BI610" s="129"/>
      <c r="BJ610" s="129"/>
      <c r="BK610" s="129"/>
      <c r="BL610" s="129"/>
      <c r="BM610" s="129"/>
      <c r="BN610" s="129"/>
      <c r="BO610" s="129"/>
      <c r="BP610" s="129"/>
      <c r="BQ610" s="129"/>
      <c r="BR610" s="129"/>
      <c r="BS610" s="129"/>
      <c r="BT610" s="129"/>
      <c r="BU610" s="129"/>
      <c r="BV610" s="129"/>
      <c r="BW610" s="129"/>
      <c r="BX610" s="129"/>
      <c r="BY610" s="129"/>
      <c r="BZ610" s="129"/>
      <c r="CA610" s="129"/>
      <c r="CB610" s="129"/>
      <c r="CC610" s="129"/>
      <c r="CD610" s="129"/>
    </row>
    <row r="61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29"/>
      <c r="AM611" s="129"/>
      <c r="AN611" s="144"/>
      <c r="AO611" s="129"/>
      <c r="AP611" s="129"/>
      <c r="AQ611" s="129"/>
      <c r="AR611" s="129"/>
      <c r="AS611" s="129"/>
      <c r="AT611" s="129"/>
      <c r="AU611" s="129"/>
      <c r="AV611" s="129"/>
      <c r="AW611" s="129"/>
      <c r="AX611" s="129"/>
      <c r="AY611" s="129"/>
      <c r="AZ611" s="129"/>
      <c r="BA611" s="129"/>
      <c r="BB611" s="129"/>
      <c r="BC611" s="129"/>
      <c r="BD611" s="129"/>
      <c r="BE611" s="129"/>
      <c r="BF611" s="144"/>
      <c r="BG611" s="129"/>
      <c r="BH611" s="129"/>
      <c r="BI611" s="129"/>
      <c r="BJ611" s="129"/>
      <c r="BK611" s="129"/>
      <c r="BL611" s="129"/>
      <c r="BM611" s="129"/>
      <c r="BN611" s="129"/>
      <c r="BO611" s="129"/>
      <c r="BP611" s="129"/>
      <c r="BQ611" s="129"/>
      <c r="BR611" s="129"/>
      <c r="BS611" s="129"/>
      <c r="BT611" s="129"/>
      <c r="BU611" s="129"/>
      <c r="BV611" s="129"/>
      <c r="BW611" s="129"/>
      <c r="BX611" s="129"/>
      <c r="BY611" s="129"/>
      <c r="BZ611" s="129"/>
      <c r="CA611" s="129"/>
      <c r="CB611" s="129"/>
      <c r="CC611" s="129"/>
      <c r="CD611" s="129"/>
    </row>
    <row r="61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29"/>
      <c r="AM612" s="129"/>
      <c r="AN612" s="144"/>
      <c r="AO612" s="129"/>
      <c r="AP612" s="129"/>
      <c r="AQ612" s="129"/>
      <c r="AR612" s="129"/>
      <c r="AS612" s="129"/>
      <c r="AT612" s="129"/>
      <c r="AU612" s="129"/>
      <c r="AV612" s="129"/>
      <c r="AW612" s="129"/>
      <c r="AX612" s="129"/>
      <c r="AY612" s="129"/>
      <c r="AZ612" s="129"/>
      <c r="BA612" s="129"/>
      <c r="BB612" s="129"/>
      <c r="BC612" s="129"/>
      <c r="BD612" s="129"/>
      <c r="BE612" s="129"/>
      <c r="BF612" s="144"/>
      <c r="BG612" s="129"/>
      <c r="BH612" s="129"/>
      <c r="BI612" s="129"/>
      <c r="BJ612" s="129"/>
      <c r="BK612" s="129"/>
      <c r="BL612" s="129"/>
      <c r="BM612" s="129"/>
      <c r="BN612" s="129"/>
      <c r="BO612" s="129"/>
      <c r="BP612" s="129"/>
      <c r="BQ612" s="129"/>
      <c r="BR612" s="129"/>
      <c r="BS612" s="129"/>
      <c r="BT612" s="129"/>
      <c r="BU612" s="129"/>
      <c r="BV612" s="129"/>
      <c r="BW612" s="129"/>
      <c r="BX612" s="129"/>
      <c r="BY612" s="129"/>
      <c r="BZ612" s="129"/>
      <c r="CA612" s="129"/>
      <c r="CB612" s="129"/>
      <c r="CC612" s="129"/>
      <c r="CD612" s="129"/>
    </row>
    <row r="613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29"/>
      <c r="AM613" s="129"/>
      <c r="AN613" s="144"/>
      <c r="AO613" s="129"/>
      <c r="AP613" s="129"/>
      <c r="AQ613" s="129"/>
      <c r="AR613" s="129"/>
      <c r="AS613" s="129"/>
      <c r="AT613" s="129"/>
      <c r="AU613" s="129"/>
      <c r="AV613" s="129"/>
      <c r="AW613" s="129"/>
      <c r="AX613" s="129"/>
      <c r="AY613" s="129"/>
      <c r="AZ613" s="129"/>
      <c r="BA613" s="129"/>
      <c r="BB613" s="129"/>
      <c r="BC613" s="129"/>
      <c r="BD613" s="129"/>
      <c r="BE613" s="129"/>
      <c r="BF613" s="144"/>
      <c r="BG613" s="129"/>
      <c r="BH613" s="129"/>
      <c r="BI613" s="129"/>
      <c r="BJ613" s="129"/>
      <c r="BK613" s="129"/>
      <c r="BL613" s="129"/>
      <c r="BM613" s="129"/>
      <c r="BN613" s="129"/>
      <c r="BO613" s="129"/>
      <c r="BP613" s="129"/>
      <c r="BQ613" s="129"/>
      <c r="BR613" s="129"/>
      <c r="BS613" s="129"/>
      <c r="BT613" s="129"/>
      <c r="BU613" s="129"/>
      <c r="BV613" s="129"/>
      <c r="BW613" s="129"/>
      <c r="BX613" s="129"/>
      <c r="BY613" s="129"/>
      <c r="BZ613" s="129"/>
      <c r="CA613" s="129"/>
      <c r="CB613" s="129"/>
      <c r="CC613" s="129"/>
      <c r="CD613" s="129"/>
    </row>
    <row r="614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44"/>
      <c r="AO614" s="129"/>
      <c r="AP614" s="129"/>
      <c r="AQ614" s="129"/>
      <c r="AR614" s="129"/>
      <c r="AS614" s="129"/>
      <c r="AT614" s="129"/>
      <c r="AU614" s="129"/>
      <c r="AV614" s="129"/>
      <c r="AW614" s="129"/>
      <c r="AX614" s="129"/>
      <c r="AY614" s="129"/>
      <c r="AZ614" s="129"/>
      <c r="BA614" s="129"/>
      <c r="BB614" s="129"/>
      <c r="BC614" s="129"/>
      <c r="BD614" s="129"/>
      <c r="BE614" s="129"/>
      <c r="BF614" s="144"/>
      <c r="BG614" s="129"/>
      <c r="BH614" s="129"/>
      <c r="BI614" s="129"/>
      <c r="BJ614" s="129"/>
      <c r="BK614" s="129"/>
      <c r="BL614" s="129"/>
      <c r="BM614" s="129"/>
      <c r="BN614" s="129"/>
      <c r="BO614" s="129"/>
      <c r="BP614" s="129"/>
      <c r="BQ614" s="129"/>
      <c r="BR614" s="129"/>
      <c r="BS614" s="129"/>
      <c r="BT614" s="129"/>
      <c r="BU614" s="129"/>
      <c r="BV614" s="129"/>
      <c r="BW614" s="129"/>
      <c r="BX614" s="129"/>
      <c r="BY614" s="129"/>
      <c r="BZ614" s="129"/>
      <c r="CA614" s="129"/>
      <c r="CB614" s="129"/>
      <c r="CC614" s="129"/>
      <c r="CD614" s="129"/>
    </row>
    <row r="615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44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44"/>
      <c r="BG615" s="129"/>
      <c r="BH615" s="129"/>
      <c r="BI615" s="129"/>
      <c r="BJ615" s="129"/>
      <c r="BK615" s="129"/>
      <c r="BL615" s="129"/>
      <c r="BM615" s="129"/>
      <c r="BN615" s="129"/>
      <c r="BO615" s="129"/>
      <c r="BP615" s="129"/>
      <c r="BQ615" s="129"/>
      <c r="BR615" s="129"/>
      <c r="BS615" s="129"/>
      <c r="BT615" s="129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</row>
    <row r="616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129"/>
      <c r="AN616" s="144"/>
      <c r="AO616" s="129"/>
      <c r="AP616" s="129"/>
      <c r="AQ616" s="129"/>
      <c r="AR616" s="129"/>
      <c r="AS616" s="129"/>
      <c r="AT616" s="129"/>
      <c r="AU616" s="129"/>
      <c r="AV616" s="129"/>
      <c r="AW616" s="129"/>
      <c r="AX616" s="129"/>
      <c r="AY616" s="129"/>
      <c r="AZ616" s="129"/>
      <c r="BA616" s="129"/>
      <c r="BB616" s="129"/>
      <c r="BC616" s="129"/>
      <c r="BD616" s="129"/>
      <c r="BE616" s="129"/>
      <c r="BF616" s="144"/>
      <c r="BG616" s="129"/>
      <c r="BH616" s="129"/>
      <c r="BI616" s="129"/>
      <c r="BJ616" s="129"/>
      <c r="BK616" s="129"/>
      <c r="BL616" s="129"/>
      <c r="BM616" s="129"/>
      <c r="BN616" s="129"/>
      <c r="BO616" s="129"/>
      <c r="BP616" s="129"/>
      <c r="BQ616" s="129"/>
      <c r="BR616" s="129"/>
      <c r="BS616" s="129"/>
      <c r="BT616" s="129"/>
      <c r="BU616" s="129"/>
      <c r="BV616" s="129"/>
      <c r="BW616" s="129"/>
      <c r="BX616" s="129"/>
      <c r="BY616" s="129"/>
      <c r="BZ616" s="129"/>
      <c r="CA616" s="129"/>
      <c r="CB616" s="129"/>
      <c r="CC616" s="129"/>
      <c r="CD616" s="129"/>
    </row>
    <row r="617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29"/>
      <c r="AM617" s="129"/>
      <c r="AN617" s="144"/>
      <c r="AO617" s="129"/>
      <c r="AP617" s="129"/>
      <c r="AQ617" s="129"/>
      <c r="AR617" s="129"/>
      <c r="AS617" s="129"/>
      <c r="AT617" s="129"/>
      <c r="AU617" s="129"/>
      <c r="AV617" s="129"/>
      <c r="AW617" s="129"/>
      <c r="AX617" s="129"/>
      <c r="AY617" s="129"/>
      <c r="AZ617" s="129"/>
      <c r="BA617" s="129"/>
      <c r="BB617" s="129"/>
      <c r="BC617" s="129"/>
      <c r="BD617" s="129"/>
      <c r="BE617" s="129"/>
      <c r="BF617" s="144"/>
      <c r="BG617" s="129"/>
      <c r="BH617" s="129"/>
      <c r="BI617" s="129"/>
      <c r="BJ617" s="129"/>
      <c r="BK617" s="129"/>
      <c r="BL617" s="129"/>
      <c r="BM617" s="129"/>
      <c r="BN617" s="129"/>
      <c r="BO617" s="129"/>
      <c r="BP617" s="129"/>
      <c r="BQ617" s="129"/>
      <c r="BR617" s="129"/>
      <c r="BS617" s="129"/>
      <c r="BT617" s="129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</row>
    <row r="618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44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44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</row>
    <row r="619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44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44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</row>
    <row r="620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44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44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</row>
    <row r="62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44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44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</row>
    <row r="62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44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44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</row>
    <row r="623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44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44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</row>
    <row r="624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44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44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</row>
    <row r="625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44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44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</row>
    <row r="626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44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44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</row>
    <row r="627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44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44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</row>
    <row r="628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29"/>
      <c r="AM628" s="129"/>
      <c r="AN628" s="144"/>
      <c r="AO628" s="129"/>
      <c r="AP628" s="129"/>
      <c r="AQ628" s="129"/>
      <c r="AR628" s="129"/>
      <c r="AS628" s="129"/>
      <c r="AT628" s="129"/>
      <c r="AU628" s="129"/>
      <c r="AV628" s="129"/>
      <c r="AW628" s="129"/>
      <c r="AX628" s="129"/>
      <c r="AY628" s="129"/>
      <c r="AZ628" s="129"/>
      <c r="BA628" s="129"/>
      <c r="BB628" s="129"/>
      <c r="BC628" s="129"/>
      <c r="BD628" s="129"/>
      <c r="BE628" s="129"/>
      <c r="BF628" s="144"/>
      <c r="BG628" s="129"/>
      <c r="BH628" s="129"/>
      <c r="BI628" s="129"/>
      <c r="BJ628" s="129"/>
      <c r="BK628" s="129"/>
      <c r="BL628" s="129"/>
      <c r="BM628" s="129"/>
      <c r="BN628" s="129"/>
      <c r="BO628" s="129"/>
      <c r="BP628" s="129"/>
      <c r="BQ628" s="129"/>
      <c r="BR628" s="129"/>
      <c r="BS628" s="129"/>
      <c r="BT628" s="129"/>
      <c r="BU628" s="129"/>
      <c r="BV628" s="129"/>
      <c r="BW628" s="129"/>
      <c r="BX628" s="129"/>
      <c r="BY628" s="129"/>
      <c r="BZ628" s="129"/>
      <c r="CA628" s="129"/>
      <c r="CB628" s="129"/>
      <c r="CC628" s="129"/>
      <c r="CD628" s="129"/>
    </row>
    <row r="629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29"/>
      <c r="AM629" s="129"/>
      <c r="AN629" s="144"/>
      <c r="AO629" s="129"/>
      <c r="AP629" s="129"/>
      <c r="AQ629" s="129"/>
      <c r="AR629" s="129"/>
      <c r="AS629" s="129"/>
      <c r="AT629" s="129"/>
      <c r="AU629" s="129"/>
      <c r="AV629" s="129"/>
      <c r="AW629" s="129"/>
      <c r="AX629" s="129"/>
      <c r="AY629" s="129"/>
      <c r="AZ629" s="129"/>
      <c r="BA629" s="129"/>
      <c r="BB629" s="129"/>
      <c r="BC629" s="129"/>
      <c r="BD629" s="129"/>
      <c r="BE629" s="129"/>
      <c r="BF629" s="144"/>
      <c r="BG629" s="129"/>
      <c r="BH629" s="129"/>
      <c r="BI629" s="129"/>
      <c r="BJ629" s="129"/>
      <c r="BK629" s="129"/>
      <c r="BL629" s="129"/>
      <c r="BM629" s="129"/>
      <c r="BN629" s="129"/>
      <c r="BO629" s="129"/>
      <c r="BP629" s="129"/>
      <c r="BQ629" s="129"/>
      <c r="BR629" s="129"/>
      <c r="BS629" s="129"/>
      <c r="BT629" s="129"/>
      <c r="BU629" s="129"/>
      <c r="BV629" s="129"/>
      <c r="BW629" s="129"/>
      <c r="BX629" s="129"/>
      <c r="BY629" s="129"/>
      <c r="BZ629" s="129"/>
      <c r="CA629" s="129"/>
      <c r="CB629" s="129"/>
      <c r="CC629" s="129"/>
      <c r="CD629" s="129"/>
    </row>
    <row r="630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29"/>
      <c r="AM630" s="129"/>
      <c r="AN630" s="144"/>
      <c r="AO630" s="129"/>
      <c r="AP630" s="129"/>
      <c r="AQ630" s="129"/>
      <c r="AR630" s="129"/>
      <c r="AS630" s="129"/>
      <c r="AT630" s="129"/>
      <c r="AU630" s="129"/>
      <c r="AV630" s="129"/>
      <c r="AW630" s="129"/>
      <c r="AX630" s="129"/>
      <c r="AY630" s="129"/>
      <c r="AZ630" s="129"/>
      <c r="BA630" s="129"/>
      <c r="BB630" s="129"/>
      <c r="BC630" s="129"/>
      <c r="BD630" s="129"/>
      <c r="BE630" s="129"/>
      <c r="BF630" s="144"/>
      <c r="BG630" s="129"/>
      <c r="BH630" s="129"/>
      <c r="BI630" s="129"/>
      <c r="BJ630" s="129"/>
      <c r="BK630" s="129"/>
      <c r="BL630" s="129"/>
      <c r="BM630" s="129"/>
      <c r="BN630" s="129"/>
      <c r="BO630" s="129"/>
      <c r="BP630" s="129"/>
      <c r="BQ630" s="129"/>
      <c r="BR630" s="129"/>
      <c r="BS630" s="129"/>
      <c r="BT630" s="129"/>
      <c r="BU630" s="129"/>
      <c r="BV630" s="129"/>
      <c r="BW630" s="129"/>
      <c r="BX630" s="129"/>
      <c r="BY630" s="129"/>
      <c r="BZ630" s="129"/>
      <c r="CA630" s="129"/>
      <c r="CB630" s="129"/>
      <c r="CC630" s="129"/>
      <c r="CD630" s="129"/>
    </row>
    <row r="63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29"/>
      <c r="AM631" s="129"/>
      <c r="AN631" s="144"/>
      <c r="AO631" s="129"/>
      <c r="AP631" s="129"/>
      <c r="AQ631" s="129"/>
      <c r="AR631" s="129"/>
      <c r="AS631" s="129"/>
      <c r="AT631" s="129"/>
      <c r="AU631" s="129"/>
      <c r="AV631" s="129"/>
      <c r="AW631" s="129"/>
      <c r="AX631" s="129"/>
      <c r="AY631" s="129"/>
      <c r="AZ631" s="129"/>
      <c r="BA631" s="129"/>
      <c r="BB631" s="129"/>
      <c r="BC631" s="129"/>
      <c r="BD631" s="129"/>
      <c r="BE631" s="129"/>
      <c r="BF631" s="144"/>
      <c r="BG631" s="129"/>
      <c r="BH631" s="129"/>
      <c r="BI631" s="129"/>
      <c r="BJ631" s="129"/>
      <c r="BK631" s="129"/>
      <c r="BL631" s="129"/>
      <c r="BM631" s="129"/>
      <c r="BN631" s="129"/>
      <c r="BO631" s="129"/>
      <c r="BP631" s="129"/>
      <c r="BQ631" s="129"/>
      <c r="BR631" s="129"/>
      <c r="BS631" s="129"/>
      <c r="BT631" s="129"/>
      <c r="BU631" s="129"/>
      <c r="BV631" s="129"/>
      <c r="BW631" s="129"/>
      <c r="BX631" s="129"/>
      <c r="BY631" s="129"/>
      <c r="BZ631" s="129"/>
      <c r="CA631" s="129"/>
      <c r="CB631" s="129"/>
      <c r="CC631" s="129"/>
      <c r="CD631" s="129"/>
    </row>
    <row r="63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29"/>
      <c r="AM632" s="129"/>
      <c r="AN632" s="144"/>
      <c r="AO632" s="129"/>
      <c r="AP632" s="129"/>
      <c r="AQ632" s="129"/>
      <c r="AR632" s="129"/>
      <c r="AS632" s="129"/>
      <c r="AT632" s="129"/>
      <c r="AU632" s="129"/>
      <c r="AV632" s="129"/>
      <c r="AW632" s="129"/>
      <c r="AX632" s="129"/>
      <c r="AY632" s="129"/>
      <c r="AZ632" s="129"/>
      <c r="BA632" s="129"/>
      <c r="BB632" s="129"/>
      <c r="BC632" s="129"/>
      <c r="BD632" s="129"/>
      <c r="BE632" s="129"/>
      <c r="BF632" s="144"/>
      <c r="BG632" s="129"/>
      <c r="BH632" s="129"/>
      <c r="BI632" s="129"/>
      <c r="BJ632" s="129"/>
      <c r="BK632" s="129"/>
      <c r="BL632" s="129"/>
      <c r="BM632" s="129"/>
      <c r="BN632" s="129"/>
      <c r="BO632" s="129"/>
      <c r="BP632" s="129"/>
      <c r="BQ632" s="129"/>
      <c r="BR632" s="129"/>
      <c r="BS632" s="129"/>
      <c r="BT632" s="129"/>
      <c r="BU632" s="129"/>
      <c r="BV632" s="129"/>
      <c r="BW632" s="129"/>
      <c r="BX632" s="129"/>
      <c r="BY632" s="129"/>
      <c r="BZ632" s="129"/>
      <c r="CA632" s="129"/>
      <c r="CB632" s="129"/>
      <c r="CC632" s="129"/>
      <c r="CD632" s="129"/>
    </row>
    <row r="633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29"/>
      <c r="AM633" s="129"/>
      <c r="AN633" s="144"/>
      <c r="AO633" s="129"/>
      <c r="AP633" s="129"/>
      <c r="AQ633" s="129"/>
      <c r="AR633" s="129"/>
      <c r="AS633" s="129"/>
      <c r="AT633" s="129"/>
      <c r="AU633" s="129"/>
      <c r="AV633" s="129"/>
      <c r="AW633" s="129"/>
      <c r="AX633" s="129"/>
      <c r="AY633" s="129"/>
      <c r="AZ633" s="129"/>
      <c r="BA633" s="129"/>
      <c r="BB633" s="129"/>
      <c r="BC633" s="129"/>
      <c r="BD633" s="129"/>
      <c r="BE633" s="129"/>
      <c r="BF633" s="144"/>
      <c r="BG633" s="129"/>
      <c r="BH633" s="129"/>
      <c r="BI633" s="129"/>
      <c r="BJ633" s="129"/>
      <c r="BK633" s="129"/>
      <c r="BL633" s="129"/>
      <c r="BM633" s="129"/>
      <c r="BN633" s="129"/>
      <c r="BO633" s="129"/>
      <c r="BP633" s="129"/>
      <c r="BQ633" s="129"/>
      <c r="BR633" s="129"/>
      <c r="BS633" s="129"/>
      <c r="BT633" s="129"/>
      <c r="BU633" s="129"/>
      <c r="BV633" s="129"/>
      <c r="BW633" s="129"/>
      <c r="BX633" s="129"/>
      <c r="BY633" s="129"/>
      <c r="BZ633" s="129"/>
      <c r="CA633" s="129"/>
      <c r="CB633" s="129"/>
      <c r="CC633" s="129"/>
      <c r="CD633" s="129"/>
    </row>
    <row r="634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29"/>
      <c r="AM634" s="129"/>
      <c r="AN634" s="144"/>
      <c r="AO634" s="129"/>
      <c r="AP634" s="129"/>
      <c r="AQ634" s="129"/>
      <c r="AR634" s="129"/>
      <c r="AS634" s="129"/>
      <c r="AT634" s="129"/>
      <c r="AU634" s="129"/>
      <c r="AV634" s="129"/>
      <c r="AW634" s="129"/>
      <c r="AX634" s="129"/>
      <c r="AY634" s="129"/>
      <c r="AZ634" s="129"/>
      <c r="BA634" s="129"/>
      <c r="BB634" s="129"/>
      <c r="BC634" s="129"/>
      <c r="BD634" s="129"/>
      <c r="BE634" s="129"/>
      <c r="BF634" s="144"/>
      <c r="BG634" s="129"/>
      <c r="BH634" s="129"/>
      <c r="BI634" s="129"/>
      <c r="BJ634" s="129"/>
      <c r="BK634" s="129"/>
      <c r="BL634" s="129"/>
      <c r="BM634" s="129"/>
      <c r="BN634" s="129"/>
      <c r="BO634" s="129"/>
      <c r="BP634" s="129"/>
      <c r="BQ634" s="129"/>
      <c r="BR634" s="129"/>
      <c r="BS634" s="129"/>
      <c r="BT634" s="129"/>
      <c r="BU634" s="129"/>
      <c r="BV634" s="129"/>
      <c r="BW634" s="129"/>
      <c r="BX634" s="129"/>
      <c r="BY634" s="129"/>
      <c r="BZ634" s="129"/>
      <c r="CA634" s="129"/>
      <c r="CB634" s="129"/>
      <c r="CC634" s="129"/>
      <c r="CD634" s="129"/>
    </row>
    <row r="635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29"/>
      <c r="AM635" s="129"/>
      <c r="AN635" s="144"/>
      <c r="AO635" s="129"/>
      <c r="AP635" s="129"/>
      <c r="AQ635" s="129"/>
      <c r="AR635" s="129"/>
      <c r="AS635" s="129"/>
      <c r="AT635" s="129"/>
      <c r="AU635" s="129"/>
      <c r="AV635" s="129"/>
      <c r="AW635" s="129"/>
      <c r="AX635" s="129"/>
      <c r="AY635" s="129"/>
      <c r="AZ635" s="129"/>
      <c r="BA635" s="129"/>
      <c r="BB635" s="129"/>
      <c r="BC635" s="129"/>
      <c r="BD635" s="129"/>
      <c r="BE635" s="129"/>
      <c r="BF635" s="144"/>
      <c r="BG635" s="129"/>
      <c r="BH635" s="129"/>
      <c r="BI635" s="129"/>
      <c r="BJ635" s="129"/>
      <c r="BK635" s="129"/>
      <c r="BL635" s="129"/>
      <c r="BM635" s="129"/>
      <c r="BN635" s="129"/>
      <c r="BO635" s="129"/>
      <c r="BP635" s="129"/>
      <c r="BQ635" s="129"/>
      <c r="BR635" s="129"/>
      <c r="BS635" s="129"/>
      <c r="BT635" s="129"/>
      <c r="BU635" s="129"/>
      <c r="BV635" s="129"/>
      <c r="BW635" s="129"/>
      <c r="BX635" s="129"/>
      <c r="BY635" s="129"/>
      <c r="BZ635" s="129"/>
      <c r="CA635" s="129"/>
      <c r="CB635" s="129"/>
      <c r="CC635" s="129"/>
      <c r="CD635" s="129"/>
    </row>
    <row r="636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29"/>
      <c r="AM636" s="129"/>
      <c r="AN636" s="144"/>
      <c r="AO636" s="129"/>
      <c r="AP636" s="129"/>
      <c r="AQ636" s="129"/>
      <c r="AR636" s="129"/>
      <c r="AS636" s="129"/>
      <c r="AT636" s="129"/>
      <c r="AU636" s="129"/>
      <c r="AV636" s="129"/>
      <c r="AW636" s="129"/>
      <c r="AX636" s="129"/>
      <c r="AY636" s="129"/>
      <c r="AZ636" s="129"/>
      <c r="BA636" s="129"/>
      <c r="BB636" s="129"/>
      <c r="BC636" s="129"/>
      <c r="BD636" s="129"/>
      <c r="BE636" s="129"/>
      <c r="BF636" s="144"/>
      <c r="BG636" s="129"/>
      <c r="BH636" s="129"/>
      <c r="BI636" s="129"/>
      <c r="BJ636" s="129"/>
      <c r="BK636" s="129"/>
      <c r="BL636" s="129"/>
      <c r="BM636" s="129"/>
      <c r="BN636" s="129"/>
      <c r="BO636" s="129"/>
      <c r="BP636" s="129"/>
      <c r="BQ636" s="129"/>
      <c r="BR636" s="129"/>
      <c r="BS636" s="129"/>
      <c r="BT636" s="129"/>
      <c r="BU636" s="129"/>
      <c r="BV636" s="129"/>
      <c r="BW636" s="129"/>
      <c r="BX636" s="129"/>
      <c r="BY636" s="129"/>
      <c r="BZ636" s="129"/>
      <c r="CA636" s="129"/>
      <c r="CB636" s="129"/>
      <c r="CC636" s="129"/>
      <c r="CD636" s="129"/>
    </row>
    <row r="637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29"/>
      <c r="AM637" s="129"/>
      <c r="AN637" s="144"/>
      <c r="AO637" s="129"/>
      <c r="AP637" s="129"/>
      <c r="AQ637" s="129"/>
      <c r="AR637" s="129"/>
      <c r="AS637" s="129"/>
      <c r="AT637" s="129"/>
      <c r="AU637" s="129"/>
      <c r="AV637" s="129"/>
      <c r="AW637" s="129"/>
      <c r="AX637" s="129"/>
      <c r="AY637" s="129"/>
      <c r="AZ637" s="129"/>
      <c r="BA637" s="129"/>
      <c r="BB637" s="129"/>
      <c r="BC637" s="129"/>
      <c r="BD637" s="129"/>
      <c r="BE637" s="129"/>
      <c r="BF637" s="144"/>
      <c r="BG637" s="129"/>
      <c r="BH637" s="129"/>
      <c r="BI637" s="129"/>
      <c r="BJ637" s="129"/>
      <c r="BK637" s="129"/>
      <c r="BL637" s="129"/>
      <c r="BM637" s="129"/>
      <c r="BN637" s="129"/>
      <c r="BO637" s="129"/>
      <c r="BP637" s="129"/>
      <c r="BQ637" s="129"/>
      <c r="BR637" s="129"/>
      <c r="BS637" s="129"/>
      <c r="BT637" s="129"/>
      <c r="BU637" s="129"/>
      <c r="BV637" s="129"/>
      <c r="BW637" s="129"/>
      <c r="BX637" s="129"/>
      <c r="BY637" s="129"/>
      <c r="BZ637" s="129"/>
      <c r="CA637" s="129"/>
      <c r="CB637" s="129"/>
      <c r="CC637" s="129"/>
      <c r="CD637" s="129"/>
    </row>
    <row r="638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29"/>
      <c r="AM638" s="129"/>
      <c r="AN638" s="144"/>
      <c r="AO638" s="129"/>
      <c r="AP638" s="129"/>
      <c r="AQ638" s="129"/>
      <c r="AR638" s="129"/>
      <c r="AS638" s="129"/>
      <c r="AT638" s="129"/>
      <c r="AU638" s="129"/>
      <c r="AV638" s="129"/>
      <c r="AW638" s="129"/>
      <c r="AX638" s="129"/>
      <c r="AY638" s="129"/>
      <c r="AZ638" s="129"/>
      <c r="BA638" s="129"/>
      <c r="BB638" s="129"/>
      <c r="BC638" s="129"/>
      <c r="BD638" s="129"/>
      <c r="BE638" s="129"/>
      <c r="BF638" s="144"/>
      <c r="BG638" s="129"/>
      <c r="BH638" s="129"/>
      <c r="BI638" s="129"/>
      <c r="BJ638" s="129"/>
      <c r="BK638" s="129"/>
      <c r="BL638" s="129"/>
      <c r="BM638" s="129"/>
      <c r="BN638" s="129"/>
      <c r="BO638" s="129"/>
      <c r="BP638" s="129"/>
      <c r="BQ638" s="129"/>
      <c r="BR638" s="129"/>
      <c r="BS638" s="129"/>
      <c r="BT638" s="129"/>
      <c r="BU638" s="129"/>
      <c r="BV638" s="129"/>
      <c r="BW638" s="129"/>
      <c r="BX638" s="129"/>
      <c r="BY638" s="129"/>
      <c r="BZ638" s="129"/>
      <c r="CA638" s="129"/>
      <c r="CB638" s="129"/>
      <c r="CC638" s="129"/>
      <c r="CD638" s="129"/>
    </row>
    <row r="639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29"/>
      <c r="AM639" s="129"/>
      <c r="AN639" s="144"/>
      <c r="AO639" s="129"/>
      <c r="AP639" s="129"/>
      <c r="AQ639" s="129"/>
      <c r="AR639" s="129"/>
      <c r="AS639" s="129"/>
      <c r="AT639" s="129"/>
      <c r="AU639" s="129"/>
      <c r="AV639" s="129"/>
      <c r="AW639" s="129"/>
      <c r="AX639" s="129"/>
      <c r="AY639" s="129"/>
      <c r="AZ639" s="129"/>
      <c r="BA639" s="129"/>
      <c r="BB639" s="129"/>
      <c r="BC639" s="129"/>
      <c r="BD639" s="129"/>
      <c r="BE639" s="129"/>
      <c r="BF639" s="144"/>
      <c r="BG639" s="129"/>
      <c r="BH639" s="129"/>
      <c r="BI639" s="129"/>
      <c r="BJ639" s="129"/>
      <c r="BK639" s="129"/>
      <c r="BL639" s="129"/>
      <c r="BM639" s="129"/>
      <c r="BN639" s="129"/>
      <c r="BO639" s="129"/>
      <c r="BP639" s="129"/>
      <c r="BQ639" s="129"/>
      <c r="BR639" s="129"/>
      <c r="BS639" s="129"/>
      <c r="BT639" s="129"/>
      <c r="BU639" s="129"/>
      <c r="BV639" s="129"/>
      <c r="BW639" s="129"/>
      <c r="BX639" s="129"/>
      <c r="BY639" s="129"/>
      <c r="BZ639" s="129"/>
      <c r="CA639" s="129"/>
      <c r="CB639" s="129"/>
      <c r="CC639" s="129"/>
      <c r="CD639" s="129"/>
    </row>
    <row r="640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29"/>
      <c r="AM640" s="129"/>
      <c r="AN640" s="144"/>
      <c r="AO640" s="129"/>
      <c r="AP640" s="129"/>
      <c r="AQ640" s="129"/>
      <c r="AR640" s="129"/>
      <c r="AS640" s="129"/>
      <c r="AT640" s="129"/>
      <c r="AU640" s="129"/>
      <c r="AV640" s="129"/>
      <c r="AW640" s="129"/>
      <c r="AX640" s="129"/>
      <c r="AY640" s="129"/>
      <c r="AZ640" s="129"/>
      <c r="BA640" s="129"/>
      <c r="BB640" s="129"/>
      <c r="BC640" s="129"/>
      <c r="BD640" s="129"/>
      <c r="BE640" s="129"/>
      <c r="BF640" s="144"/>
      <c r="BG640" s="129"/>
      <c r="BH640" s="129"/>
      <c r="BI640" s="129"/>
      <c r="BJ640" s="129"/>
      <c r="BK640" s="129"/>
      <c r="BL640" s="129"/>
      <c r="BM640" s="129"/>
      <c r="BN640" s="129"/>
      <c r="BO640" s="129"/>
      <c r="BP640" s="129"/>
      <c r="BQ640" s="129"/>
      <c r="BR640" s="129"/>
      <c r="BS640" s="129"/>
      <c r="BT640" s="129"/>
      <c r="BU640" s="129"/>
      <c r="BV640" s="129"/>
      <c r="BW640" s="129"/>
      <c r="BX640" s="129"/>
      <c r="BY640" s="129"/>
      <c r="BZ640" s="129"/>
      <c r="CA640" s="129"/>
      <c r="CB640" s="129"/>
      <c r="CC640" s="129"/>
      <c r="CD640" s="129"/>
    </row>
    <row r="64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29"/>
      <c r="AM641" s="129"/>
      <c r="AN641" s="144"/>
      <c r="AO641" s="129"/>
      <c r="AP641" s="129"/>
      <c r="AQ641" s="129"/>
      <c r="AR641" s="129"/>
      <c r="AS641" s="129"/>
      <c r="AT641" s="129"/>
      <c r="AU641" s="129"/>
      <c r="AV641" s="129"/>
      <c r="AW641" s="129"/>
      <c r="AX641" s="129"/>
      <c r="AY641" s="129"/>
      <c r="AZ641" s="129"/>
      <c r="BA641" s="129"/>
      <c r="BB641" s="129"/>
      <c r="BC641" s="129"/>
      <c r="BD641" s="129"/>
      <c r="BE641" s="129"/>
      <c r="BF641" s="144"/>
      <c r="BG641" s="129"/>
      <c r="BH641" s="129"/>
      <c r="BI641" s="129"/>
      <c r="BJ641" s="129"/>
      <c r="BK641" s="129"/>
      <c r="BL641" s="129"/>
      <c r="BM641" s="129"/>
      <c r="BN641" s="129"/>
      <c r="BO641" s="129"/>
      <c r="BP641" s="129"/>
      <c r="BQ641" s="129"/>
      <c r="BR641" s="129"/>
      <c r="BS641" s="129"/>
      <c r="BT641" s="129"/>
      <c r="BU641" s="129"/>
      <c r="BV641" s="129"/>
      <c r="BW641" s="129"/>
      <c r="BX641" s="129"/>
      <c r="BY641" s="129"/>
      <c r="BZ641" s="129"/>
      <c r="CA641" s="129"/>
      <c r="CB641" s="129"/>
      <c r="CC641" s="129"/>
      <c r="CD641" s="129"/>
    </row>
    <row r="64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29"/>
      <c r="AM642" s="129"/>
      <c r="AN642" s="144"/>
      <c r="AO642" s="129"/>
      <c r="AP642" s="129"/>
      <c r="AQ642" s="129"/>
      <c r="AR642" s="129"/>
      <c r="AS642" s="129"/>
      <c r="AT642" s="129"/>
      <c r="AU642" s="129"/>
      <c r="AV642" s="129"/>
      <c r="AW642" s="129"/>
      <c r="AX642" s="129"/>
      <c r="AY642" s="129"/>
      <c r="AZ642" s="129"/>
      <c r="BA642" s="129"/>
      <c r="BB642" s="129"/>
      <c r="BC642" s="129"/>
      <c r="BD642" s="129"/>
      <c r="BE642" s="129"/>
      <c r="BF642" s="144"/>
      <c r="BG642" s="129"/>
      <c r="BH642" s="129"/>
      <c r="BI642" s="129"/>
      <c r="BJ642" s="129"/>
      <c r="BK642" s="129"/>
      <c r="BL642" s="129"/>
      <c r="BM642" s="129"/>
      <c r="BN642" s="129"/>
      <c r="BO642" s="129"/>
      <c r="BP642" s="129"/>
      <c r="BQ642" s="129"/>
      <c r="BR642" s="129"/>
      <c r="BS642" s="129"/>
      <c r="BT642" s="129"/>
      <c r="BU642" s="129"/>
      <c r="BV642" s="129"/>
      <c r="BW642" s="129"/>
      <c r="BX642" s="129"/>
      <c r="BY642" s="129"/>
      <c r="BZ642" s="129"/>
      <c r="CA642" s="129"/>
      <c r="CB642" s="129"/>
      <c r="CC642" s="129"/>
      <c r="CD642" s="129"/>
    </row>
    <row r="643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29"/>
      <c r="AM643" s="129"/>
      <c r="AN643" s="144"/>
      <c r="AO643" s="129"/>
      <c r="AP643" s="129"/>
      <c r="AQ643" s="129"/>
      <c r="AR643" s="129"/>
      <c r="AS643" s="129"/>
      <c r="AT643" s="129"/>
      <c r="AU643" s="129"/>
      <c r="AV643" s="129"/>
      <c r="AW643" s="129"/>
      <c r="AX643" s="129"/>
      <c r="AY643" s="129"/>
      <c r="AZ643" s="129"/>
      <c r="BA643" s="129"/>
      <c r="BB643" s="129"/>
      <c r="BC643" s="129"/>
      <c r="BD643" s="129"/>
      <c r="BE643" s="129"/>
      <c r="BF643" s="144"/>
      <c r="BG643" s="129"/>
      <c r="BH643" s="129"/>
      <c r="BI643" s="129"/>
      <c r="BJ643" s="129"/>
      <c r="BK643" s="129"/>
      <c r="BL643" s="129"/>
      <c r="BM643" s="129"/>
      <c r="BN643" s="129"/>
      <c r="BO643" s="129"/>
      <c r="BP643" s="129"/>
      <c r="BQ643" s="129"/>
      <c r="BR643" s="129"/>
      <c r="BS643" s="129"/>
      <c r="BT643" s="129"/>
      <c r="BU643" s="129"/>
      <c r="BV643" s="129"/>
      <c r="BW643" s="129"/>
      <c r="BX643" s="129"/>
      <c r="BY643" s="129"/>
      <c r="BZ643" s="129"/>
      <c r="CA643" s="129"/>
      <c r="CB643" s="129"/>
      <c r="CC643" s="129"/>
      <c r="CD643" s="129"/>
    </row>
    <row r="644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29"/>
      <c r="AM644" s="129"/>
      <c r="AN644" s="144"/>
      <c r="AO644" s="129"/>
      <c r="AP644" s="129"/>
      <c r="AQ644" s="129"/>
      <c r="AR644" s="129"/>
      <c r="AS644" s="129"/>
      <c r="AT644" s="129"/>
      <c r="AU644" s="129"/>
      <c r="AV644" s="129"/>
      <c r="AW644" s="129"/>
      <c r="AX644" s="129"/>
      <c r="AY644" s="129"/>
      <c r="AZ644" s="129"/>
      <c r="BA644" s="129"/>
      <c r="BB644" s="129"/>
      <c r="BC644" s="129"/>
      <c r="BD644" s="129"/>
      <c r="BE644" s="129"/>
      <c r="BF644" s="144"/>
      <c r="BG644" s="129"/>
      <c r="BH644" s="129"/>
      <c r="BI644" s="129"/>
      <c r="BJ644" s="129"/>
      <c r="BK644" s="129"/>
      <c r="BL644" s="129"/>
      <c r="BM644" s="129"/>
      <c r="BN644" s="129"/>
      <c r="BO644" s="129"/>
      <c r="BP644" s="129"/>
      <c r="BQ644" s="129"/>
      <c r="BR644" s="129"/>
      <c r="BS644" s="129"/>
      <c r="BT644" s="129"/>
      <c r="BU644" s="129"/>
      <c r="BV644" s="129"/>
      <c r="BW644" s="129"/>
      <c r="BX644" s="129"/>
      <c r="BY644" s="129"/>
      <c r="BZ644" s="129"/>
      <c r="CA644" s="129"/>
      <c r="CB644" s="129"/>
      <c r="CC644" s="129"/>
      <c r="CD644" s="129"/>
    </row>
    <row r="645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29"/>
      <c r="AM645" s="129"/>
      <c r="AN645" s="144"/>
      <c r="AO645" s="129"/>
      <c r="AP645" s="129"/>
      <c r="AQ645" s="129"/>
      <c r="AR645" s="129"/>
      <c r="AS645" s="129"/>
      <c r="AT645" s="129"/>
      <c r="AU645" s="129"/>
      <c r="AV645" s="129"/>
      <c r="AW645" s="129"/>
      <c r="AX645" s="129"/>
      <c r="AY645" s="129"/>
      <c r="AZ645" s="129"/>
      <c r="BA645" s="129"/>
      <c r="BB645" s="129"/>
      <c r="BC645" s="129"/>
      <c r="BD645" s="129"/>
      <c r="BE645" s="129"/>
      <c r="BF645" s="144"/>
      <c r="BG645" s="129"/>
      <c r="BH645" s="129"/>
      <c r="BI645" s="129"/>
      <c r="BJ645" s="129"/>
      <c r="BK645" s="129"/>
      <c r="BL645" s="129"/>
      <c r="BM645" s="129"/>
      <c r="BN645" s="129"/>
      <c r="BO645" s="129"/>
      <c r="BP645" s="129"/>
      <c r="BQ645" s="129"/>
      <c r="BR645" s="129"/>
      <c r="BS645" s="129"/>
      <c r="BT645" s="129"/>
      <c r="BU645" s="129"/>
      <c r="BV645" s="129"/>
      <c r="BW645" s="129"/>
      <c r="BX645" s="129"/>
      <c r="BY645" s="129"/>
      <c r="BZ645" s="129"/>
      <c r="CA645" s="129"/>
      <c r="CB645" s="129"/>
      <c r="CC645" s="129"/>
      <c r="CD645" s="129"/>
    </row>
    <row r="646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29"/>
      <c r="AM646" s="129"/>
      <c r="AN646" s="144"/>
      <c r="AO646" s="129"/>
      <c r="AP646" s="129"/>
      <c r="AQ646" s="129"/>
      <c r="AR646" s="129"/>
      <c r="AS646" s="129"/>
      <c r="AT646" s="129"/>
      <c r="AU646" s="129"/>
      <c r="AV646" s="129"/>
      <c r="AW646" s="129"/>
      <c r="AX646" s="129"/>
      <c r="AY646" s="129"/>
      <c r="AZ646" s="129"/>
      <c r="BA646" s="129"/>
      <c r="BB646" s="129"/>
      <c r="BC646" s="129"/>
      <c r="BD646" s="129"/>
      <c r="BE646" s="129"/>
      <c r="BF646" s="144"/>
      <c r="BG646" s="129"/>
      <c r="BH646" s="129"/>
      <c r="BI646" s="129"/>
      <c r="BJ646" s="129"/>
      <c r="BK646" s="129"/>
      <c r="BL646" s="129"/>
      <c r="BM646" s="129"/>
      <c r="BN646" s="129"/>
      <c r="BO646" s="129"/>
      <c r="BP646" s="129"/>
      <c r="BQ646" s="129"/>
      <c r="BR646" s="129"/>
      <c r="BS646" s="129"/>
      <c r="BT646" s="129"/>
      <c r="BU646" s="129"/>
      <c r="BV646" s="129"/>
      <c r="BW646" s="129"/>
      <c r="BX646" s="129"/>
      <c r="BY646" s="129"/>
      <c r="BZ646" s="129"/>
      <c r="CA646" s="129"/>
      <c r="CB646" s="129"/>
      <c r="CC646" s="129"/>
      <c r="CD646" s="129"/>
    </row>
    <row r="647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29"/>
      <c r="AM647" s="129"/>
      <c r="AN647" s="144"/>
      <c r="AO647" s="129"/>
      <c r="AP647" s="129"/>
      <c r="AQ647" s="129"/>
      <c r="AR647" s="129"/>
      <c r="AS647" s="129"/>
      <c r="AT647" s="129"/>
      <c r="AU647" s="129"/>
      <c r="AV647" s="129"/>
      <c r="AW647" s="129"/>
      <c r="AX647" s="129"/>
      <c r="AY647" s="129"/>
      <c r="AZ647" s="129"/>
      <c r="BA647" s="129"/>
      <c r="BB647" s="129"/>
      <c r="BC647" s="129"/>
      <c r="BD647" s="129"/>
      <c r="BE647" s="129"/>
      <c r="BF647" s="144"/>
      <c r="BG647" s="129"/>
      <c r="BH647" s="129"/>
      <c r="BI647" s="129"/>
      <c r="BJ647" s="129"/>
      <c r="BK647" s="129"/>
      <c r="BL647" s="129"/>
      <c r="BM647" s="129"/>
      <c r="BN647" s="129"/>
      <c r="BO647" s="129"/>
      <c r="BP647" s="129"/>
      <c r="BQ647" s="129"/>
      <c r="BR647" s="129"/>
      <c r="BS647" s="129"/>
      <c r="BT647" s="129"/>
      <c r="BU647" s="129"/>
      <c r="BV647" s="129"/>
      <c r="BW647" s="129"/>
      <c r="BX647" s="129"/>
      <c r="BY647" s="129"/>
      <c r="BZ647" s="129"/>
      <c r="CA647" s="129"/>
      <c r="CB647" s="129"/>
      <c r="CC647" s="129"/>
      <c r="CD647" s="129"/>
    </row>
    <row r="648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29"/>
      <c r="AM648" s="129"/>
      <c r="AN648" s="144"/>
      <c r="AO648" s="129"/>
      <c r="AP648" s="129"/>
      <c r="AQ648" s="129"/>
      <c r="AR648" s="129"/>
      <c r="AS648" s="129"/>
      <c r="AT648" s="129"/>
      <c r="AU648" s="129"/>
      <c r="AV648" s="129"/>
      <c r="AW648" s="129"/>
      <c r="AX648" s="129"/>
      <c r="AY648" s="129"/>
      <c r="AZ648" s="129"/>
      <c r="BA648" s="129"/>
      <c r="BB648" s="129"/>
      <c r="BC648" s="129"/>
      <c r="BD648" s="129"/>
      <c r="BE648" s="129"/>
      <c r="BF648" s="144"/>
      <c r="BG648" s="129"/>
      <c r="BH648" s="129"/>
      <c r="BI648" s="129"/>
      <c r="BJ648" s="129"/>
      <c r="BK648" s="129"/>
      <c r="BL648" s="129"/>
      <c r="BM648" s="129"/>
      <c r="BN648" s="129"/>
      <c r="BO648" s="129"/>
      <c r="BP648" s="129"/>
      <c r="BQ648" s="129"/>
      <c r="BR648" s="129"/>
      <c r="BS648" s="129"/>
      <c r="BT648" s="129"/>
      <c r="BU648" s="129"/>
      <c r="BV648" s="129"/>
      <c r="BW648" s="129"/>
      <c r="BX648" s="129"/>
      <c r="BY648" s="129"/>
      <c r="BZ648" s="129"/>
      <c r="CA648" s="129"/>
      <c r="CB648" s="129"/>
      <c r="CC648" s="129"/>
      <c r="CD648" s="129"/>
    </row>
    <row r="649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29"/>
      <c r="AM649" s="129"/>
      <c r="AN649" s="144"/>
      <c r="AO649" s="129"/>
      <c r="AP649" s="129"/>
      <c r="AQ649" s="129"/>
      <c r="AR649" s="129"/>
      <c r="AS649" s="129"/>
      <c r="AT649" s="129"/>
      <c r="AU649" s="129"/>
      <c r="AV649" s="129"/>
      <c r="AW649" s="129"/>
      <c r="AX649" s="129"/>
      <c r="AY649" s="129"/>
      <c r="AZ649" s="129"/>
      <c r="BA649" s="129"/>
      <c r="BB649" s="129"/>
      <c r="BC649" s="129"/>
      <c r="BD649" s="129"/>
      <c r="BE649" s="129"/>
      <c r="BF649" s="144"/>
      <c r="BG649" s="129"/>
      <c r="BH649" s="129"/>
      <c r="BI649" s="129"/>
      <c r="BJ649" s="129"/>
      <c r="BK649" s="129"/>
      <c r="BL649" s="129"/>
      <c r="BM649" s="129"/>
      <c r="BN649" s="129"/>
      <c r="BO649" s="129"/>
      <c r="BP649" s="129"/>
      <c r="BQ649" s="129"/>
      <c r="BR649" s="129"/>
      <c r="BS649" s="129"/>
      <c r="BT649" s="129"/>
      <c r="BU649" s="129"/>
      <c r="BV649" s="129"/>
      <c r="BW649" s="129"/>
      <c r="BX649" s="129"/>
      <c r="BY649" s="129"/>
      <c r="BZ649" s="129"/>
      <c r="CA649" s="129"/>
      <c r="CB649" s="129"/>
      <c r="CC649" s="129"/>
      <c r="CD649" s="129"/>
    </row>
    <row r="650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29"/>
      <c r="AM650" s="129"/>
      <c r="AN650" s="144"/>
      <c r="AO650" s="129"/>
      <c r="AP650" s="129"/>
      <c r="AQ650" s="129"/>
      <c r="AR650" s="129"/>
      <c r="AS650" s="129"/>
      <c r="AT650" s="129"/>
      <c r="AU650" s="129"/>
      <c r="AV650" s="129"/>
      <c r="AW650" s="129"/>
      <c r="AX650" s="129"/>
      <c r="AY650" s="129"/>
      <c r="AZ650" s="129"/>
      <c r="BA650" s="129"/>
      <c r="BB650" s="129"/>
      <c r="BC650" s="129"/>
      <c r="BD650" s="129"/>
      <c r="BE650" s="129"/>
      <c r="BF650" s="144"/>
      <c r="BG650" s="129"/>
      <c r="BH650" s="129"/>
      <c r="BI650" s="129"/>
      <c r="BJ650" s="129"/>
      <c r="BK650" s="129"/>
      <c r="BL650" s="129"/>
      <c r="BM650" s="129"/>
      <c r="BN650" s="129"/>
      <c r="BO650" s="129"/>
      <c r="BP650" s="129"/>
      <c r="BQ650" s="129"/>
      <c r="BR650" s="129"/>
      <c r="BS650" s="129"/>
      <c r="BT650" s="129"/>
      <c r="BU650" s="129"/>
      <c r="BV650" s="129"/>
      <c r="BW650" s="129"/>
      <c r="BX650" s="129"/>
      <c r="BY650" s="129"/>
      <c r="BZ650" s="129"/>
      <c r="CA650" s="129"/>
      <c r="CB650" s="129"/>
      <c r="CC650" s="129"/>
      <c r="CD650" s="129"/>
    </row>
    <row r="65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29"/>
      <c r="AM651" s="129"/>
      <c r="AN651" s="144"/>
      <c r="AO651" s="129"/>
      <c r="AP651" s="129"/>
      <c r="AQ651" s="129"/>
      <c r="AR651" s="129"/>
      <c r="AS651" s="129"/>
      <c r="AT651" s="129"/>
      <c r="AU651" s="129"/>
      <c r="AV651" s="129"/>
      <c r="AW651" s="129"/>
      <c r="AX651" s="129"/>
      <c r="AY651" s="129"/>
      <c r="AZ651" s="129"/>
      <c r="BA651" s="129"/>
      <c r="BB651" s="129"/>
      <c r="BC651" s="129"/>
      <c r="BD651" s="129"/>
      <c r="BE651" s="129"/>
      <c r="BF651" s="144"/>
      <c r="BG651" s="129"/>
      <c r="BH651" s="129"/>
      <c r="BI651" s="129"/>
      <c r="BJ651" s="129"/>
      <c r="BK651" s="129"/>
      <c r="BL651" s="129"/>
      <c r="BM651" s="129"/>
      <c r="BN651" s="129"/>
      <c r="BO651" s="129"/>
      <c r="BP651" s="129"/>
      <c r="BQ651" s="129"/>
      <c r="BR651" s="129"/>
      <c r="BS651" s="129"/>
      <c r="BT651" s="129"/>
      <c r="BU651" s="129"/>
      <c r="BV651" s="129"/>
      <c r="BW651" s="129"/>
      <c r="BX651" s="129"/>
      <c r="BY651" s="129"/>
      <c r="BZ651" s="129"/>
      <c r="CA651" s="129"/>
      <c r="CB651" s="129"/>
      <c r="CC651" s="129"/>
      <c r="CD651" s="129"/>
    </row>
    <row r="65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44"/>
      <c r="AO652" s="129"/>
      <c r="AP652" s="129"/>
      <c r="AQ652" s="129"/>
      <c r="AR652" s="129"/>
      <c r="AS652" s="129"/>
      <c r="AT652" s="129"/>
      <c r="AU652" s="129"/>
      <c r="AV652" s="129"/>
      <c r="AW652" s="129"/>
      <c r="AX652" s="129"/>
      <c r="AY652" s="129"/>
      <c r="AZ652" s="129"/>
      <c r="BA652" s="129"/>
      <c r="BB652" s="129"/>
      <c r="BC652" s="129"/>
      <c r="BD652" s="129"/>
      <c r="BE652" s="129"/>
      <c r="BF652" s="144"/>
      <c r="BG652" s="129"/>
      <c r="BH652" s="129"/>
      <c r="BI652" s="129"/>
      <c r="BJ652" s="129"/>
      <c r="BK652" s="129"/>
      <c r="BL652" s="129"/>
      <c r="BM652" s="129"/>
      <c r="BN652" s="129"/>
      <c r="BO652" s="129"/>
      <c r="BP652" s="129"/>
      <c r="BQ652" s="129"/>
      <c r="BR652" s="129"/>
      <c r="BS652" s="129"/>
      <c r="BT652" s="129"/>
      <c r="BU652" s="129"/>
      <c r="BV652" s="129"/>
      <c r="BW652" s="129"/>
      <c r="BX652" s="129"/>
      <c r="BY652" s="129"/>
      <c r="BZ652" s="129"/>
      <c r="CA652" s="129"/>
      <c r="CB652" s="129"/>
      <c r="CC652" s="129"/>
      <c r="CD652" s="129"/>
    </row>
    <row r="653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44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44"/>
      <c r="BG653" s="129"/>
      <c r="BH653" s="129"/>
      <c r="BI653" s="129"/>
      <c r="BJ653" s="129"/>
      <c r="BK653" s="129"/>
      <c r="BL653" s="129"/>
      <c r="BM653" s="129"/>
      <c r="BN653" s="129"/>
      <c r="BO653" s="129"/>
      <c r="BP653" s="129"/>
      <c r="BQ653" s="129"/>
      <c r="BR653" s="129"/>
      <c r="BS653" s="129"/>
      <c r="BT653" s="129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</row>
    <row r="654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29"/>
      <c r="AM654" s="129"/>
      <c r="AN654" s="144"/>
      <c r="AO654" s="129"/>
      <c r="AP654" s="129"/>
      <c r="AQ654" s="129"/>
      <c r="AR654" s="129"/>
      <c r="AS654" s="129"/>
      <c r="AT654" s="129"/>
      <c r="AU654" s="129"/>
      <c r="AV654" s="129"/>
      <c r="AW654" s="129"/>
      <c r="AX654" s="129"/>
      <c r="AY654" s="129"/>
      <c r="AZ654" s="129"/>
      <c r="BA654" s="129"/>
      <c r="BB654" s="129"/>
      <c r="BC654" s="129"/>
      <c r="BD654" s="129"/>
      <c r="BE654" s="129"/>
      <c r="BF654" s="144"/>
      <c r="BG654" s="129"/>
      <c r="BH654" s="129"/>
      <c r="BI654" s="129"/>
      <c r="BJ654" s="129"/>
      <c r="BK654" s="129"/>
      <c r="BL654" s="129"/>
      <c r="BM654" s="129"/>
      <c r="BN654" s="129"/>
      <c r="BO654" s="129"/>
      <c r="BP654" s="129"/>
      <c r="BQ654" s="129"/>
      <c r="BR654" s="129"/>
      <c r="BS654" s="129"/>
      <c r="BT654" s="129"/>
      <c r="BU654" s="129"/>
      <c r="BV654" s="129"/>
      <c r="BW654" s="129"/>
      <c r="BX654" s="129"/>
      <c r="BY654" s="129"/>
      <c r="BZ654" s="129"/>
      <c r="CA654" s="129"/>
      <c r="CB654" s="129"/>
      <c r="CC654" s="129"/>
      <c r="CD654" s="129"/>
    </row>
    <row r="655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29"/>
      <c r="AM655" s="129"/>
      <c r="AN655" s="144"/>
      <c r="AO655" s="129"/>
      <c r="AP655" s="129"/>
      <c r="AQ655" s="129"/>
      <c r="AR655" s="129"/>
      <c r="AS655" s="129"/>
      <c r="AT655" s="129"/>
      <c r="AU655" s="129"/>
      <c r="AV655" s="129"/>
      <c r="AW655" s="129"/>
      <c r="AX655" s="129"/>
      <c r="AY655" s="129"/>
      <c r="AZ655" s="129"/>
      <c r="BA655" s="129"/>
      <c r="BB655" s="129"/>
      <c r="BC655" s="129"/>
      <c r="BD655" s="129"/>
      <c r="BE655" s="129"/>
      <c r="BF655" s="144"/>
      <c r="BG655" s="129"/>
      <c r="BH655" s="129"/>
      <c r="BI655" s="129"/>
      <c r="BJ655" s="129"/>
      <c r="BK655" s="129"/>
      <c r="BL655" s="129"/>
      <c r="BM655" s="129"/>
      <c r="BN655" s="129"/>
      <c r="BO655" s="129"/>
      <c r="BP655" s="129"/>
      <c r="BQ655" s="129"/>
      <c r="BR655" s="129"/>
      <c r="BS655" s="129"/>
      <c r="BT655" s="129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</row>
    <row r="656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44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44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</row>
    <row r="657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44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44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</row>
    <row r="658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44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44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</row>
    <row r="659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44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44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</row>
    <row r="660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44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44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</row>
    <row r="66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44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44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</row>
    <row r="66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44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44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</row>
    <row r="663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44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44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</row>
    <row r="664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44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44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</row>
    <row r="665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44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44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</row>
    <row r="666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29"/>
      <c r="AM666" s="129"/>
      <c r="AN666" s="144"/>
      <c r="AO666" s="129"/>
      <c r="AP666" s="129"/>
      <c r="AQ666" s="129"/>
      <c r="AR666" s="129"/>
      <c r="AS666" s="129"/>
      <c r="AT666" s="129"/>
      <c r="AU666" s="129"/>
      <c r="AV666" s="129"/>
      <c r="AW666" s="129"/>
      <c r="AX666" s="129"/>
      <c r="AY666" s="129"/>
      <c r="AZ666" s="129"/>
      <c r="BA666" s="129"/>
      <c r="BB666" s="129"/>
      <c r="BC666" s="129"/>
      <c r="BD666" s="129"/>
      <c r="BE666" s="129"/>
      <c r="BF666" s="144"/>
      <c r="BG666" s="129"/>
      <c r="BH666" s="129"/>
      <c r="BI666" s="129"/>
      <c r="BJ666" s="129"/>
      <c r="BK666" s="129"/>
      <c r="BL666" s="129"/>
      <c r="BM666" s="129"/>
      <c r="BN666" s="129"/>
      <c r="BO666" s="129"/>
      <c r="BP666" s="129"/>
      <c r="BQ666" s="129"/>
      <c r="BR666" s="129"/>
      <c r="BS666" s="129"/>
      <c r="BT666" s="129"/>
      <c r="BU666" s="129"/>
      <c r="BV666" s="129"/>
      <c r="BW666" s="129"/>
      <c r="BX666" s="129"/>
      <c r="BY666" s="129"/>
      <c r="BZ666" s="129"/>
      <c r="CA666" s="129"/>
      <c r="CB666" s="129"/>
      <c r="CC666" s="129"/>
      <c r="CD666" s="129"/>
    </row>
    <row r="667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29"/>
      <c r="AM667" s="129"/>
      <c r="AN667" s="144"/>
      <c r="AO667" s="129"/>
      <c r="AP667" s="129"/>
      <c r="AQ667" s="129"/>
      <c r="AR667" s="129"/>
      <c r="AS667" s="129"/>
      <c r="AT667" s="129"/>
      <c r="AU667" s="129"/>
      <c r="AV667" s="129"/>
      <c r="AW667" s="129"/>
      <c r="AX667" s="129"/>
      <c r="AY667" s="129"/>
      <c r="AZ667" s="129"/>
      <c r="BA667" s="129"/>
      <c r="BB667" s="129"/>
      <c r="BC667" s="129"/>
      <c r="BD667" s="129"/>
      <c r="BE667" s="129"/>
      <c r="BF667" s="144"/>
      <c r="BG667" s="129"/>
      <c r="BH667" s="129"/>
      <c r="BI667" s="129"/>
      <c r="BJ667" s="129"/>
      <c r="BK667" s="129"/>
      <c r="BL667" s="129"/>
      <c r="BM667" s="129"/>
      <c r="BN667" s="129"/>
      <c r="BO667" s="129"/>
      <c r="BP667" s="129"/>
      <c r="BQ667" s="129"/>
      <c r="BR667" s="129"/>
      <c r="BS667" s="129"/>
      <c r="BT667" s="129"/>
      <c r="BU667" s="129"/>
      <c r="BV667" s="129"/>
      <c r="BW667" s="129"/>
      <c r="BX667" s="129"/>
      <c r="BY667" s="129"/>
      <c r="BZ667" s="129"/>
      <c r="CA667" s="129"/>
      <c r="CB667" s="129"/>
      <c r="CC667" s="129"/>
      <c r="CD667" s="129"/>
    </row>
    <row r="668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29"/>
      <c r="AM668" s="129"/>
      <c r="AN668" s="144"/>
      <c r="AO668" s="129"/>
      <c r="AP668" s="129"/>
      <c r="AQ668" s="129"/>
      <c r="AR668" s="129"/>
      <c r="AS668" s="129"/>
      <c r="AT668" s="129"/>
      <c r="AU668" s="129"/>
      <c r="AV668" s="129"/>
      <c r="AW668" s="129"/>
      <c r="AX668" s="129"/>
      <c r="AY668" s="129"/>
      <c r="AZ668" s="129"/>
      <c r="BA668" s="129"/>
      <c r="BB668" s="129"/>
      <c r="BC668" s="129"/>
      <c r="BD668" s="129"/>
      <c r="BE668" s="129"/>
      <c r="BF668" s="144"/>
      <c r="BG668" s="129"/>
      <c r="BH668" s="129"/>
      <c r="BI668" s="129"/>
      <c r="BJ668" s="129"/>
      <c r="BK668" s="129"/>
      <c r="BL668" s="129"/>
      <c r="BM668" s="129"/>
      <c r="BN668" s="129"/>
      <c r="BO668" s="129"/>
      <c r="BP668" s="129"/>
      <c r="BQ668" s="129"/>
      <c r="BR668" s="129"/>
      <c r="BS668" s="129"/>
      <c r="BT668" s="129"/>
      <c r="BU668" s="129"/>
      <c r="BV668" s="129"/>
      <c r="BW668" s="129"/>
      <c r="BX668" s="129"/>
      <c r="BY668" s="129"/>
      <c r="BZ668" s="129"/>
      <c r="CA668" s="129"/>
      <c r="CB668" s="129"/>
      <c r="CC668" s="129"/>
      <c r="CD668" s="129"/>
    </row>
    <row r="669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29"/>
      <c r="AM669" s="129"/>
      <c r="AN669" s="144"/>
      <c r="AO669" s="129"/>
      <c r="AP669" s="129"/>
      <c r="AQ669" s="129"/>
      <c r="AR669" s="129"/>
      <c r="AS669" s="129"/>
      <c r="AT669" s="129"/>
      <c r="AU669" s="129"/>
      <c r="AV669" s="129"/>
      <c r="AW669" s="129"/>
      <c r="AX669" s="129"/>
      <c r="AY669" s="129"/>
      <c r="AZ669" s="129"/>
      <c r="BA669" s="129"/>
      <c r="BB669" s="129"/>
      <c r="BC669" s="129"/>
      <c r="BD669" s="129"/>
      <c r="BE669" s="129"/>
      <c r="BF669" s="144"/>
      <c r="BG669" s="129"/>
      <c r="BH669" s="129"/>
      <c r="BI669" s="129"/>
      <c r="BJ669" s="129"/>
      <c r="BK669" s="129"/>
      <c r="BL669" s="129"/>
      <c r="BM669" s="129"/>
      <c r="BN669" s="129"/>
      <c r="BO669" s="129"/>
      <c r="BP669" s="129"/>
      <c r="BQ669" s="129"/>
      <c r="BR669" s="129"/>
      <c r="BS669" s="129"/>
      <c r="BT669" s="129"/>
      <c r="BU669" s="129"/>
      <c r="BV669" s="129"/>
      <c r="BW669" s="129"/>
      <c r="BX669" s="129"/>
      <c r="BY669" s="129"/>
      <c r="BZ669" s="129"/>
      <c r="CA669" s="129"/>
      <c r="CB669" s="129"/>
      <c r="CC669" s="129"/>
      <c r="CD669" s="129"/>
    </row>
    <row r="670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29"/>
      <c r="AM670" s="129"/>
      <c r="AN670" s="144"/>
      <c r="AO670" s="129"/>
      <c r="AP670" s="129"/>
      <c r="AQ670" s="129"/>
      <c r="AR670" s="129"/>
      <c r="AS670" s="129"/>
      <c r="AT670" s="129"/>
      <c r="AU670" s="129"/>
      <c r="AV670" s="129"/>
      <c r="AW670" s="129"/>
      <c r="AX670" s="129"/>
      <c r="AY670" s="129"/>
      <c r="AZ670" s="129"/>
      <c r="BA670" s="129"/>
      <c r="BB670" s="129"/>
      <c r="BC670" s="129"/>
      <c r="BD670" s="129"/>
      <c r="BE670" s="129"/>
      <c r="BF670" s="144"/>
      <c r="BG670" s="129"/>
      <c r="BH670" s="129"/>
      <c r="BI670" s="129"/>
      <c r="BJ670" s="129"/>
      <c r="BK670" s="129"/>
      <c r="BL670" s="129"/>
      <c r="BM670" s="129"/>
      <c r="BN670" s="129"/>
      <c r="BO670" s="129"/>
      <c r="BP670" s="129"/>
      <c r="BQ670" s="129"/>
      <c r="BR670" s="129"/>
      <c r="BS670" s="129"/>
      <c r="BT670" s="129"/>
      <c r="BU670" s="129"/>
      <c r="BV670" s="129"/>
      <c r="BW670" s="129"/>
      <c r="BX670" s="129"/>
      <c r="BY670" s="129"/>
      <c r="BZ670" s="129"/>
      <c r="CA670" s="129"/>
      <c r="CB670" s="129"/>
      <c r="CC670" s="129"/>
      <c r="CD670" s="129"/>
    </row>
    <row r="67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29"/>
      <c r="AM671" s="129"/>
      <c r="AN671" s="144"/>
      <c r="AO671" s="129"/>
      <c r="AP671" s="129"/>
      <c r="AQ671" s="129"/>
      <c r="AR671" s="129"/>
      <c r="AS671" s="129"/>
      <c r="AT671" s="129"/>
      <c r="AU671" s="129"/>
      <c r="AV671" s="129"/>
      <c r="AW671" s="129"/>
      <c r="AX671" s="129"/>
      <c r="AY671" s="129"/>
      <c r="AZ671" s="129"/>
      <c r="BA671" s="129"/>
      <c r="BB671" s="129"/>
      <c r="BC671" s="129"/>
      <c r="BD671" s="129"/>
      <c r="BE671" s="129"/>
      <c r="BF671" s="144"/>
      <c r="BG671" s="129"/>
      <c r="BH671" s="129"/>
      <c r="BI671" s="129"/>
      <c r="BJ671" s="129"/>
      <c r="BK671" s="129"/>
      <c r="BL671" s="129"/>
      <c r="BM671" s="129"/>
      <c r="BN671" s="129"/>
      <c r="BO671" s="129"/>
      <c r="BP671" s="129"/>
      <c r="BQ671" s="129"/>
      <c r="BR671" s="129"/>
      <c r="BS671" s="129"/>
      <c r="BT671" s="129"/>
      <c r="BU671" s="129"/>
      <c r="BV671" s="129"/>
      <c r="BW671" s="129"/>
      <c r="BX671" s="129"/>
      <c r="BY671" s="129"/>
      <c r="BZ671" s="129"/>
      <c r="CA671" s="129"/>
      <c r="CB671" s="129"/>
      <c r="CC671" s="129"/>
      <c r="CD671" s="129"/>
    </row>
    <row r="67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29"/>
      <c r="AM672" s="129"/>
      <c r="AN672" s="144"/>
      <c r="AO672" s="129"/>
      <c r="AP672" s="129"/>
      <c r="AQ672" s="129"/>
      <c r="AR672" s="129"/>
      <c r="AS672" s="129"/>
      <c r="AT672" s="129"/>
      <c r="AU672" s="129"/>
      <c r="AV672" s="129"/>
      <c r="AW672" s="129"/>
      <c r="AX672" s="129"/>
      <c r="AY672" s="129"/>
      <c r="AZ672" s="129"/>
      <c r="BA672" s="129"/>
      <c r="BB672" s="129"/>
      <c r="BC672" s="129"/>
      <c r="BD672" s="129"/>
      <c r="BE672" s="129"/>
      <c r="BF672" s="144"/>
      <c r="BG672" s="129"/>
      <c r="BH672" s="129"/>
      <c r="BI672" s="129"/>
      <c r="BJ672" s="129"/>
      <c r="BK672" s="129"/>
      <c r="BL672" s="129"/>
      <c r="BM672" s="129"/>
      <c r="BN672" s="129"/>
      <c r="BO672" s="129"/>
      <c r="BP672" s="129"/>
      <c r="BQ672" s="129"/>
      <c r="BR672" s="129"/>
      <c r="BS672" s="129"/>
      <c r="BT672" s="129"/>
      <c r="BU672" s="129"/>
      <c r="BV672" s="129"/>
      <c r="BW672" s="129"/>
      <c r="BX672" s="129"/>
      <c r="BY672" s="129"/>
      <c r="BZ672" s="129"/>
      <c r="CA672" s="129"/>
      <c r="CB672" s="129"/>
      <c r="CC672" s="129"/>
      <c r="CD672" s="129"/>
    </row>
    <row r="673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29"/>
      <c r="AM673" s="129"/>
      <c r="AN673" s="144"/>
      <c r="AO673" s="129"/>
      <c r="AP673" s="129"/>
      <c r="AQ673" s="129"/>
      <c r="AR673" s="129"/>
      <c r="AS673" s="129"/>
      <c r="AT673" s="129"/>
      <c r="AU673" s="129"/>
      <c r="AV673" s="129"/>
      <c r="AW673" s="129"/>
      <c r="AX673" s="129"/>
      <c r="AY673" s="129"/>
      <c r="AZ673" s="129"/>
      <c r="BA673" s="129"/>
      <c r="BB673" s="129"/>
      <c r="BC673" s="129"/>
      <c r="BD673" s="129"/>
      <c r="BE673" s="129"/>
      <c r="BF673" s="144"/>
      <c r="BG673" s="129"/>
      <c r="BH673" s="129"/>
      <c r="BI673" s="129"/>
      <c r="BJ673" s="129"/>
      <c r="BK673" s="129"/>
      <c r="BL673" s="129"/>
      <c r="BM673" s="129"/>
      <c r="BN673" s="129"/>
      <c r="BO673" s="129"/>
      <c r="BP673" s="129"/>
      <c r="BQ673" s="129"/>
      <c r="BR673" s="129"/>
      <c r="BS673" s="129"/>
      <c r="BT673" s="129"/>
      <c r="BU673" s="129"/>
      <c r="BV673" s="129"/>
      <c r="BW673" s="129"/>
      <c r="BX673" s="129"/>
      <c r="BY673" s="129"/>
      <c r="BZ673" s="129"/>
      <c r="CA673" s="129"/>
      <c r="CB673" s="129"/>
      <c r="CC673" s="129"/>
      <c r="CD673" s="129"/>
    </row>
    <row r="674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129"/>
      <c r="AN674" s="144"/>
      <c r="AO674" s="129"/>
      <c r="AP674" s="129"/>
      <c r="AQ674" s="129"/>
      <c r="AR674" s="129"/>
      <c r="AS674" s="129"/>
      <c r="AT674" s="129"/>
      <c r="AU674" s="129"/>
      <c r="AV674" s="129"/>
      <c r="AW674" s="129"/>
      <c r="AX674" s="129"/>
      <c r="AY674" s="129"/>
      <c r="AZ674" s="129"/>
      <c r="BA674" s="129"/>
      <c r="BB674" s="129"/>
      <c r="BC674" s="129"/>
      <c r="BD674" s="129"/>
      <c r="BE674" s="129"/>
      <c r="BF674" s="144"/>
      <c r="BG674" s="129"/>
      <c r="BH674" s="129"/>
      <c r="BI674" s="129"/>
      <c r="BJ674" s="129"/>
      <c r="BK674" s="129"/>
      <c r="BL674" s="129"/>
      <c r="BM674" s="129"/>
      <c r="BN674" s="129"/>
      <c r="BO674" s="129"/>
      <c r="BP674" s="129"/>
      <c r="BQ674" s="129"/>
      <c r="BR674" s="129"/>
      <c r="BS674" s="129"/>
      <c r="BT674" s="129"/>
      <c r="BU674" s="129"/>
      <c r="BV674" s="129"/>
      <c r="BW674" s="129"/>
      <c r="BX674" s="129"/>
      <c r="BY674" s="129"/>
      <c r="BZ674" s="129"/>
      <c r="CA674" s="129"/>
      <c r="CB674" s="129"/>
      <c r="CC674" s="129"/>
      <c r="CD674" s="129"/>
    </row>
    <row r="675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129"/>
      <c r="AN675" s="144"/>
      <c r="AO675" s="129"/>
      <c r="AP675" s="129"/>
      <c r="AQ675" s="129"/>
      <c r="AR675" s="129"/>
      <c r="AS675" s="129"/>
      <c r="AT675" s="129"/>
      <c r="AU675" s="129"/>
      <c r="AV675" s="129"/>
      <c r="AW675" s="129"/>
      <c r="AX675" s="129"/>
      <c r="AY675" s="129"/>
      <c r="AZ675" s="129"/>
      <c r="BA675" s="129"/>
      <c r="BB675" s="129"/>
      <c r="BC675" s="129"/>
      <c r="BD675" s="129"/>
      <c r="BE675" s="129"/>
      <c r="BF675" s="144"/>
      <c r="BG675" s="129"/>
      <c r="BH675" s="129"/>
      <c r="BI675" s="129"/>
      <c r="BJ675" s="129"/>
      <c r="BK675" s="129"/>
      <c r="BL675" s="129"/>
      <c r="BM675" s="129"/>
      <c r="BN675" s="129"/>
      <c r="BO675" s="129"/>
      <c r="BP675" s="129"/>
      <c r="BQ675" s="129"/>
      <c r="BR675" s="129"/>
      <c r="BS675" s="129"/>
      <c r="BT675" s="129"/>
      <c r="BU675" s="129"/>
      <c r="BV675" s="129"/>
      <c r="BW675" s="129"/>
      <c r="BX675" s="129"/>
      <c r="BY675" s="129"/>
      <c r="BZ675" s="129"/>
      <c r="CA675" s="129"/>
      <c r="CB675" s="129"/>
      <c r="CC675" s="129"/>
      <c r="CD675" s="129"/>
    </row>
    <row r="676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29"/>
      <c r="AM676" s="129"/>
      <c r="AN676" s="144"/>
      <c r="AO676" s="129"/>
      <c r="AP676" s="129"/>
      <c r="AQ676" s="129"/>
      <c r="AR676" s="129"/>
      <c r="AS676" s="129"/>
      <c r="AT676" s="129"/>
      <c r="AU676" s="129"/>
      <c r="AV676" s="129"/>
      <c r="AW676" s="129"/>
      <c r="AX676" s="129"/>
      <c r="AY676" s="129"/>
      <c r="AZ676" s="129"/>
      <c r="BA676" s="129"/>
      <c r="BB676" s="129"/>
      <c r="BC676" s="129"/>
      <c r="BD676" s="129"/>
      <c r="BE676" s="129"/>
      <c r="BF676" s="144"/>
      <c r="BG676" s="129"/>
      <c r="BH676" s="129"/>
      <c r="BI676" s="129"/>
      <c r="BJ676" s="129"/>
      <c r="BK676" s="129"/>
      <c r="BL676" s="129"/>
      <c r="BM676" s="129"/>
      <c r="BN676" s="129"/>
      <c r="BO676" s="129"/>
      <c r="BP676" s="129"/>
      <c r="BQ676" s="129"/>
      <c r="BR676" s="129"/>
      <c r="BS676" s="129"/>
      <c r="BT676" s="129"/>
      <c r="BU676" s="129"/>
      <c r="BV676" s="129"/>
      <c r="BW676" s="129"/>
      <c r="BX676" s="129"/>
      <c r="BY676" s="129"/>
      <c r="BZ676" s="129"/>
      <c r="CA676" s="129"/>
      <c r="CB676" s="129"/>
      <c r="CC676" s="129"/>
      <c r="CD676" s="129"/>
    </row>
    <row r="677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29"/>
      <c r="AM677" s="129"/>
      <c r="AN677" s="144"/>
      <c r="AO677" s="129"/>
      <c r="AP677" s="129"/>
      <c r="AQ677" s="129"/>
      <c r="AR677" s="129"/>
      <c r="AS677" s="129"/>
      <c r="AT677" s="129"/>
      <c r="AU677" s="129"/>
      <c r="AV677" s="129"/>
      <c r="AW677" s="129"/>
      <c r="AX677" s="129"/>
      <c r="AY677" s="129"/>
      <c r="AZ677" s="129"/>
      <c r="BA677" s="129"/>
      <c r="BB677" s="129"/>
      <c r="BC677" s="129"/>
      <c r="BD677" s="129"/>
      <c r="BE677" s="129"/>
      <c r="BF677" s="144"/>
      <c r="BG677" s="129"/>
      <c r="BH677" s="129"/>
      <c r="BI677" s="129"/>
      <c r="BJ677" s="129"/>
      <c r="BK677" s="129"/>
      <c r="BL677" s="129"/>
      <c r="BM677" s="129"/>
      <c r="BN677" s="129"/>
      <c r="BO677" s="129"/>
      <c r="BP677" s="129"/>
      <c r="BQ677" s="129"/>
      <c r="BR677" s="129"/>
      <c r="BS677" s="129"/>
      <c r="BT677" s="129"/>
      <c r="BU677" s="129"/>
      <c r="BV677" s="129"/>
      <c r="BW677" s="129"/>
      <c r="BX677" s="129"/>
      <c r="BY677" s="129"/>
      <c r="BZ677" s="129"/>
      <c r="CA677" s="129"/>
      <c r="CB677" s="129"/>
      <c r="CC677" s="129"/>
      <c r="CD677" s="129"/>
    </row>
    <row r="678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29"/>
      <c r="AM678" s="129"/>
      <c r="AN678" s="144"/>
      <c r="AO678" s="129"/>
      <c r="AP678" s="129"/>
      <c r="AQ678" s="129"/>
      <c r="AR678" s="129"/>
      <c r="AS678" s="129"/>
      <c r="AT678" s="129"/>
      <c r="AU678" s="129"/>
      <c r="AV678" s="129"/>
      <c r="AW678" s="129"/>
      <c r="AX678" s="129"/>
      <c r="AY678" s="129"/>
      <c r="AZ678" s="129"/>
      <c r="BA678" s="129"/>
      <c r="BB678" s="129"/>
      <c r="BC678" s="129"/>
      <c r="BD678" s="129"/>
      <c r="BE678" s="129"/>
      <c r="BF678" s="144"/>
      <c r="BG678" s="129"/>
      <c r="BH678" s="129"/>
      <c r="BI678" s="129"/>
      <c r="BJ678" s="129"/>
      <c r="BK678" s="129"/>
      <c r="BL678" s="129"/>
      <c r="BM678" s="129"/>
      <c r="BN678" s="129"/>
      <c r="BO678" s="129"/>
      <c r="BP678" s="129"/>
      <c r="BQ678" s="129"/>
      <c r="BR678" s="129"/>
      <c r="BS678" s="129"/>
      <c r="BT678" s="129"/>
      <c r="BU678" s="129"/>
      <c r="BV678" s="129"/>
      <c r="BW678" s="129"/>
      <c r="BX678" s="129"/>
      <c r="BY678" s="129"/>
      <c r="BZ678" s="129"/>
      <c r="CA678" s="129"/>
      <c r="CB678" s="129"/>
      <c r="CC678" s="129"/>
      <c r="CD678" s="129"/>
    </row>
    <row r="679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29"/>
      <c r="AM679" s="129"/>
      <c r="AN679" s="144"/>
      <c r="AO679" s="129"/>
      <c r="AP679" s="129"/>
      <c r="AQ679" s="129"/>
      <c r="AR679" s="129"/>
      <c r="AS679" s="129"/>
      <c r="AT679" s="129"/>
      <c r="AU679" s="129"/>
      <c r="AV679" s="129"/>
      <c r="AW679" s="129"/>
      <c r="AX679" s="129"/>
      <c r="AY679" s="129"/>
      <c r="AZ679" s="129"/>
      <c r="BA679" s="129"/>
      <c r="BB679" s="129"/>
      <c r="BC679" s="129"/>
      <c r="BD679" s="129"/>
      <c r="BE679" s="129"/>
      <c r="BF679" s="144"/>
      <c r="BG679" s="129"/>
      <c r="BH679" s="129"/>
      <c r="BI679" s="129"/>
      <c r="BJ679" s="129"/>
      <c r="BK679" s="129"/>
      <c r="BL679" s="129"/>
      <c r="BM679" s="129"/>
      <c r="BN679" s="129"/>
      <c r="BO679" s="129"/>
      <c r="BP679" s="129"/>
      <c r="BQ679" s="129"/>
      <c r="BR679" s="129"/>
      <c r="BS679" s="129"/>
      <c r="BT679" s="129"/>
      <c r="BU679" s="129"/>
      <c r="BV679" s="129"/>
      <c r="BW679" s="129"/>
      <c r="BX679" s="129"/>
      <c r="BY679" s="129"/>
      <c r="BZ679" s="129"/>
      <c r="CA679" s="129"/>
      <c r="CB679" s="129"/>
      <c r="CC679" s="129"/>
      <c r="CD679" s="129"/>
    </row>
    <row r="680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29"/>
      <c r="AM680" s="129"/>
      <c r="AN680" s="144"/>
      <c r="AO680" s="129"/>
      <c r="AP680" s="129"/>
      <c r="AQ680" s="129"/>
      <c r="AR680" s="129"/>
      <c r="AS680" s="129"/>
      <c r="AT680" s="129"/>
      <c r="AU680" s="129"/>
      <c r="AV680" s="129"/>
      <c r="AW680" s="129"/>
      <c r="AX680" s="129"/>
      <c r="AY680" s="129"/>
      <c r="AZ680" s="129"/>
      <c r="BA680" s="129"/>
      <c r="BB680" s="129"/>
      <c r="BC680" s="129"/>
      <c r="BD680" s="129"/>
      <c r="BE680" s="129"/>
      <c r="BF680" s="144"/>
      <c r="BG680" s="129"/>
      <c r="BH680" s="129"/>
      <c r="BI680" s="129"/>
      <c r="BJ680" s="129"/>
      <c r="BK680" s="129"/>
      <c r="BL680" s="129"/>
      <c r="BM680" s="129"/>
      <c r="BN680" s="129"/>
      <c r="BO680" s="129"/>
      <c r="BP680" s="129"/>
      <c r="BQ680" s="129"/>
      <c r="BR680" s="129"/>
      <c r="BS680" s="129"/>
      <c r="BT680" s="129"/>
      <c r="BU680" s="129"/>
      <c r="BV680" s="129"/>
      <c r="BW680" s="129"/>
      <c r="BX680" s="129"/>
      <c r="BY680" s="129"/>
      <c r="BZ680" s="129"/>
      <c r="CA680" s="129"/>
      <c r="CB680" s="129"/>
      <c r="CC680" s="129"/>
      <c r="CD680" s="129"/>
    </row>
    <row r="68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29"/>
      <c r="AM681" s="129"/>
      <c r="AN681" s="144"/>
      <c r="AO681" s="129"/>
      <c r="AP681" s="129"/>
      <c r="AQ681" s="129"/>
      <c r="AR681" s="129"/>
      <c r="AS681" s="129"/>
      <c r="AT681" s="129"/>
      <c r="AU681" s="129"/>
      <c r="AV681" s="129"/>
      <c r="AW681" s="129"/>
      <c r="AX681" s="129"/>
      <c r="AY681" s="129"/>
      <c r="AZ681" s="129"/>
      <c r="BA681" s="129"/>
      <c r="BB681" s="129"/>
      <c r="BC681" s="129"/>
      <c r="BD681" s="129"/>
      <c r="BE681" s="129"/>
      <c r="BF681" s="144"/>
      <c r="BG681" s="129"/>
      <c r="BH681" s="129"/>
      <c r="BI681" s="129"/>
      <c r="BJ681" s="129"/>
      <c r="BK681" s="129"/>
      <c r="BL681" s="129"/>
      <c r="BM681" s="129"/>
      <c r="BN681" s="129"/>
      <c r="BO681" s="129"/>
      <c r="BP681" s="129"/>
      <c r="BQ681" s="129"/>
      <c r="BR681" s="129"/>
      <c r="BS681" s="129"/>
      <c r="BT681" s="129"/>
      <c r="BU681" s="129"/>
      <c r="BV681" s="129"/>
      <c r="BW681" s="129"/>
      <c r="BX681" s="129"/>
      <c r="BY681" s="129"/>
      <c r="BZ681" s="129"/>
      <c r="CA681" s="129"/>
      <c r="CB681" s="129"/>
      <c r="CC681" s="129"/>
      <c r="CD681" s="129"/>
    </row>
    <row r="68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29"/>
      <c r="AM682" s="129"/>
      <c r="AN682" s="144"/>
      <c r="AO682" s="129"/>
      <c r="AP682" s="129"/>
      <c r="AQ682" s="129"/>
      <c r="AR682" s="129"/>
      <c r="AS682" s="129"/>
      <c r="AT682" s="129"/>
      <c r="AU682" s="129"/>
      <c r="AV682" s="129"/>
      <c r="AW682" s="129"/>
      <c r="AX682" s="129"/>
      <c r="AY682" s="129"/>
      <c r="AZ682" s="129"/>
      <c r="BA682" s="129"/>
      <c r="BB682" s="129"/>
      <c r="BC682" s="129"/>
      <c r="BD682" s="129"/>
      <c r="BE682" s="129"/>
      <c r="BF682" s="144"/>
      <c r="BG682" s="129"/>
      <c r="BH682" s="129"/>
      <c r="BI682" s="129"/>
      <c r="BJ682" s="129"/>
      <c r="BK682" s="129"/>
      <c r="BL682" s="129"/>
      <c r="BM682" s="129"/>
      <c r="BN682" s="129"/>
      <c r="BO682" s="129"/>
      <c r="BP682" s="129"/>
      <c r="BQ682" s="129"/>
      <c r="BR682" s="129"/>
      <c r="BS682" s="129"/>
      <c r="BT682" s="129"/>
      <c r="BU682" s="129"/>
      <c r="BV682" s="129"/>
      <c r="BW682" s="129"/>
      <c r="BX682" s="129"/>
      <c r="BY682" s="129"/>
      <c r="BZ682" s="129"/>
      <c r="CA682" s="129"/>
      <c r="CB682" s="129"/>
      <c r="CC682" s="129"/>
      <c r="CD682" s="129"/>
    </row>
    <row r="683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29"/>
      <c r="AM683" s="129"/>
      <c r="AN683" s="144"/>
      <c r="AO683" s="129"/>
      <c r="AP683" s="129"/>
      <c r="AQ683" s="129"/>
      <c r="AR683" s="129"/>
      <c r="AS683" s="129"/>
      <c r="AT683" s="129"/>
      <c r="AU683" s="129"/>
      <c r="AV683" s="129"/>
      <c r="AW683" s="129"/>
      <c r="AX683" s="129"/>
      <c r="AY683" s="129"/>
      <c r="AZ683" s="129"/>
      <c r="BA683" s="129"/>
      <c r="BB683" s="129"/>
      <c r="BC683" s="129"/>
      <c r="BD683" s="129"/>
      <c r="BE683" s="129"/>
      <c r="BF683" s="144"/>
      <c r="BG683" s="129"/>
      <c r="BH683" s="129"/>
      <c r="BI683" s="129"/>
      <c r="BJ683" s="129"/>
      <c r="BK683" s="129"/>
      <c r="BL683" s="129"/>
      <c r="BM683" s="129"/>
      <c r="BN683" s="129"/>
      <c r="BO683" s="129"/>
      <c r="BP683" s="129"/>
      <c r="BQ683" s="129"/>
      <c r="BR683" s="129"/>
      <c r="BS683" s="129"/>
      <c r="BT683" s="129"/>
      <c r="BU683" s="129"/>
      <c r="BV683" s="129"/>
      <c r="BW683" s="129"/>
      <c r="BX683" s="129"/>
      <c r="BY683" s="129"/>
      <c r="BZ683" s="129"/>
      <c r="CA683" s="129"/>
      <c r="CB683" s="129"/>
      <c r="CC683" s="129"/>
      <c r="CD683" s="129"/>
    </row>
    <row r="684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29"/>
      <c r="AM684" s="129"/>
      <c r="AN684" s="144"/>
      <c r="AO684" s="129"/>
      <c r="AP684" s="129"/>
      <c r="AQ684" s="129"/>
      <c r="AR684" s="129"/>
      <c r="AS684" s="129"/>
      <c r="AT684" s="129"/>
      <c r="AU684" s="129"/>
      <c r="AV684" s="129"/>
      <c r="AW684" s="129"/>
      <c r="AX684" s="129"/>
      <c r="AY684" s="129"/>
      <c r="AZ684" s="129"/>
      <c r="BA684" s="129"/>
      <c r="BB684" s="129"/>
      <c r="BC684" s="129"/>
      <c r="BD684" s="129"/>
      <c r="BE684" s="129"/>
      <c r="BF684" s="144"/>
      <c r="BG684" s="129"/>
      <c r="BH684" s="129"/>
      <c r="BI684" s="129"/>
      <c r="BJ684" s="129"/>
      <c r="BK684" s="129"/>
      <c r="BL684" s="129"/>
      <c r="BM684" s="129"/>
      <c r="BN684" s="129"/>
      <c r="BO684" s="129"/>
      <c r="BP684" s="129"/>
      <c r="BQ684" s="129"/>
      <c r="BR684" s="129"/>
      <c r="BS684" s="129"/>
      <c r="BT684" s="129"/>
      <c r="BU684" s="129"/>
      <c r="BV684" s="129"/>
      <c r="BW684" s="129"/>
      <c r="BX684" s="129"/>
      <c r="BY684" s="129"/>
      <c r="BZ684" s="129"/>
      <c r="CA684" s="129"/>
      <c r="CB684" s="129"/>
      <c r="CC684" s="129"/>
      <c r="CD684" s="129"/>
    </row>
    <row r="685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29"/>
      <c r="AM685" s="129"/>
      <c r="AN685" s="144"/>
      <c r="AO685" s="129"/>
      <c r="AP685" s="129"/>
      <c r="AQ685" s="129"/>
      <c r="AR685" s="129"/>
      <c r="AS685" s="129"/>
      <c r="AT685" s="129"/>
      <c r="AU685" s="129"/>
      <c r="AV685" s="129"/>
      <c r="AW685" s="129"/>
      <c r="AX685" s="129"/>
      <c r="AY685" s="129"/>
      <c r="AZ685" s="129"/>
      <c r="BA685" s="129"/>
      <c r="BB685" s="129"/>
      <c r="BC685" s="129"/>
      <c r="BD685" s="129"/>
      <c r="BE685" s="129"/>
      <c r="BF685" s="144"/>
      <c r="BG685" s="129"/>
      <c r="BH685" s="129"/>
      <c r="BI685" s="129"/>
      <c r="BJ685" s="129"/>
      <c r="BK685" s="129"/>
      <c r="BL685" s="129"/>
      <c r="BM685" s="129"/>
      <c r="BN685" s="129"/>
      <c r="BO685" s="129"/>
      <c r="BP685" s="129"/>
      <c r="BQ685" s="129"/>
      <c r="BR685" s="129"/>
      <c r="BS685" s="129"/>
      <c r="BT685" s="129"/>
      <c r="BU685" s="129"/>
      <c r="BV685" s="129"/>
      <c r="BW685" s="129"/>
      <c r="BX685" s="129"/>
      <c r="BY685" s="129"/>
      <c r="BZ685" s="129"/>
      <c r="CA685" s="129"/>
      <c r="CB685" s="129"/>
      <c r="CC685" s="129"/>
      <c r="CD685" s="129"/>
    </row>
    <row r="686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29"/>
      <c r="AM686" s="129"/>
      <c r="AN686" s="144"/>
      <c r="AO686" s="129"/>
      <c r="AP686" s="129"/>
      <c r="AQ686" s="129"/>
      <c r="AR686" s="129"/>
      <c r="AS686" s="129"/>
      <c r="AT686" s="129"/>
      <c r="AU686" s="129"/>
      <c r="AV686" s="129"/>
      <c r="AW686" s="129"/>
      <c r="AX686" s="129"/>
      <c r="AY686" s="129"/>
      <c r="AZ686" s="129"/>
      <c r="BA686" s="129"/>
      <c r="BB686" s="129"/>
      <c r="BC686" s="129"/>
      <c r="BD686" s="129"/>
      <c r="BE686" s="129"/>
      <c r="BF686" s="144"/>
      <c r="BG686" s="129"/>
      <c r="BH686" s="129"/>
      <c r="BI686" s="129"/>
      <c r="BJ686" s="129"/>
      <c r="BK686" s="129"/>
      <c r="BL686" s="129"/>
      <c r="BM686" s="129"/>
      <c r="BN686" s="129"/>
      <c r="BO686" s="129"/>
      <c r="BP686" s="129"/>
      <c r="BQ686" s="129"/>
      <c r="BR686" s="129"/>
      <c r="BS686" s="129"/>
      <c r="BT686" s="129"/>
      <c r="BU686" s="129"/>
      <c r="BV686" s="129"/>
      <c r="BW686" s="129"/>
      <c r="BX686" s="129"/>
      <c r="BY686" s="129"/>
      <c r="BZ686" s="129"/>
      <c r="CA686" s="129"/>
      <c r="CB686" s="129"/>
      <c r="CC686" s="129"/>
      <c r="CD686" s="129"/>
    </row>
    <row r="687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29"/>
      <c r="AM687" s="129"/>
      <c r="AN687" s="144"/>
      <c r="AO687" s="129"/>
      <c r="AP687" s="129"/>
      <c r="AQ687" s="129"/>
      <c r="AR687" s="129"/>
      <c r="AS687" s="129"/>
      <c r="AT687" s="129"/>
      <c r="AU687" s="129"/>
      <c r="AV687" s="129"/>
      <c r="AW687" s="129"/>
      <c r="AX687" s="129"/>
      <c r="AY687" s="129"/>
      <c r="AZ687" s="129"/>
      <c r="BA687" s="129"/>
      <c r="BB687" s="129"/>
      <c r="BC687" s="129"/>
      <c r="BD687" s="129"/>
      <c r="BE687" s="129"/>
      <c r="BF687" s="144"/>
      <c r="BG687" s="129"/>
      <c r="BH687" s="129"/>
      <c r="BI687" s="129"/>
      <c r="BJ687" s="129"/>
      <c r="BK687" s="129"/>
      <c r="BL687" s="129"/>
      <c r="BM687" s="129"/>
      <c r="BN687" s="129"/>
      <c r="BO687" s="129"/>
      <c r="BP687" s="129"/>
      <c r="BQ687" s="129"/>
      <c r="BR687" s="129"/>
      <c r="BS687" s="129"/>
      <c r="BT687" s="129"/>
      <c r="BU687" s="129"/>
      <c r="BV687" s="129"/>
      <c r="BW687" s="129"/>
      <c r="BX687" s="129"/>
      <c r="BY687" s="129"/>
      <c r="BZ687" s="129"/>
      <c r="CA687" s="129"/>
      <c r="CB687" s="129"/>
      <c r="CC687" s="129"/>
      <c r="CD687" s="129"/>
    </row>
    <row r="688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29"/>
      <c r="AM688" s="129"/>
      <c r="AN688" s="144"/>
      <c r="AO688" s="129"/>
      <c r="AP688" s="129"/>
      <c r="AQ688" s="129"/>
      <c r="AR688" s="129"/>
      <c r="AS688" s="129"/>
      <c r="AT688" s="129"/>
      <c r="AU688" s="129"/>
      <c r="AV688" s="129"/>
      <c r="AW688" s="129"/>
      <c r="AX688" s="129"/>
      <c r="AY688" s="129"/>
      <c r="AZ688" s="129"/>
      <c r="BA688" s="129"/>
      <c r="BB688" s="129"/>
      <c r="BC688" s="129"/>
      <c r="BD688" s="129"/>
      <c r="BE688" s="129"/>
      <c r="BF688" s="144"/>
      <c r="BG688" s="129"/>
      <c r="BH688" s="129"/>
      <c r="BI688" s="129"/>
      <c r="BJ688" s="129"/>
      <c r="BK688" s="129"/>
      <c r="BL688" s="129"/>
      <c r="BM688" s="129"/>
      <c r="BN688" s="129"/>
      <c r="BO688" s="129"/>
      <c r="BP688" s="129"/>
      <c r="BQ688" s="129"/>
      <c r="BR688" s="129"/>
      <c r="BS688" s="129"/>
      <c r="BT688" s="129"/>
      <c r="BU688" s="129"/>
      <c r="BV688" s="129"/>
      <c r="BW688" s="129"/>
      <c r="BX688" s="129"/>
      <c r="BY688" s="129"/>
      <c r="BZ688" s="129"/>
      <c r="CA688" s="129"/>
      <c r="CB688" s="129"/>
      <c r="CC688" s="129"/>
      <c r="CD688" s="129"/>
    </row>
    <row r="689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29"/>
      <c r="AM689" s="129"/>
      <c r="AN689" s="144"/>
      <c r="AO689" s="129"/>
      <c r="AP689" s="129"/>
      <c r="AQ689" s="129"/>
      <c r="AR689" s="129"/>
      <c r="AS689" s="129"/>
      <c r="AT689" s="129"/>
      <c r="AU689" s="129"/>
      <c r="AV689" s="129"/>
      <c r="AW689" s="129"/>
      <c r="AX689" s="129"/>
      <c r="AY689" s="129"/>
      <c r="AZ689" s="129"/>
      <c r="BA689" s="129"/>
      <c r="BB689" s="129"/>
      <c r="BC689" s="129"/>
      <c r="BD689" s="129"/>
      <c r="BE689" s="129"/>
      <c r="BF689" s="144"/>
      <c r="BG689" s="129"/>
      <c r="BH689" s="129"/>
      <c r="BI689" s="129"/>
      <c r="BJ689" s="129"/>
      <c r="BK689" s="129"/>
      <c r="BL689" s="129"/>
      <c r="BM689" s="129"/>
      <c r="BN689" s="129"/>
      <c r="BO689" s="129"/>
      <c r="BP689" s="129"/>
      <c r="BQ689" s="129"/>
      <c r="BR689" s="129"/>
      <c r="BS689" s="129"/>
      <c r="BT689" s="129"/>
      <c r="BU689" s="129"/>
      <c r="BV689" s="129"/>
      <c r="BW689" s="129"/>
      <c r="BX689" s="129"/>
      <c r="BY689" s="129"/>
      <c r="BZ689" s="129"/>
      <c r="CA689" s="129"/>
      <c r="CB689" s="129"/>
      <c r="CC689" s="129"/>
      <c r="CD689" s="129"/>
    </row>
    <row r="690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44"/>
      <c r="AO690" s="129"/>
      <c r="AP690" s="129"/>
      <c r="AQ690" s="129"/>
      <c r="AR690" s="129"/>
      <c r="AS690" s="129"/>
      <c r="AT690" s="129"/>
      <c r="AU690" s="129"/>
      <c r="AV690" s="129"/>
      <c r="AW690" s="129"/>
      <c r="AX690" s="129"/>
      <c r="AY690" s="129"/>
      <c r="AZ690" s="129"/>
      <c r="BA690" s="129"/>
      <c r="BB690" s="129"/>
      <c r="BC690" s="129"/>
      <c r="BD690" s="129"/>
      <c r="BE690" s="129"/>
      <c r="BF690" s="144"/>
      <c r="BG690" s="129"/>
      <c r="BH690" s="129"/>
      <c r="BI690" s="129"/>
      <c r="BJ690" s="129"/>
      <c r="BK690" s="129"/>
      <c r="BL690" s="129"/>
      <c r="BM690" s="129"/>
      <c r="BN690" s="129"/>
      <c r="BO690" s="129"/>
      <c r="BP690" s="129"/>
      <c r="BQ690" s="129"/>
      <c r="BR690" s="129"/>
      <c r="BS690" s="129"/>
      <c r="BT690" s="129"/>
      <c r="BU690" s="129"/>
      <c r="BV690" s="129"/>
      <c r="BW690" s="129"/>
      <c r="BX690" s="129"/>
      <c r="BY690" s="129"/>
      <c r="BZ690" s="129"/>
      <c r="CA690" s="129"/>
      <c r="CB690" s="129"/>
      <c r="CC690" s="129"/>
      <c r="CD690" s="129"/>
    </row>
    <row r="69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44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44"/>
      <c r="BG691" s="129"/>
      <c r="BH691" s="129"/>
      <c r="BI691" s="129"/>
      <c r="BJ691" s="129"/>
      <c r="BK691" s="129"/>
      <c r="BL691" s="129"/>
      <c r="BM691" s="129"/>
      <c r="BN691" s="129"/>
      <c r="BO691" s="129"/>
      <c r="BP691" s="129"/>
      <c r="BQ691" s="129"/>
      <c r="BR691" s="129"/>
      <c r="BS691" s="129"/>
      <c r="BT691" s="129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</row>
    <row r="69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29"/>
      <c r="AM692" s="129"/>
      <c r="AN692" s="144"/>
      <c r="AO692" s="129"/>
      <c r="AP692" s="129"/>
      <c r="AQ692" s="129"/>
      <c r="AR692" s="129"/>
      <c r="AS692" s="129"/>
      <c r="AT692" s="129"/>
      <c r="AU692" s="129"/>
      <c r="AV692" s="129"/>
      <c r="AW692" s="129"/>
      <c r="AX692" s="129"/>
      <c r="AY692" s="129"/>
      <c r="AZ692" s="129"/>
      <c r="BA692" s="129"/>
      <c r="BB692" s="129"/>
      <c r="BC692" s="129"/>
      <c r="BD692" s="129"/>
      <c r="BE692" s="129"/>
      <c r="BF692" s="144"/>
      <c r="BG692" s="129"/>
      <c r="BH692" s="129"/>
      <c r="BI692" s="129"/>
      <c r="BJ692" s="129"/>
      <c r="BK692" s="129"/>
      <c r="BL692" s="129"/>
      <c r="BM692" s="129"/>
      <c r="BN692" s="129"/>
      <c r="BO692" s="129"/>
      <c r="BP692" s="129"/>
      <c r="BQ692" s="129"/>
      <c r="BR692" s="129"/>
      <c r="BS692" s="129"/>
      <c r="BT692" s="129"/>
      <c r="BU692" s="129"/>
      <c r="BV692" s="129"/>
      <c r="BW692" s="129"/>
      <c r="BX692" s="129"/>
      <c r="BY692" s="129"/>
      <c r="BZ692" s="129"/>
      <c r="CA692" s="129"/>
      <c r="CB692" s="129"/>
      <c r="CC692" s="129"/>
      <c r="CD692" s="129"/>
    </row>
    <row r="693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29"/>
      <c r="AM693" s="129"/>
      <c r="AN693" s="144"/>
      <c r="AO693" s="129"/>
      <c r="AP693" s="129"/>
      <c r="AQ693" s="129"/>
      <c r="AR693" s="129"/>
      <c r="AS693" s="129"/>
      <c r="AT693" s="129"/>
      <c r="AU693" s="129"/>
      <c r="AV693" s="129"/>
      <c r="AW693" s="129"/>
      <c r="AX693" s="129"/>
      <c r="AY693" s="129"/>
      <c r="AZ693" s="129"/>
      <c r="BA693" s="129"/>
      <c r="BB693" s="129"/>
      <c r="BC693" s="129"/>
      <c r="BD693" s="129"/>
      <c r="BE693" s="129"/>
      <c r="BF693" s="144"/>
      <c r="BG693" s="129"/>
      <c r="BH693" s="129"/>
      <c r="BI693" s="129"/>
      <c r="BJ693" s="129"/>
      <c r="BK693" s="129"/>
      <c r="BL693" s="129"/>
      <c r="BM693" s="129"/>
      <c r="BN693" s="129"/>
      <c r="BO693" s="129"/>
      <c r="BP693" s="129"/>
      <c r="BQ693" s="129"/>
      <c r="BR693" s="129"/>
      <c r="BS693" s="129"/>
      <c r="BT693" s="129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</row>
    <row r="694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44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44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</row>
    <row r="695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44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44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</row>
    <row r="696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44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44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</row>
    <row r="697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44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44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</row>
    <row r="698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44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44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</row>
    <row r="699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44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44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</row>
    <row r="700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44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44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</row>
    <row r="70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44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44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</row>
    <row r="70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44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44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</row>
    <row r="703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44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44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</row>
    <row r="704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129"/>
      <c r="AN704" s="144"/>
      <c r="AO704" s="129"/>
      <c r="AP704" s="129"/>
      <c r="AQ704" s="129"/>
      <c r="AR704" s="129"/>
      <c r="AS704" s="129"/>
      <c r="AT704" s="129"/>
      <c r="AU704" s="129"/>
      <c r="AV704" s="129"/>
      <c r="AW704" s="129"/>
      <c r="AX704" s="129"/>
      <c r="AY704" s="129"/>
      <c r="AZ704" s="129"/>
      <c r="BA704" s="129"/>
      <c r="BB704" s="129"/>
      <c r="BC704" s="129"/>
      <c r="BD704" s="129"/>
      <c r="BE704" s="129"/>
      <c r="BF704" s="144"/>
      <c r="BG704" s="129"/>
      <c r="BH704" s="129"/>
      <c r="BI704" s="129"/>
      <c r="BJ704" s="129"/>
      <c r="BK704" s="129"/>
      <c r="BL704" s="129"/>
      <c r="BM704" s="129"/>
      <c r="BN704" s="129"/>
      <c r="BO704" s="129"/>
      <c r="BP704" s="129"/>
      <c r="BQ704" s="129"/>
      <c r="BR704" s="129"/>
      <c r="BS704" s="129"/>
      <c r="BT704" s="129"/>
      <c r="BU704" s="129"/>
      <c r="BV704" s="129"/>
      <c r="BW704" s="129"/>
      <c r="BX704" s="129"/>
      <c r="BY704" s="129"/>
      <c r="BZ704" s="129"/>
      <c r="CA704" s="129"/>
      <c r="CB704" s="129"/>
      <c r="CC704" s="129"/>
      <c r="CD704" s="129"/>
    </row>
    <row r="705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129"/>
      <c r="AN705" s="144"/>
      <c r="AO705" s="129"/>
      <c r="AP705" s="129"/>
      <c r="AQ705" s="129"/>
      <c r="AR705" s="129"/>
      <c r="AS705" s="129"/>
      <c r="AT705" s="129"/>
      <c r="AU705" s="129"/>
      <c r="AV705" s="129"/>
      <c r="AW705" s="129"/>
      <c r="AX705" s="129"/>
      <c r="AY705" s="129"/>
      <c r="AZ705" s="129"/>
      <c r="BA705" s="129"/>
      <c r="BB705" s="129"/>
      <c r="BC705" s="129"/>
      <c r="BD705" s="129"/>
      <c r="BE705" s="129"/>
      <c r="BF705" s="144"/>
      <c r="BG705" s="129"/>
      <c r="BH705" s="129"/>
      <c r="BI705" s="129"/>
      <c r="BJ705" s="129"/>
      <c r="BK705" s="129"/>
      <c r="BL705" s="129"/>
      <c r="BM705" s="129"/>
      <c r="BN705" s="129"/>
      <c r="BO705" s="129"/>
      <c r="BP705" s="129"/>
      <c r="BQ705" s="129"/>
      <c r="BR705" s="129"/>
      <c r="BS705" s="129"/>
      <c r="BT705" s="129"/>
      <c r="BU705" s="129"/>
      <c r="BV705" s="129"/>
      <c r="BW705" s="129"/>
      <c r="BX705" s="129"/>
      <c r="BY705" s="129"/>
      <c r="BZ705" s="129"/>
      <c r="CA705" s="129"/>
      <c r="CB705" s="129"/>
      <c r="CC705" s="129"/>
      <c r="CD705" s="129"/>
    </row>
    <row r="706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129"/>
      <c r="AN706" s="144"/>
      <c r="AO706" s="129"/>
      <c r="AP706" s="129"/>
      <c r="AQ706" s="129"/>
      <c r="AR706" s="129"/>
      <c r="AS706" s="129"/>
      <c r="AT706" s="129"/>
      <c r="AU706" s="129"/>
      <c r="AV706" s="129"/>
      <c r="AW706" s="129"/>
      <c r="AX706" s="129"/>
      <c r="AY706" s="129"/>
      <c r="AZ706" s="129"/>
      <c r="BA706" s="129"/>
      <c r="BB706" s="129"/>
      <c r="BC706" s="129"/>
      <c r="BD706" s="129"/>
      <c r="BE706" s="129"/>
      <c r="BF706" s="144"/>
      <c r="BG706" s="129"/>
      <c r="BH706" s="129"/>
      <c r="BI706" s="129"/>
      <c r="BJ706" s="129"/>
      <c r="BK706" s="129"/>
      <c r="BL706" s="129"/>
      <c r="BM706" s="129"/>
      <c r="BN706" s="129"/>
      <c r="BO706" s="129"/>
      <c r="BP706" s="129"/>
      <c r="BQ706" s="129"/>
      <c r="BR706" s="129"/>
      <c r="BS706" s="129"/>
      <c r="BT706" s="129"/>
      <c r="BU706" s="129"/>
      <c r="BV706" s="129"/>
      <c r="BW706" s="129"/>
      <c r="BX706" s="129"/>
      <c r="BY706" s="129"/>
      <c r="BZ706" s="129"/>
      <c r="CA706" s="129"/>
      <c r="CB706" s="129"/>
      <c r="CC706" s="129"/>
      <c r="CD706" s="129"/>
    </row>
    <row r="707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29"/>
      <c r="AM707" s="129"/>
      <c r="AN707" s="144"/>
      <c r="AO707" s="129"/>
      <c r="AP707" s="129"/>
      <c r="AQ707" s="129"/>
      <c r="AR707" s="129"/>
      <c r="AS707" s="129"/>
      <c r="AT707" s="129"/>
      <c r="AU707" s="129"/>
      <c r="AV707" s="129"/>
      <c r="AW707" s="129"/>
      <c r="AX707" s="129"/>
      <c r="AY707" s="129"/>
      <c r="AZ707" s="129"/>
      <c r="BA707" s="129"/>
      <c r="BB707" s="129"/>
      <c r="BC707" s="129"/>
      <c r="BD707" s="129"/>
      <c r="BE707" s="129"/>
      <c r="BF707" s="144"/>
      <c r="BG707" s="129"/>
      <c r="BH707" s="129"/>
      <c r="BI707" s="129"/>
      <c r="BJ707" s="129"/>
      <c r="BK707" s="129"/>
      <c r="BL707" s="129"/>
      <c r="BM707" s="129"/>
      <c r="BN707" s="129"/>
      <c r="BO707" s="129"/>
      <c r="BP707" s="129"/>
      <c r="BQ707" s="129"/>
      <c r="BR707" s="129"/>
      <c r="BS707" s="129"/>
      <c r="BT707" s="129"/>
      <c r="BU707" s="129"/>
      <c r="BV707" s="129"/>
      <c r="BW707" s="129"/>
      <c r="BX707" s="129"/>
      <c r="BY707" s="129"/>
      <c r="BZ707" s="129"/>
      <c r="CA707" s="129"/>
      <c r="CB707" s="129"/>
      <c r="CC707" s="129"/>
      <c r="CD707" s="129"/>
    </row>
    <row r="708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29"/>
      <c r="AM708" s="129"/>
      <c r="AN708" s="144"/>
      <c r="AO708" s="129"/>
      <c r="AP708" s="129"/>
      <c r="AQ708" s="129"/>
      <c r="AR708" s="129"/>
      <c r="AS708" s="129"/>
      <c r="AT708" s="129"/>
      <c r="AU708" s="129"/>
      <c r="AV708" s="129"/>
      <c r="AW708" s="129"/>
      <c r="AX708" s="129"/>
      <c r="AY708" s="129"/>
      <c r="AZ708" s="129"/>
      <c r="BA708" s="129"/>
      <c r="BB708" s="129"/>
      <c r="BC708" s="129"/>
      <c r="BD708" s="129"/>
      <c r="BE708" s="129"/>
      <c r="BF708" s="144"/>
      <c r="BG708" s="129"/>
      <c r="BH708" s="129"/>
      <c r="BI708" s="129"/>
      <c r="BJ708" s="129"/>
      <c r="BK708" s="129"/>
      <c r="BL708" s="129"/>
      <c r="BM708" s="129"/>
      <c r="BN708" s="129"/>
      <c r="BO708" s="129"/>
      <c r="BP708" s="129"/>
      <c r="BQ708" s="129"/>
      <c r="BR708" s="129"/>
      <c r="BS708" s="129"/>
      <c r="BT708" s="129"/>
      <c r="BU708" s="129"/>
      <c r="BV708" s="129"/>
      <c r="BW708" s="129"/>
      <c r="BX708" s="129"/>
      <c r="BY708" s="129"/>
      <c r="BZ708" s="129"/>
      <c r="CA708" s="129"/>
      <c r="CB708" s="129"/>
      <c r="CC708" s="129"/>
      <c r="CD708" s="129"/>
    </row>
    <row r="709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29"/>
      <c r="AM709" s="129"/>
      <c r="AN709" s="144"/>
      <c r="AO709" s="129"/>
      <c r="AP709" s="129"/>
      <c r="AQ709" s="129"/>
      <c r="AR709" s="129"/>
      <c r="AS709" s="129"/>
      <c r="AT709" s="129"/>
      <c r="AU709" s="129"/>
      <c r="AV709" s="129"/>
      <c r="AW709" s="129"/>
      <c r="AX709" s="129"/>
      <c r="AY709" s="129"/>
      <c r="AZ709" s="129"/>
      <c r="BA709" s="129"/>
      <c r="BB709" s="129"/>
      <c r="BC709" s="129"/>
      <c r="BD709" s="129"/>
      <c r="BE709" s="129"/>
      <c r="BF709" s="144"/>
      <c r="BG709" s="129"/>
      <c r="BH709" s="129"/>
      <c r="BI709" s="129"/>
      <c r="BJ709" s="129"/>
      <c r="BK709" s="129"/>
      <c r="BL709" s="129"/>
      <c r="BM709" s="129"/>
      <c r="BN709" s="129"/>
      <c r="BO709" s="129"/>
      <c r="BP709" s="129"/>
      <c r="BQ709" s="129"/>
      <c r="BR709" s="129"/>
      <c r="BS709" s="129"/>
      <c r="BT709" s="129"/>
      <c r="BU709" s="129"/>
      <c r="BV709" s="129"/>
      <c r="BW709" s="129"/>
      <c r="BX709" s="129"/>
      <c r="BY709" s="129"/>
      <c r="BZ709" s="129"/>
      <c r="CA709" s="129"/>
      <c r="CB709" s="129"/>
      <c r="CC709" s="129"/>
      <c r="CD709" s="129"/>
    </row>
    <row r="710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29"/>
      <c r="AM710" s="129"/>
      <c r="AN710" s="144"/>
      <c r="AO710" s="129"/>
      <c r="AP710" s="129"/>
      <c r="AQ710" s="129"/>
      <c r="AR710" s="129"/>
      <c r="AS710" s="129"/>
      <c r="AT710" s="129"/>
      <c r="AU710" s="129"/>
      <c r="AV710" s="129"/>
      <c r="AW710" s="129"/>
      <c r="AX710" s="129"/>
      <c r="AY710" s="129"/>
      <c r="AZ710" s="129"/>
      <c r="BA710" s="129"/>
      <c r="BB710" s="129"/>
      <c r="BC710" s="129"/>
      <c r="BD710" s="129"/>
      <c r="BE710" s="129"/>
      <c r="BF710" s="144"/>
      <c r="BG710" s="129"/>
      <c r="BH710" s="129"/>
      <c r="BI710" s="129"/>
      <c r="BJ710" s="129"/>
      <c r="BK710" s="129"/>
      <c r="BL710" s="129"/>
      <c r="BM710" s="129"/>
      <c r="BN710" s="129"/>
      <c r="BO710" s="129"/>
      <c r="BP710" s="129"/>
      <c r="BQ710" s="129"/>
      <c r="BR710" s="129"/>
      <c r="BS710" s="129"/>
      <c r="BT710" s="129"/>
      <c r="BU710" s="129"/>
      <c r="BV710" s="129"/>
      <c r="BW710" s="129"/>
      <c r="BX710" s="129"/>
      <c r="BY710" s="129"/>
      <c r="BZ710" s="129"/>
      <c r="CA710" s="129"/>
      <c r="CB710" s="129"/>
      <c r="CC710" s="129"/>
      <c r="CD710" s="129"/>
    </row>
    <row r="71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29"/>
      <c r="AM711" s="129"/>
      <c r="AN711" s="144"/>
      <c r="AO711" s="129"/>
      <c r="AP711" s="129"/>
      <c r="AQ711" s="129"/>
      <c r="AR711" s="129"/>
      <c r="AS711" s="129"/>
      <c r="AT711" s="129"/>
      <c r="AU711" s="129"/>
      <c r="AV711" s="129"/>
      <c r="AW711" s="129"/>
      <c r="AX711" s="129"/>
      <c r="AY711" s="129"/>
      <c r="AZ711" s="129"/>
      <c r="BA711" s="129"/>
      <c r="BB711" s="129"/>
      <c r="BC711" s="129"/>
      <c r="BD711" s="129"/>
      <c r="BE711" s="129"/>
      <c r="BF711" s="144"/>
      <c r="BG711" s="129"/>
      <c r="BH711" s="129"/>
      <c r="BI711" s="129"/>
      <c r="BJ711" s="129"/>
      <c r="BK711" s="129"/>
      <c r="BL711" s="129"/>
      <c r="BM711" s="129"/>
      <c r="BN711" s="129"/>
      <c r="BO711" s="129"/>
      <c r="BP711" s="129"/>
      <c r="BQ711" s="129"/>
      <c r="BR711" s="129"/>
      <c r="BS711" s="129"/>
      <c r="BT711" s="129"/>
      <c r="BU711" s="129"/>
      <c r="BV711" s="129"/>
      <c r="BW711" s="129"/>
      <c r="BX711" s="129"/>
      <c r="BY711" s="129"/>
      <c r="BZ711" s="129"/>
      <c r="CA711" s="129"/>
      <c r="CB711" s="129"/>
      <c r="CC711" s="129"/>
      <c r="CD711" s="129"/>
    </row>
    <row r="71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129"/>
      <c r="AN712" s="144"/>
      <c r="AO712" s="129"/>
      <c r="AP712" s="129"/>
      <c r="AQ712" s="129"/>
      <c r="AR712" s="129"/>
      <c r="AS712" s="129"/>
      <c r="AT712" s="129"/>
      <c r="AU712" s="129"/>
      <c r="AV712" s="129"/>
      <c r="AW712" s="129"/>
      <c r="AX712" s="129"/>
      <c r="AY712" s="129"/>
      <c r="AZ712" s="129"/>
      <c r="BA712" s="129"/>
      <c r="BB712" s="129"/>
      <c r="BC712" s="129"/>
      <c r="BD712" s="129"/>
      <c r="BE712" s="129"/>
      <c r="BF712" s="144"/>
      <c r="BG712" s="129"/>
      <c r="BH712" s="129"/>
      <c r="BI712" s="129"/>
      <c r="BJ712" s="129"/>
      <c r="BK712" s="129"/>
      <c r="BL712" s="129"/>
      <c r="BM712" s="129"/>
      <c r="BN712" s="129"/>
      <c r="BO712" s="129"/>
      <c r="BP712" s="129"/>
      <c r="BQ712" s="129"/>
      <c r="BR712" s="129"/>
      <c r="BS712" s="129"/>
      <c r="BT712" s="129"/>
      <c r="BU712" s="129"/>
      <c r="BV712" s="129"/>
      <c r="BW712" s="129"/>
      <c r="BX712" s="129"/>
      <c r="BY712" s="129"/>
      <c r="BZ712" s="129"/>
      <c r="CA712" s="129"/>
      <c r="CB712" s="129"/>
      <c r="CC712" s="129"/>
      <c r="CD712" s="129"/>
    </row>
    <row r="713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29"/>
      <c r="AM713" s="129"/>
      <c r="AN713" s="144"/>
      <c r="AO713" s="129"/>
      <c r="AP713" s="129"/>
      <c r="AQ713" s="129"/>
      <c r="AR713" s="129"/>
      <c r="AS713" s="129"/>
      <c r="AT713" s="129"/>
      <c r="AU713" s="129"/>
      <c r="AV713" s="129"/>
      <c r="AW713" s="129"/>
      <c r="AX713" s="129"/>
      <c r="AY713" s="129"/>
      <c r="AZ713" s="129"/>
      <c r="BA713" s="129"/>
      <c r="BB713" s="129"/>
      <c r="BC713" s="129"/>
      <c r="BD713" s="129"/>
      <c r="BE713" s="129"/>
      <c r="BF713" s="144"/>
      <c r="BG713" s="129"/>
      <c r="BH713" s="129"/>
      <c r="BI713" s="129"/>
      <c r="BJ713" s="129"/>
      <c r="BK713" s="129"/>
      <c r="BL713" s="129"/>
      <c r="BM713" s="129"/>
      <c r="BN713" s="129"/>
      <c r="BO713" s="129"/>
      <c r="BP713" s="129"/>
      <c r="BQ713" s="129"/>
      <c r="BR713" s="129"/>
      <c r="BS713" s="129"/>
      <c r="BT713" s="129"/>
      <c r="BU713" s="129"/>
      <c r="BV713" s="129"/>
      <c r="BW713" s="129"/>
      <c r="BX713" s="129"/>
      <c r="BY713" s="129"/>
      <c r="BZ713" s="129"/>
      <c r="CA713" s="129"/>
      <c r="CB713" s="129"/>
      <c r="CC713" s="129"/>
      <c r="CD713" s="129"/>
    </row>
    <row r="714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29"/>
      <c r="AM714" s="129"/>
      <c r="AN714" s="144"/>
      <c r="AO714" s="129"/>
      <c r="AP714" s="129"/>
      <c r="AQ714" s="129"/>
      <c r="AR714" s="129"/>
      <c r="AS714" s="129"/>
      <c r="AT714" s="129"/>
      <c r="AU714" s="129"/>
      <c r="AV714" s="129"/>
      <c r="AW714" s="129"/>
      <c r="AX714" s="129"/>
      <c r="AY714" s="129"/>
      <c r="AZ714" s="129"/>
      <c r="BA714" s="129"/>
      <c r="BB714" s="129"/>
      <c r="BC714" s="129"/>
      <c r="BD714" s="129"/>
      <c r="BE714" s="129"/>
      <c r="BF714" s="144"/>
      <c r="BG714" s="129"/>
      <c r="BH714" s="129"/>
      <c r="BI714" s="129"/>
      <c r="BJ714" s="129"/>
      <c r="BK714" s="129"/>
      <c r="BL714" s="129"/>
      <c r="BM714" s="129"/>
      <c r="BN714" s="129"/>
      <c r="BO714" s="129"/>
      <c r="BP714" s="129"/>
      <c r="BQ714" s="129"/>
      <c r="BR714" s="129"/>
      <c r="BS714" s="129"/>
      <c r="BT714" s="129"/>
      <c r="BU714" s="129"/>
      <c r="BV714" s="129"/>
      <c r="BW714" s="129"/>
      <c r="BX714" s="129"/>
      <c r="BY714" s="129"/>
      <c r="BZ714" s="129"/>
      <c r="CA714" s="129"/>
      <c r="CB714" s="129"/>
      <c r="CC714" s="129"/>
      <c r="CD714" s="129"/>
    </row>
    <row r="715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29"/>
      <c r="AM715" s="129"/>
      <c r="AN715" s="144"/>
      <c r="AO715" s="129"/>
      <c r="AP715" s="129"/>
      <c r="AQ715" s="129"/>
      <c r="AR715" s="129"/>
      <c r="AS715" s="129"/>
      <c r="AT715" s="129"/>
      <c r="AU715" s="129"/>
      <c r="AV715" s="129"/>
      <c r="AW715" s="129"/>
      <c r="AX715" s="129"/>
      <c r="AY715" s="129"/>
      <c r="AZ715" s="129"/>
      <c r="BA715" s="129"/>
      <c r="BB715" s="129"/>
      <c r="BC715" s="129"/>
      <c r="BD715" s="129"/>
      <c r="BE715" s="129"/>
      <c r="BF715" s="144"/>
      <c r="BG715" s="129"/>
      <c r="BH715" s="129"/>
      <c r="BI715" s="129"/>
      <c r="BJ715" s="129"/>
      <c r="BK715" s="129"/>
      <c r="BL715" s="129"/>
      <c r="BM715" s="129"/>
      <c r="BN715" s="129"/>
      <c r="BO715" s="129"/>
      <c r="BP715" s="129"/>
      <c r="BQ715" s="129"/>
      <c r="BR715" s="129"/>
      <c r="BS715" s="129"/>
      <c r="BT715" s="129"/>
      <c r="BU715" s="129"/>
      <c r="BV715" s="129"/>
      <c r="BW715" s="129"/>
      <c r="BX715" s="129"/>
      <c r="BY715" s="129"/>
      <c r="BZ715" s="129"/>
      <c r="CA715" s="129"/>
      <c r="CB715" s="129"/>
      <c r="CC715" s="129"/>
      <c r="CD715" s="129"/>
    </row>
    <row r="716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29"/>
      <c r="AM716" s="129"/>
      <c r="AN716" s="144"/>
      <c r="AO716" s="129"/>
      <c r="AP716" s="129"/>
      <c r="AQ716" s="129"/>
      <c r="AR716" s="129"/>
      <c r="AS716" s="129"/>
      <c r="AT716" s="129"/>
      <c r="AU716" s="129"/>
      <c r="AV716" s="129"/>
      <c r="AW716" s="129"/>
      <c r="AX716" s="129"/>
      <c r="AY716" s="129"/>
      <c r="AZ716" s="129"/>
      <c r="BA716" s="129"/>
      <c r="BB716" s="129"/>
      <c r="BC716" s="129"/>
      <c r="BD716" s="129"/>
      <c r="BE716" s="129"/>
      <c r="BF716" s="144"/>
      <c r="BG716" s="129"/>
      <c r="BH716" s="129"/>
      <c r="BI716" s="129"/>
      <c r="BJ716" s="129"/>
      <c r="BK716" s="129"/>
      <c r="BL716" s="129"/>
      <c r="BM716" s="129"/>
      <c r="BN716" s="129"/>
      <c r="BO716" s="129"/>
      <c r="BP716" s="129"/>
      <c r="BQ716" s="129"/>
      <c r="BR716" s="129"/>
      <c r="BS716" s="129"/>
      <c r="BT716" s="129"/>
      <c r="BU716" s="129"/>
      <c r="BV716" s="129"/>
      <c r="BW716" s="129"/>
      <c r="BX716" s="129"/>
      <c r="BY716" s="129"/>
      <c r="BZ716" s="129"/>
      <c r="CA716" s="129"/>
      <c r="CB716" s="129"/>
      <c r="CC716" s="129"/>
      <c r="CD716" s="129"/>
    </row>
    <row r="717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29"/>
      <c r="AM717" s="129"/>
      <c r="AN717" s="144"/>
      <c r="AO717" s="129"/>
      <c r="AP717" s="129"/>
      <c r="AQ717" s="129"/>
      <c r="AR717" s="129"/>
      <c r="AS717" s="129"/>
      <c r="AT717" s="129"/>
      <c r="AU717" s="129"/>
      <c r="AV717" s="129"/>
      <c r="AW717" s="129"/>
      <c r="AX717" s="129"/>
      <c r="AY717" s="129"/>
      <c r="AZ717" s="129"/>
      <c r="BA717" s="129"/>
      <c r="BB717" s="129"/>
      <c r="BC717" s="129"/>
      <c r="BD717" s="129"/>
      <c r="BE717" s="129"/>
      <c r="BF717" s="144"/>
      <c r="BG717" s="129"/>
      <c r="BH717" s="129"/>
      <c r="BI717" s="129"/>
      <c r="BJ717" s="129"/>
      <c r="BK717" s="129"/>
      <c r="BL717" s="129"/>
      <c r="BM717" s="129"/>
      <c r="BN717" s="129"/>
      <c r="BO717" s="129"/>
      <c r="BP717" s="129"/>
      <c r="BQ717" s="129"/>
      <c r="BR717" s="129"/>
      <c r="BS717" s="129"/>
      <c r="BT717" s="129"/>
      <c r="BU717" s="129"/>
      <c r="BV717" s="129"/>
      <c r="BW717" s="129"/>
      <c r="BX717" s="129"/>
      <c r="BY717" s="129"/>
      <c r="BZ717" s="129"/>
      <c r="CA717" s="129"/>
      <c r="CB717" s="129"/>
      <c r="CC717" s="129"/>
      <c r="CD717" s="129"/>
    </row>
    <row r="718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29"/>
      <c r="AM718" s="129"/>
      <c r="AN718" s="144"/>
      <c r="AO718" s="129"/>
      <c r="AP718" s="129"/>
      <c r="AQ718" s="129"/>
      <c r="AR718" s="129"/>
      <c r="AS718" s="129"/>
      <c r="AT718" s="129"/>
      <c r="AU718" s="129"/>
      <c r="AV718" s="129"/>
      <c r="AW718" s="129"/>
      <c r="AX718" s="129"/>
      <c r="AY718" s="129"/>
      <c r="AZ718" s="129"/>
      <c r="BA718" s="129"/>
      <c r="BB718" s="129"/>
      <c r="BC718" s="129"/>
      <c r="BD718" s="129"/>
      <c r="BE718" s="129"/>
      <c r="BF718" s="144"/>
      <c r="BG718" s="129"/>
      <c r="BH718" s="129"/>
      <c r="BI718" s="129"/>
      <c r="BJ718" s="129"/>
      <c r="BK718" s="129"/>
      <c r="BL718" s="129"/>
      <c r="BM718" s="129"/>
      <c r="BN718" s="129"/>
      <c r="BO718" s="129"/>
      <c r="BP718" s="129"/>
      <c r="BQ718" s="129"/>
      <c r="BR718" s="129"/>
      <c r="BS718" s="129"/>
      <c r="BT718" s="129"/>
      <c r="BU718" s="129"/>
      <c r="BV718" s="129"/>
      <c r="BW718" s="129"/>
      <c r="BX718" s="129"/>
      <c r="BY718" s="129"/>
      <c r="BZ718" s="129"/>
      <c r="CA718" s="129"/>
      <c r="CB718" s="129"/>
      <c r="CC718" s="129"/>
      <c r="CD718" s="129"/>
    </row>
    <row r="719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29"/>
      <c r="AM719" s="129"/>
      <c r="AN719" s="144"/>
      <c r="AO719" s="129"/>
      <c r="AP719" s="129"/>
      <c r="AQ719" s="129"/>
      <c r="AR719" s="129"/>
      <c r="AS719" s="129"/>
      <c r="AT719" s="129"/>
      <c r="AU719" s="129"/>
      <c r="AV719" s="129"/>
      <c r="AW719" s="129"/>
      <c r="AX719" s="129"/>
      <c r="AY719" s="129"/>
      <c r="AZ719" s="129"/>
      <c r="BA719" s="129"/>
      <c r="BB719" s="129"/>
      <c r="BC719" s="129"/>
      <c r="BD719" s="129"/>
      <c r="BE719" s="129"/>
      <c r="BF719" s="144"/>
      <c r="BG719" s="129"/>
      <c r="BH719" s="129"/>
      <c r="BI719" s="129"/>
      <c r="BJ719" s="129"/>
      <c r="BK719" s="129"/>
      <c r="BL719" s="129"/>
      <c r="BM719" s="129"/>
      <c r="BN719" s="129"/>
      <c r="BO719" s="129"/>
      <c r="BP719" s="129"/>
      <c r="BQ719" s="129"/>
      <c r="BR719" s="129"/>
      <c r="BS719" s="129"/>
      <c r="BT719" s="129"/>
      <c r="BU719" s="129"/>
      <c r="BV719" s="129"/>
      <c r="BW719" s="129"/>
      <c r="BX719" s="129"/>
      <c r="BY719" s="129"/>
      <c r="BZ719" s="129"/>
      <c r="CA719" s="129"/>
      <c r="CB719" s="129"/>
      <c r="CC719" s="129"/>
      <c r="CD719" s="129"/>
    </row>
    <row r="720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29"/>
      <c r="AM720" s="129"/>
      <c r="AN720" s="144"/>
      <c r="AO720" s="129"/>
      <c r="AP720" s="129"/>
      <c r="AQ720" s="129"/>
      <c r="AR720" s="129"/>
      <c r="AS720" s="129"/>
      <c r="AT720" s="129"/>
      <c r="AU720" s="129"/>
      <c r="AV720" s="129"/>
      <c r="AW720" s="129"/>
      <c r="AX720" s="129"/>
      <c r="AY720" s="129"/>
      <c r="AZ720" s="129"/>
      <c r="BA720" s="129"/>
      <c r="BB720" s="129"/>
      <c r="BC720" s="129"/>
      <c r="BD720" s="129"/>
      <c r="BE720" s="129"/>
      <c r="BF720" s="144"/>
      <c r="BG720" s="129"/>
      <c r="BH720" s="129"/>
      <c r="BI720" s="129"/>
      <c r="BJ720" s="129"/>
      <c r="BK720" s="129"/>
      <c r="BL720" s="129"/>
      <c r="BM720" s="129"/>
      <c r="BN720" s="129"/>
      <c r="BO720" s="129"/>
      <c r="BP720" s="129"/>
      <c r="BQ720" s="129"/>
      <c r="BR720" s="129"/>
      <c r="BS720" s="129"/>
      <c r="BT720" s="129"/>
      <c r="BU720" s="129"/>
      <c r="BV720" s="129"/>
      <c r="BW720" s="129"/>
      <c r="BX720" s="129"/>
      <c r="BY720" s="129"/>
      <c r="BZ720" s="129"/>
      <c r="CA720" s="129"/>
      <c r="CB720" s="129"/>
      <c r="CC720" s="129"/>
      <c r="CD720" s="129"/>
    </row>
    <row r="72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29"/>
      <c r="AM721" s="129"/>
      <c r="AN721" s="144"/>
      <c r="AO721" s="129"/>
      <c r="AP721" s="129"/>
      <c r="AQ721" s="129"/>
      <c r="AR721" s="129"/>
      <c r="AS721" s="129"/>
      <c r="AT721" s="129"/>
      <c r="AU721" s="129"/>
      <c r="AV721" s="129"/>
      <c r="AW721" s="129"/>
      <c r="AX721" s="129"/>
      <c r="AY721" s="129"/>
      <c r="AZ721" s="129"/>
      <c r="BA721" s="129"/>
      <c r="BB721" s="129"/>
      <c r="BC721" s="129"/>
      <c r="BD721" s="129"/>
      <c r="BE721" s="129"/>
      <c r="BF721" s="144"/>
      <c r="BG721" s="129"/>
      <c r="BH721" s="129"/>
      <c r="BI721" s="129"/>
      <c r="BJ721" s="129"/>
      <c r="BK721" s="129"/>
      <c r="BL721" s="129"/>
      <c r="BM721" s="129"/>
      <c r="BN721" s="129"/>
      <c r="BO721" s="129"/>
      <c r="BP721" s="129"/>
      <c r="BQ721" s="129"/>
      <c r="BR721" s="129"/>
      <c r="BS721" s="129"/>
      <c r="BT721" s="129"/>
      <c r="BU721" s="129"/>
      <c r="BV721" s="129"/>
      <c r="BW721" s="129"/>
      <c r="BX721" s="129"/>
      <c r="BY721" s="129"/>
      <c r="BZ721" s="129"/>
      <c r="CA721" s="129"/>
      <c r="CB721" s="129"/>
      <c r="CC721" s="129"/>
      <c r="CD721" s="129"/>
    </row>
    <row r="72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29"/>
      <c r="AM722" s="129"/>
      <c r="AN722" s="144"/>
      <c r="AO722" s="129"/>
      <c r="AP722" s="129"/>
      <c r="AQ722" s="129"/>
      <c r="AR722" s="129"/>
      <c r="AS722" s="129"/>
      <c r="AT722" s="129"/>
      <c r="AU722" s="129"/>
      <c r="AV722" s="129"/>
      <c r="AW722" s="129"/>
      <c r="AX722" s="129"/>
      <c r="AY722" s="129"/>
      <c r="AZ722" s="129"/>
      <c r="BA722" s="129"/>
      <c r="BB722" s="129"/>
      <c r="BC722" s="129"/>
      <c r="BD722" s="129"/>
      <c r="BE722" s="129"/>
      <c r="BF722" s="144"/>
      <c r="BG722" s="129"/>
      <c r="BH722" s="129"/>
      <c r="BI722" s="129"/>
      <c r="BJ722" s="129"/>
      <c r="BK722" s="129"/>
      <c r="BL722" s="129"/>
      <c r="BM722" s="129"/>
      <c r="BN722" s="129"/>
      <c r="BO722" s="129"/>
      <c r="BP722" s="129"/>
      <c r="BQ722" s="129"/>
      <c r="BR722" s="129"/>
      <c r="BS722" s="129"/>
      <c r="BT722" s="129"/>
      <c r="BU722" s="129"/>
      <c r="BV722" s="129"/>
      <c r="BW722" s="129"/>
      <c r="BX722" s="129"/>
      <c r="BY722" s="129"/>
      <c r="BZ722" s="129"/>
      <c r="CA722" s="129"/>
      <c r="CB722" s="129"/>
      <c r="CC722" s="129"/>
      <c r="CD722" s="129"/>
    </row>
    <row r="723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29"/>
      <c r="AM723" s="129"/>
      <c r="AN723" s="144"/>
      <c r="AO723" s="129"/>
      <c r="AP723" s="129"/>
      <c r="AQ723" s="129"/>
      <c r="AR723" s="129"/>
      <c r="AS723" s="129"/>
      <c r="AT723" s="129"/>
      <c r="AU723" s="129"/>
      <c r="AV723" s="129"/>
      <c r="AW723" s="129"/>
      <c r="AX723" s="129"/>
      <c r="AY723" s="129"/>
      <c r="AZ723" s="129"/>
      <c r="BA723" s="129"/>
      <c r="BB723" s="129"/>
      <c r="BC723" s="129"/>
      <c r="BD723" s="129"/>
      <c r="BE723" s="129"/>
      <c r="BF723" s="144"/>
      <c r="BG723" s="129"/>
      <c r="BH723" s="129"/>
      <c r="BI723" s="129"/>
      <c r="BJ723" s="129"/>
      <c r="BK723" s="129"/>
      <c r="BL723" s="129"/>
      <c r="BM723" s="129"/>
      <c r="BN723" s="129"/>
      <c r="BO723" s="129"/>
      <c r="BP723" s="129"/>
      <c r="BQ723" s="129"/>
      <c r="BR723" s="129"/>
      <c r="BS723" s="129"/>
      <c r="BT723" s="129"/>
      <c r="BU723" s="129"/>
      <c r="BV723" s="129"/>
      <c r="BW723" s="129"/>
      <c r="BX723" s="129"/>
      <c r="BY723" s="129"/>
      <c r="BZ723" s="129"/>
      <c r="CA723" s="129"/>
      <c r="CB723" s="129"/>
      <c r="CC723" s="129"/>
      <c r="CD723" s="129"/>
    </row>
    <row r="724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29"/>
      <c r="AM724" s="129"/>
      <c r="AN724" s="144"/>
      <c r="AO724" s="129"/>
      <c r="AP724" s="129"/>
      <c r="AQ724" s="129"/>
      <c r="AR724" s="129"/>
      <c r="AS724" s="129"/>
      <c r="AT724" s="129"/>
      <c r="AU724" s="129"/>
      <c r="AV724" s="129"/>
      <c r="AW724" s="129"/>
      <c r="AX724" s="129"/>
      <c r="AY724" s="129"/>
      <c r="AZ724" s="129"/>
      <c r="BA724" s="129"/>
      <c r="BB724" s="129"/>
      <c r="BC724" s="129"/>
      <c r="BD724" s="129"/>
      <c r="BE724" s="129"/>
      <c r="BF724" s="144"/>
      <c r="BG724" s="129"/>
      <c r="BH724" s="129"/>
      <c r="BI724" s="129"/>
      <c r="BJ724" s="129"/>
      <c r="BK724" s="129"/>
      <c r="BL724" s="129"/>
      <c r="BM724" s="129"/>
      <c r="BN724" s="129"/>
      <c r="BO724" s="129"/>
      <c r="BP724" s="129"/>
      <c r="BQ724" s="129"/>
      <c r="BR724" s="129"/>
      <c r="BS724" s="129"/>
      <c r="BT724" s="129"/>
      <c r="BU724" s="129"/>
      <c r="BV724" s="129"/>
      <c r="BW724" s="129"/>
      <c r="BX724" s="129"/>
      <c r="BY724" s="129"/>
      <c r="BZ724" s="129"/>
      <c r="CA724" s="129"/>
      <c r="CB724" s="129"/>
      <c r="CC724" s="129"/>
      <c r="CD724" s="129"/>
    </row>
    <row r="725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29"/>
      <c r="AM725" s="129"/>
      <c r="AN725" s="144"/>
      <c r="AO725" s="129"/>
      <c r="AP725" s="129"/>
      <c r="AQ725" s="129"/>
      <c r="AR725" s="129"/>
      <c r="AS725" s="129"/>
      <c r="AT725" s="129"/>
      <c r="AU725" s="129"/>
      <c r="AV725" s="129"/>
      <c r="AW725" s="129"/>
      <c r="AX725" s="129"/>
      <c r="AY725" s="129"/>
      <c r="AZ725" s="129"/>
      <c r="BA725" s="129"/>
      <c r="BB725" s="129"/>
      <c r="BC725" s="129"/>
      <c r="BD725" s="129"/>
      <c r="BE725" s="129"/>
      <c r="BF725" s="144"/>
      <c r="BG725" s="129"/>
      <c r="BH725" s="129"/>
      <c r="BI725" s="129"/>
      <c r="BJ725" s="129"/>
      <c r="BK725" s="129"/>
      <c r="BL725" s="129"/>
      <c r="BM725" s="129"/>
      <c r="BN725" s="129"/>
      <c r="BO725" s="129"/>
      <c r="BP725" s="129"/>
      <c r="BQ725" s="129"/>
      <c r="BR725" s="129"/>
      <c r="BS725" s="129"/>
      <c r="BT725" s="129"/>
      <c r="BU725" s="129"/>
      <c r="BV725" s="129"/>
      <c r="BW725" s="129"/>
      <c r="BX725" s="129"/>
      <c r="BY725" s="129"/>
      <c r="BZ725" s="129"/>
      <c r="CA725" s="129"/>
      <c r="CB725" s="129"/>
      <c r="CC725" s="129"/>
      <c r="CD725" s="129"/>
    </row>
    <row r="726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129"/>
      <c r="AN726" s="144"/>
      <c r="AO726" s="129"/>
      <c r="AP726" s="129"/>
      <c r="AQ726" s="129"/>
      <c r="AR726" s="129"/>
      <c r="AS726" s="129"/>
      <c r="AT726" s="129"/>
      <c r="AU726" s="129"/>
      <c r="AV726" s="129"/>
      <c r="AW726" s="129"/>
      <c r="AX726" s="129"/>
      <c r="AY726" s="129"/>
      <c r="AZ726" s="129"/>
      <c r="BA726" s="129"/>
      <c r="BB726" s="129"/>
      <c r="BC726" s="129"/>
      <c r="BD726" s="129"/>
      <c r="BE726" s="129"/>
      <c r="BF726" s="144"/>
      <c r="BG726" s="129"/>
      <c r="BH726" s="129"/>
      <c r="BI726" s="129"/>
      <c r="BJ726" s="129"/>
      <c r="BK726" s="129"/>
      <c r="BL726" s="129"/>
      <c r="BM726" s="129"/>
      <c r="BN726" s="129"/>
      <c r="BO726" s="129"/>
      <c r="BP726" s="129"/>
      <c r="BQ726" s="129"/>
      <c r="BR726" s="129"/>
      <c r="BS726" s="129"/>
      <c r="BT726" s="129"/>
      <c r="BU726" s="129"/>
      <c r="BV726" s="129"/>
      <c r="BW726" s="129"/>
      <c r="BX726" s="129"/>
      <c r="BY726" s="129"/>
      <c r="BZ726" s="129"/>
      <c r="CA726" s="129"/>
      <c r="CB726" s="129"/>
      <c r="CC726" s="129"/>
      <c r="CD726" s="129"/>
    </row>
    <row r="727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129"/>
      <c r="AN727" s="144"/>
      <c r="AO727" s="129"/>
      <c r="AP727" s="129"/>
      <c r="AQ727" s="129"/>
      <c r="AR727" s="129"/>
      <c r="AS727" s="129"/>
      <c r="AT727" s="129"/>
      <c r="AU727" s="129"/>
      <c r="AV727" s="129"/>
      <c r="AW727" s="129"/>
      <c r="AX727" s="129"/>
      <c r="AY727" s="129"/>
      <c r="AZ727" s="129"/>
      <c r="BA727" s="129"/>
      <c r="BB727" s="129"/>
      <c r="BC727" s="129"/>
      <c r="BD727" s="129"/>
      <c r="BE727" s="129"/>
      <c r="BF727" s="144"/>
      <c r="BG727" s="129"/>
      <c r="BH727" s="129"/>
      <c r="BI727" s="129"/>
      <c r="BJ727" s="129"/>
      <c r="BK727" s="129"/>
      <c r="BL727" s="129"/>
      <c r="BM727" s="129"/>
      <c r="BN727" s="129"/>
      <c r="BO727" s="129"/>
      <c r="BP727" s="129"/>
      <c r="BQ727" s="129"/>
      <c r="BR727" s="129"/>
      <c r="BS727" s="129"/>
      <c r="BT727" s="129"/>
      <c r="BU727" s="129"/>
      <c r="BV727" s="129"/>
      <c r="BW727" s="129"/>
      <c r="BX727" s="129"/>
      <c r="BY727" s="129"/>
      <c r="BZ727" s="129"/>
      <c r="CA727" s="129"/>
      <c r="CB727" s="129"/>
      <c r="CC727" s="129"/>
      <c r="CD727" s="129"/>
    </row>
    <row r="728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44"/>
      <c r="AO728" s="129"/>
      <c r="AP728" s="129"/>
      <c r="AQ728" s="129"/>
      <c r="AR728" s="129"/>
      <c r="AS728" s="129"/>
      <c r="AT728" s="129"/>
      <c r="AU728" s="129"/>
      <c r="AV728" s="129"/>
      <c r="AW728" s="129"/>
      <c r="AX728" s="129"/>
      <c r="AY728" s="129"/>
      <c r="AZ728" s="129"/>
      <c r="BA728" s="129"/>
      <c r="BB728" s="129"/>
      <c r="BC728" s="129"/>
      <c r="BD728" s="129"/>
      <c r="BE728" s="129"/>
      <c r="BF728" s="144"/>
      <c r="BG728" s="129"/>
      <c r="BH728" s="129"/>
      <c r="BI728" s="129"/>
      <c r="BJ728" s="129"/>
      <c r="BK728" s="129"/>
      <c r="BL728" s="129"/>
      <c r="BM728" s="129"/>
      <c r="BN728" s="129"/>
      <c r="BO728" s="129"/>
      <c r="BP728" s="129"/>
      <c r="BQ728" s="129"/>
      <c r="BR728" s="129"/>
      <c r="BS728" s="129"/>
      <c r="BT728" s="129"/>
      <c r="BU728" s="129"/>
      <c r="BV728" s="129"/>
      <c r="BW728" s="129"/>
      <c r="BX728" s="129"/>
      <c r="BY728" s="129"/>
      <c r="BZ728" s="129"/>
      <c r="CA728" s="129"/>
      <c r="CB728" s="129"/>
      <c r="CC728" s="129"/>
      <c r="CD728" s="129"/>
    </row>
    <row r="729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44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44"/>
      <c r="BG729" s="129"/>
      <c r="BH729" s="129"/>
      <c r="BI729" s="129"/>
      <c r="BJ729" s="129"/>
      <c r="BK729" s="129"/>
      <c r="BL729" s="129"/>
      <c r="BM729" s="129"/>
      <c r="BN729" s="129"/>
      <c r="BO729" s="129"/>
      <c r="BP729" s="129"/>
      <c r="BQ729" s="129"/>
      <c r="BR729" s="129"/>
      <c r="BS729" s="129"/>
      <c r="BT729" s="129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</row>
    <row r="730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129"/>
      <c r="AN730" s="144"/>
      <c r="AO730" s="129"/>
      <c r="AP730" s="129"/>
      <c r="AQ730" s="129"/>
      <c r="AR730" s="129"/>
      <c r="AS730" s="129"/>
      <c r="AT730" s="129"/>
      <c r="AU730" s="129"/>
      <c r="AV730" s="129"/>
      <c r="AW730" s="129"/>
      <c r="AX730" s="129"/>
      <c r="AY730" s="129"/>
      <c r="AZ730" s="129"/>
      <c r="BA730" s="129"/>
      <c r="BB730" s="129"/>
      <c r="BC730" s="129"/>
      <c r="BD730" s="129"/>
      <c r="BE730" s="129"/>
      <c r="BF730" s="144"/>
      <c r="BG730" s="129"/>
      <c r="BH730" s="129"/>
      <c r="BI730" s="129"/>
      <c r="BJ730" s="129"/>
      <c r="BK730" s="129"/>
      <c r="BL730" s="129"/>
      <c r="BM730" s="129"/>
      <c r="BN730" s="129"/>
      <c r="BO730" s="129"/>
      <c r="BP730" s="129"/>
      <c r="BQ730" s="129"/>
      <c r="BR730" s="129"/>
      <c r="BS730" s="129"/>
      <c r="BT730" s="129"/>
      <c r="BU730" s="129"/>
      <c r="BV730" s="129"/>
      <c r="BW730" s="129"/>
      <c r="BX730" s="129"/>
      <c r="BY730" s="129"/>
      <c r="BZ730" s="129"/>
      <c r="CA730" s="129"/>
      <c r="CB730" s="129"/>
      <c r="CC730" s="129"/>
      <c r="CD730" s="129"/>
    </row>
    <row r="73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129"/>
      <c r="AN731" s="144"/>
      <c r="AO731" s="129"/>
      <c r="AP731" s="129"/>
      <c r="AQ731" s="129"/>
      <c r="AR731" s="129"/>
      <c r="AS731" s="129"/>
      <c r="AT731" s="129"/>
      <c r="AU731" s="129"/>
      <c r="AV731" s="129"/>
      <c r="AW731" s="129"/>
      <c r="AX731" s="129"/>
      <c r="AY731" s="129"/>
      <c r="AZ731" s="129"/>
      <c r="BA731" s="129"/>
      <c r="BB731" s="129"/>
      <c r="BC731" s="129"/>
      <c r="BD731" s="129"/>
      <c r="BE731" s="129"/>
      <c r="BF731" s="144"/>
      <c r="BG731" s="129"/>
      <c r="BH731" s="129"/>
      <c r="BI731" s="129"/>
      <c r="BJ731" s="129"/>
      <c r="BK731" s="129"/>
      <c r="BL731" s="129"/>
      <c r="BM731" s="129"/>
      <c r="BN731" s="129"/>
      <c r="BO731" s="129"/>
      <c r="BP731" s="129"/>
      <c r="BQ731" s="129"/>
      <c r="BR731" s="129"/>
      <c r="BS731" s="129"/>
      <c r="BT731" s="129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</row>
    <row r="73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44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44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</row>
    <row r="733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44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44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</row>
    <row r="734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44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44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</row>
    <row r="735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44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44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</row>
    <row r="736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44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44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</row>
    <row r="737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44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44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</row>
    <row r="738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44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44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</row>
    <row r="739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44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44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</row>
    <row r="740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44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44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</row>
    <row r="74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44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44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</row>
    <row r="74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29"/>
      <c r="AM742" s="129"/>
      <c r="AN742" s="144"/>
      <c r="AO742" s="129"/>
      <c r="AP742" s="129"/>
      <c r="AQ742" s="129"/>
      <c r="AR742" s="129"/>
      <c r="AS742" s="129"/>
      <c r="AT742" s="129"/>
      <c r="AU742" s="129"/>
      <c r="AV742" s="129"/>
      <c r="AW742" s="129"/>
      <c r="AX742" s="129"/>
      <c r="AY742" s="129"/>
      <c r="AZ742" s="129"/>
      <c r="BA742" s="129"/>
      <c r="BB742" s="129"/>
      <c r="BC742" s="129"/>
      <c r="BD742" s="129"/>
      <c r="BE742" s="129"/>
      <c r="BF742" s="144"/>
      <c r="BG742" s="129"/>
      <c r="BH742" s="129"/>
      <c r="BI742" s="129"/>
      <c r="BJ742" s="129"/>
      <c r="BK742" s="129"/>
      <c r="BL742" s="129"/>
      <c r="BM742" s="129"/>
      <c r="BN742" s="129"/>
      <c r="BO742" s="129"/>
      <c r="BP742" s="129"/>
      <c r="BQ742" s="129"/>
      <c r="BR742" s="129"/>
      <c r="BS742" s="129"/>
      <c r="BT742" s="129"/>
      <c r="BU742" s="129"/>
      <c r="BV742" s="129"/>
      <c r="BW742" s="129"/>
      <c r="BX742" s="129"/>
      <c r="BY742" s="129"/>
      <c r="BZ742" s="129"/>
      <c r="CA742" s="129"/>
      <c r="CB742" s="129"/>
      <c r="CC742" s="129"/>
      <c r="CD742" s="129"/>
    </row>
    <row r="743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29"/>
      <c r="AM743" s="129"/>
      <c r="AN743" s="144"/>
      <c r="AO743" s="129"/>
      <c r="AP743" s="129"/>
      <c r="AQ743" s="129"/>
      <c r="AR743" s="129"/>
      <c r="AS743" s="129"/>
      <c r="AT743" s="129"/>
      <c r="AU743" s="129"/>
      <c r="AV743" s="129"/>
      <c r="AW743" s="129"/>
      <c r="AX743" s="129"/>
      <c r="AY743" s="129"/>
      <c r="AZ743" s="129"/>
      <c r="BA743" s="129"/>
      <c r="BB743" s="129"/>
      <c r="BC743" s="129"/>
      <c r="BD743" s="129"/>
      <c r="BE743" s="129"/>
      <c r="BF743" s="144"/>
      <c r="BG743" s="129"/>
      <c r="BH743" s="129"/>
      <c r="BI743" s="129"/>
      <c r="BJ743" s="129"/>
      <c r="BK743" s="129"/>
      <c r="BL743" s="129"/>
      <c r="BM743" s="129"/>
      <c r="BN743" s="129"/>
      <c r="BO743" s="129"/>
      <c r="BP743" s="129"/>
      <c r="BQ743" s="129"/>
      <c r="BR743" s="129"/>
      <c r="BS743" s="129"/>
      <c r="BT743" s="129"/>
      <c r="BU743" s="129"/>
      <c r="BV743" s="129"/>
      <c r="BW743" s="129"/>
      <c r="BX743" s="129"/>
      <c r="BY743" s="129"/>
      <c r="BZ743" s="129"/>
      <c r="CA743" s="129"/>
      <c r="CB743" s="129"/>
      <c r="CC743" s="129"/>
      <c r="CD743" s="129"/>
    </row>
    <row r="744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29"/>
      <c r="AM744" s="129"/>
      <c r="AN744" s="144"/>
      <c r="AO744" s="129"/>
      <c r="AP744" s="129"/>
      <c r="AQ744" s="129"/>
      <c r="AR744" s="129"/>
      <c r="AS744" s="129"/>
      <c r="AT744" s="129"/>
      <c r="AU744" s="129"/>
      <c r="AV744" s="129"/>
      <c r="AW744" s="129"/>
      <c r="AX744" s="129"/>
      <c r="AY744" s="129"/>
      <c r="AZ744" s="129"/>
      <c r="BA744" s="129"/>
      <c r="BB744" s="129"/>
      <c r="BC744" s="129"/>
      <c r="BD744" s="129"/>
      <c r="BE744" s="129"/>
      <c r="BF744" s="144"/>
      <c r="BG744" s="129"/>
      <c r="BH744" s="129"/>
      <c r="BI744" s="129"/>
      <c r="BJ744" s="129"/>
      <c r="BK744" s="129"/>
      <c r="BL744" s="129"/>
      <c r="BM744" s="129"/>
      <c r="BN744" s="129"/>
      <c r="BO744" s="129"/>
      <c r="BP744" s="129"/>
      <c r="BQ744" s="129"/>
      <c r="BR744" s="129"/>
      <c r="BS744" s="129"/>
      <c r="BT744" s="129"/>
      <c r="BU744" s="129"/>
      <c r="BV744" s="129"/>
      <c r="BW744" s="129"/>
      <c r="BX744" s="129"/>
      <c r="BY744" s="129"/>
      <c r="BZ744" s="129"/>
      <c r="CA744" s="129"/>
      <c r="CB744" s="129"/>
      <c r="CC744" s="129"/>
      <c r="CD744" s="129"/>
    </row>
    <row r="745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29"/>
      <c r="AM745" s="129"/>
      <c r="AN745" s="144"/>
      <c r="AO745" s="129"/>
      <c r="AP745" s="129"/>
      <c r="AQ745" s="129"/>
      <c r="AR745" s="129"/>
      <c r="AS745" s="129"/>
      <c r="AT745" s="129"/>
      <c r="AU745" s="129"/>
      <c r="AV745" s="129"/>
      <c r="AW745" s="129"/>
      <c r="AX745" s="129"/>
      <c r="AY745" s="129"/>
      <c r="AZ745" s="129"/>
      <c r="BA745" s="129"/>
      <c r="BB745" s="129"/>
      <c r="BC745" s="129"/>
      <c r="BD745" s="129"/>
      <c r="BE745" s="129"/>
      <c r="BF745" s="144"/>
      <c r="BG745" s="129"/>
      <c r="BH745" s="129"/>
      <c r="BI745" s="129"/>
      <c r="BJ745" s="129"/>
      <c r="BK745" s="129"/>
      <c r="BL745" s="129"/>
      <c r="BM745" s="129"/>
      <c r="BN745" s="129"/>
      <c r="BO745" s="129"/>
      <c r="BP745" s="129"/>
      <c r="BQ745" s="129"/>
      <c r="BR745" s="129"/>
      <c r="BS745" s="129"/>
      <c r="BT745" s="129"/>
      <c r="BU745" s="129"/>
      <c r="BV745" s="129"/>
      <c r="BW745" s="129"/>
      <c r="BX745" s="129"/>
      <c r="BY745" s="129"/>
      <c r="BZ745" s="129"/>
      <c r="CA745" s="129"/>
      <c r="CB745" s="129"/>
      <c r="CC745" s="129"/>
      <c r="CD745" s="129"/>
    </row>
    <row r="746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29"/>
      <c r="AM746" s="129"/>
      <c r="AN746" s="144"/>
      <c r="AO746" s="129"/>
      <c r="AP746" s="129"/>
      <c r="AQ746" s="129"/>
      <c r="AR746" s="129"/>
      <c r="AS746" s="129"/>
      <c r="AT746" s="129"/>
      <c r="AU746" s="129"/>
      <c r="AV746" s="129"/>
      <c r="AW746" s="129"/>
      <c r="AX746" s="129"/>
      <c r="AY746" s="129"/>
      <c r="AZ746" s="129"/>
      <c r="BA746" s="129"/>
      <c r="BB746" s="129"/>
      <c r="BC746" s="129"/>
      <c r="BD746" s="129"/>
      <c r="BE746" s="129"/>
      <c r="BF746" s="144"/>
      <c r="BG746" s="129"/>
      <c r="BH746" s="129"/>
      <c r="BI746" s="129"/>
      <c r="BJ746" s="129"/>
      <c r="BK746" s="129"/>
      <c r="BL746" s="129"/>
      <c r="BM746" s="129"/>
      <c r="BN746" s="129"/>
      <c r="BO746" s="129"/>
      <c r="BP746" s="129"/>
      <c r="BQ746" s="129"/>
      <c r="BR746" s="129"/>
      <c r="BS746" s="129"/>
      <c r="BT746" s="129"/>
      <c r="BU746" s="129"/>
      <c r="BV746" s="129"/>
      <c r="BW746" s="129"/>
      <c r="BX746" s="129"/>
      <c r="BY746" s="129"/>
      <c r="BZ746" s="129"/>
      <c r="CA746" s="129"/>
      <c r="CB746" s="129"/>
      <c r="CC746" s="129"/>
      <c r="CD746" s="129"/>
    </row>
    <row r="747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29"/>
      <c r="AM747" s="129"/>
      <c r="AN747" s="144"/>
      <c r="AO747" s="129"/>
      <c r="AP747" s="129"/>
      <c r="AQ747" s="129"/>
      <c r="AR747" s="129"/>
      <c r="AS747" s="129"/>
      <c r="AT747" s="129"/>
      <c r="AU747" s="129"/>
      <c r="AV747" s="129"/>
      <c r="AW747" s="129"/>
      <c r="AX747" s="129"/>
      <c r="AY747" s="129"/>
      <c r="AZ747" s="129"/>
      <c r="BA747" s="129"/>
      <c r="BB747" s="129"/>
      <c r="BC747" s="129"/>
      <c r="BD747" s="129"/>
      <c r="BE747" s="129"/>
      <c r="BF747" s="144"/>
      <c r="BG747" s="129"/>
      <c r="BH747" s="129"/>
      <c r="BI747" s="129"/>
      <c r="BJ747" s="129"/>
      <c r="BK747" s="129"/>
      <c r="BL747" s="129"/>
      <c r="BM747" s="129"/>
      <c r="BN747" s="129"/>
      <c r="BO747" s="129"/>
      <c r="BP747" s="129"/>
      <c r="BQ747" s="129"/>
      <c r="BR747" s="129"/>
      <c r="BS747" s="129"/>
      <c r="BT747" s="129"/>
      <c r="BU747" s="129"/>
      <c r="BV747" s="129"/>
      <c r="BW747" s="129"/>
      <c r="BX747" s="129"/>
      <c r="BY747" s="129"/>
      <c r="BZ747" s="129"/>
      <c r="CA747" s="129"/>
      <c r="CB747" s="129"/>
      <c r="CC747" s="129"/>
      <c r="CD747" s="129"/>
    </row>
    <row r="748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29"/>
      <c r="AM748" s="129"/>
      <c r="AN748" s="144"/>
      <c r="AO748" s="129"/>
      <c r="AP748" s="129"/>
      <c r="AQ748" s="129"/>
      <c r="AR748" s="129"/>
      <c r="AS748" s="129"/>
      <c r="AT748" s="129"/>
      <c r="AU748" s="129"/>
      <c r="AV748" s="129"/>
      <c r="AW748" s="129"/>
      <c r="AX748" s="129"/>
      <c r="AY748" s="129"/>
      <c r="AZ748" s="129"/>
      <c r="BA748" s="129"/>
      <c r="BB748" s="129"/>
      <c r="BC748" s="129"/>
      <c r="BD748" s="129"/>
      <c r="BE748" s="129"/>
      <c r="BF748" s="144"/>
      <c r="BG748" s="129"/>
      <c r="BH748" s="129"/>
      <c r="BI748" s="129"/>
      <c r="BJ748" s="129"/>
      <c r="BK748" s="129"/>
      <c r="BL748" s="129"/>
      <c r="BM748" s="129"/>
      <c r="BN748" s="129"/>
      <c r="BO748" s="129"/>
      <c r="BP748" s="129"/>
      <c r="BQ748" s="129"/>
      <c r="BR748" s="129"/>
      <c r="BS748" s="129"/>
      <c r="BT748" s="129"/>
      <c r="BU748" s="129"/>
      <c r="BV748" s="129"/>
      <c r="BW748" s="129"/>
      <c r="BX748" s="129"/>
      <c r="BY748" s="129"/>
      <c r="BZ748" s="129"/>
      <c r="CA748" s="129"/>
      <c r="CB748" s="129"/>
      <c r="CC748" s="129"/>
      <c r="CD748" s="129"/>
    </row>
    <row r="749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29"/>
      <c r="AM749" s="129"/>
      <c r="AN749" s="144"/>
      <c r="AO749" s="129"/>
      <c r="AP749" s="129"/>
      <c r="AQ749" s="129"/>
      <c r="AR749" s="129"/>
      <c r="AS749" s="129"/>
      <c r="AT749" s="129"/>
      <c r="AU749" s="129"/>
      <c r="AV749" s="129"/>
      <c r="AW749" s="129"/>
      <c r="AX749" s="129"/>
      <c r="AY749" s="129"/>
      <c r="AZ749" s="129"/>
      <c r="BA749" s="129"/>
      <c r="BB749" s="129"/>
      <c r="BC749" s="129"/>
      <c r="BD749" s="129"/>
      <c r="BE749" s="129"/>
      <c r="BF749" s="144"/>
      <c r="BG749" s="129"/>
      <c r="BH749" s="129"/>
      <c r="BI749" s="129"/>
      <c r="BJ749" s="129"/>
      <c r="BK749" s="129"/>
      <c r="BL749" s="129"/>
      <c r="BM749" s="129"/>
      <c r="BN749" s="129"/>
      <c r="BO749" s="129"/>
      <c r="BP749" s="129"/>
      <c r="BQ749" s="129"/>
      <c r="BR749" s="129"/>
      <c r="BS749" s="129"/>
      <c r="BT749" s="129"/>
      <c r="BU749" s="129"/>
      <c r="BV749" s="129"/>
      <c r="BW749" s="129"/>
      <c r="BX749" s="129"/>
      <c r="BY749" s="129"/>
      <c r="BZ749" s="129"/>
      <c r="CA749" s="129"/>
      <c r="CB749" s="129"/>
      <c r="CC749" s="129"/>
      <c r="CD749" s="129"/>
    </row>
    <row r="750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29"/>
      <c r="AM750" s="129"/>
      <c r="AN750" s="144"/>
      <c r="AO750" s="129"/>
      <c r="AP750" s="129"/>
      <c r="AQ750" s="129"/>
      <c r="AR750" s="129"/>
      <c r="AS750" s="129"/>
      <c r="AT750" s="129"/>
      <c r="AU750" s="129"/>
      <c r="AV750" s="129"/>
      <c r="AW750" s="129"/>
      <c r="AX750" s="129"/>
      <c r="AY750" s="129"/>
      <c r="AZ750" s="129"/>
      <c r="BA750" s="129"/>
      <c r="BB750" s="129"/>
      <c r="BC750" s="129"/>
      <c r="BD750" s="129"/>
      <c r="BE750" s="129"/>
      <c r="BF750" s="144"/>
      <c r="BG750" s="129"/>
      <c r="BH750" s="129"/>
      <c r="BI750" s="129"/>
      <c r="BJ750" s="129"/>
      <c r="BK750" s="129"/>
      <c r="BL750" s="129"/>
      <c r="BM750" s="129"/>
      <c r="BN750" s="129"/>
      <c r="BO750" s="129"/>
      <c r="BP750" s="129"/>
      <c r="BQ750" s="129"/>
      <c r="BR750" s="129"/>
      <c r="BS750" s="129"/>
      <c r="BT750" s="129"/>
      <c r="BU750" s="129"/>
      <c r="BV750" s="129"/>
      <c r="BW750" s="129"/>
      <c r="BX750" s="129"/>
      <c r="BY750" s="129"/>
      <c r="BZ750" s="129"/>
      <c r="CA750" s="129"/>
      <c r="CB750" s="129"/>
      <c r="CC750" s="129"/>
      <c r="CD750" s="129"/>
    </row>
    <row r="75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29"/>
      <c r="AM751" s="129"/>
      <c r="AN751" s="144"/>
      <c r="AO751" s="129"/>
      <c r="AP751" s="129"/>
      <c r="AQ751" s="129"/>
      <c r="AR751" s="129"/>
      <c r="AS751" s="129"/>
      <c r="AT751" s="129"/>
      <c r="AU751" s="129"/>
      <c r="AV751" s="129"/>
      <c r="AW751" s="129"/>
      <c r="AX751" s="129"/>
      <c r="AY751" s="129"/>
      <c r="AZ751" s="129"/>
      <c r="BA751" s="129"/>
      <c r="BB751" s="129"/>
      <c r="BC751" s="129"/>
      <c r="BD751" s="129"/>
      <c r="BE751" s="129"/>
      <c r="BF751" s="144"/>
      <c r="BG751" s="129"/>
      <c r="BH751" s="129"/>
      <c r="BI751" s="129"/>
      <c r="BJ751" s="129"/>
      <c r="BK751" s="129"/>
      <c r="BL751" s="129"/>
      <c r="BM751" s="129"/>
      <c r="BN751" s="129"/>
      <c r="BO751" s="129"/>
      <c r="BP751" s="129"/>
      <c r="BQ751" s="129"/>
      <c r="BR751" s="129"/>
      <c r="BS751" s="129"/>
      <c r="BT751" s="129"/>
      <c r="BU751" s="129"/>
      <c r="BV751" s="129"/>
      <c r="BW751" s="129"/>
      <c r="BX751" s="129"/>
      <c r="BY751" s="129"/>
      <c r="BZ751" s="129"/>
      <c r="CA751" s="129"/>
      <c r="CB751" s="129"/>
      <c r="CC751" s="129"/>
      <c r="CD751" s="129"/>
    </row>
    <row r="75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29"/>
      <c r="AM752" s="129"/>
      <c r="AN752" s="144"/>
      <c r="AO752" s="129"/>
      <c r="AP752" s="129"/>
      <c r="AQ752" s="129"/>
      <c r="AR752" s="129"/>
      <c r="AS752" s="129"/>
      <c r="AT752" s="129"/>
      <c r="AU752" s="129"/>
      <c r="AV752" s="129"/>
      <c r="AW752" s="129"/>
      <c r="AX752" s="129"/>
      <c r="AY752" s="129"/>
      <c r="AZ752" s="129"/>
      <c r="BA752" s="129"/>
      <c r="BB752" s="129"/>
      <c r="BC752" s="129"/>
      <c r="BD752" s="129"/>
      <c r="BE752" s="129"/>
      <c r="BF752" s="144"/>
      <c r="BG752" s="129"/>
      <c r="BH752" s="129"/>
      <c r="BI752" s="129"/>
      <c r="BJ752" s="129"/>
      <c r="BK752" s="129"/>
      <c r="BL752" s="129"/>
      <c r="BM752" s="129"/>
      <c r="BN752" s="129"/>
      <c r="BO752" s="129"/>
      <c r="BP752" s="129"/>
      <c r="BQ752" s="129"/>
      <c r="BR752" s="129"/>
      <c r="BS752" s="129"/>
      <c r="BT752" s="129"/>
      <c r="BU752" s="129"/>
      <c r="BV752" s="129"/>
      <c r="BW752" s="129"/>
      <c r="BX752" s="129"/>
      <c r="BY752" s="129"/>
      <c r="BZ752" s="129"/>
      <c r="CA752" s="129"/>
      <c r="CB752" s="129"/>
      <c r="CC752" s="129"/>
      <c r="CD752" s="129"/>
    </row>
    <row r="753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29"/>
      <c r="AM753" s="129"/>
      <c r="AN753" s="144"/>
      <c r="AO753" s="129"/>
      <c r="AP753" s="129"/>
      <c r="AQ753" s="129"/>
      <c r="AR753" s="129"/>
      <c r="AS753" s="129"/>
      <c r="AT753" s="129"/>
      <c r="AU753" s="129"/>
      <c r="AV753" s="129"/>
      <c r="AW753" s="129"/>
      <c r="AX753" s="129"/>
      <c r="AY753" s="129"/>
      <c r="AZ753" s="129"/>
      <c r="BA753" s="129"/>
      <c r="BB753" s="129"/>
      <c r="BC753" s="129"/>
      <c r="BD753" s="129"/>
      <c r="BE753" s="129"/>
      <c r="BF753" s="144"/>
      <c r="BG753" s="129"/>
      <c r="BH753" s="129"/>
      <c r="BI753" s="129"/>
      <c r="BJ753" s="129"/>
      <c r="BK753" s="129"/>
      <c r="BL753" s="129"/>
      <c r="BM753" s="129"/>
      <c r="BN753" s="129"/>
      <c r="BO753" s="129"/>
      <c r="BP753" s="129"/>
      <c r="BQ753" s="129"/>
      <c r="BR753" s="129"/>
      <c r="BS753" s="129"/>
      <c r="BT753" s="129"/>
      <c r="BU753" s="129"/>
      <c r="BV753" s="129"/>
      <c r="BW753" s="129"/>
      <c r="BX753" s="129"/>
      <c r="BY753" s="129"/>
      <c r="BZ753" s="129"/>
      <c r="CA753" s="129"/>
      <c r="CB753" s="129"/>
      <c r="CC753" s="129"/>
      <c r="CD753" s="129"/>
    </row>
    <row r="754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29"/>
      <c r="AM754" s="129"/>
      <c r="AN754" s="144"/>
      <c r="AO754" s="129"/>
      <c r="AP754" s="129"/>
      <c r="AQ754" s="129"/>
      <c r="AR754" s="129"/>
      <c r="AS754" s="129"/>
      <c r="AT754" s="129"/>
      <c r="AU754" s="129"/>
      <c r="AV754" s="129"/>
      <c r="AW754" s="129"/>
      <c r="AX754" s="129"/>
      <c r="AY754" s="129"/>
      <c r="AZ754" s="129"/>
      <c r="BA754" s="129"/>
      <c r="BB754" s="129"/>
      <c r="BC754" s="129"/>
      <c r="BD754" s="129"/>
      <c r="BE754" s="129"/>
      <c r="BF754" s="144"/>
      <c r="BG754" s="129"/>
      <c r="BH754" s="129"/>
      <c r="BI754" s="129"/>
      <c r="BJ754" s="129"/>
      <c r="BK754" s="129"/>
      <c r="BL754" s="129"/>
      <c r="BM754" s="129"/>
      <c r="BN754" s="129"/>
      <c r="BO754" s="129"/>
      <c r="BP754" s="129"/>
      <c r="BQ754" s="129"/>
      <c r="BR754" s="129"/>
      <c r="BS754" s="129"/>
      <c r="BT754" s="129"/>
      <c r="BU754" s="129"/>
      <c r="BV754" s="129"/>
      <c r="BW754" s="129"/>
      <c r="BX754" s="129"/>
      <c r="BY754" s="129"/>
      <c r="BZ754" s="129"/>
      <c r="CA754" s="129"/>
      <c r="CB754" s="129"/>
      <c r="CC754" s="129"/>
      <c r="CD754" s="129"/>
    </row>
    <row r="755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29"/>
      <c r="AM755" s="129"/>
      <c r="AN755" s="144"/>
      <c r="AO755" s="129"/>
      <c r="AP755" s="129"/>
      <c r="AQ755" s="129"/>
      <c r="AR755" s="129"/>
      <c r="AS755" s="129"/>
      <c r="AT755" s="129"/>
      <c r="AU755" s="129"/>
      <c r="AV755" s="129"/>
      <c r="AW755" s="129"/>
      <c r="AX755" s="129"/>
      <c r="AY755" s="129"/>
      <c r="AZ755" s="129"/>
      <c r="BA755" s="129"/>
      <c r="BB755" s="129"/>
      <c r="BC755" s="129"/>
      <c r="BD755" s="129"/>
      <c r="BE755" s="129"/>
      <c r="BF755" s="144"/>
      <c r="BG755" s="129"/>
      <c r="BH755" s="129"/>
      <c r="BI755" s="129"/>
      <c r="BJ755" s="129"/>
      <c r="BK755" s="129"/>
      <c r="BL755" s="129"/>
      <c r="BM755" s="129"/>
      <c r="BN755" s="129"/>
      <c r="BO755" s="129"/>
      <c r="BP755" s="129"/>
      <c r="BQ755" s="129"/>
      <c r="BR755" s="129"/>
      <c r="BS755" s="129"/>
      <c r="BT755" s="129"/>
      <c r="BU755" s="129"/>
      <c r="BV755" s="129"/>
      <c r="BW755" s="129"/>
      <c r="BX755" s="129"/>
      <c r="BY755" s="129"/>
      <c r="BZ755" s="129"/>
      <c r="CA755" s="129"/>
      <c r="CB755" s="129"/>
      <c r="CC755" s="129"/>
      <c r="CD755" s="129"/>
    </row>
    <row r="756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29"/>
      <c r="AM756" s="129"/>
      <c r="AN756" s="144"/>
      <c r="AO756" s="129"/>
      <c r="AP756" s="129"/>
      <c r="AQ756" s="129"/>
      <c r="AR756" s="129"/>
      <c r="AS756" s="129"/>
      <c r="AT756" s="129"/>
      <c r="AU756" s="129"/>
      <c r="AV756" s="129"/>
      <c r="AW756" s="129"/>
      <c r="AX756" s="129"/>
      <c r="AY756" s="129"/>
      <c r="AZ756" s="129"/>
      <c r="BA756" s="129"/>
      <c r="BB756" s="129"/>
      <c r="BC756" s="129"/>
      <c r="BD756" s="129"/>
      <c r="BE756" s="129"/>
      <c r="BF756" s="144"/>
      <c r="BG756" s="129"/>
      <c r="BH756" s="129"/>
      <c r="BI756" s="129"/>
      <c r="BJ756" s="129"/>
      <c r="BK756" s="129"/>
      <c r="BL756" s="129"/>
      <c r="BM756" s="129"/>
      <c r="BN756" s="129"/>
      <c r="BO756" s="129"/>
      <c r="BP756" s="129"/>
      <c r="BQ756" s="129"/>
      <c r="BR756" s="129"/>
      <c r="BS756" s="129"/>
      <c r="BT756" s="129"/>
      <c r="BU756" s="129"/>
      <c r="BV756" s="129"/>
      <c r="BW756" s="129"/>
      <c r="BX756" s="129"/>
      <c r="BY756" s="129"/>
      <c r="BZ756" s="129"/>
      <c r="CA756" s="129"/>
      <c r="CB756" s="129"/>
      <c r="CC756" s="129"/>
      <c r="CD756" s="129"/>
    </row>
    <row r="757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29"/>
      <c r="AM757" s="129"/>
      <c r="AN757" s="144"/>
      <c r="AO757" s="129"/>
      <c r="AP757" s="129"/>
      <c r="AQ757" s="129"/>
      <c r="AR757" s="129"/>
      <c r="AS757" s="129"/>
      <c r="AT757" s="129"/>
      <c r="AU757" s="129"/>
      <c r="AV757" s="129"/>
      <c r="AW757" s="129"/>
      <c r="AX757" s="129"/>
      <c r="AY757" s="129"/>
      <c r="AZ757" s="129"/>
      <c r="BA757" s="129"/>
      <c r="BB757" s="129"/>
      <c r="BC757" s="129"/>
      <c r="BD757" s="129"/>
      <c r="BE757" s="129"/>
      <c r="BF757" s="144"/>
      <c r="BG757" s="129"/>
      <c r="BH757" s="129"/>
      <c r="BI757" s="129"/>
      <c r="BJ757" s="129"/>
      <c r="BK757" s="129"/>
      <c r="BL757" s="129"/>
      <c r="BM757" s="129"/>
      <c r="BN757" s="129"/>
      <c r="BO757" s="129"/>
      <c r="BP757" s="129"/>
      <c r="BQ757" s="129"/>
      <c r="BR757" s="129"/>
      <c r="BS757" s="129"/>
      <c r="BT757" s="129"/>
      <c r="BU757" s="129"/>
      <c r="BV757" s="129"/>
      <c r="BW757" s="129"/>
      <c r="BX757" s="129"/>
      <c r="BY757" s="129"/>
      <c r="BZ757" s="129"/>
      <c r="CA757" s="129"/>
      <c r="CB757" s="129"/>
      <c r="CC757" s="129"/>
      <c r="CD757" s="129"/>
    </row>
    <row r="758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29"/>
      <c r="AM758" s="129"/>
      <c r="AN758" s="144"/>
      <c r="AO758" s="129"/>
      <c r="AP758" s="129"/>
      <c r="AQ758" s="129"/>
      <c r="AR758" s="129"/>
      <c r="AS758" s="129"/>
      <c r="AT758" s="129"/>
      <c r="AU758" s="129"/>
      <c r="AV758" s="129"/>
      <c r="AW758" s="129"/>
      <c r="AX758" s="129"/>
      <c r="AY758" s="129"/>
      <c r="AZ758" s="129"/>
      <c r="BA758" s="129"/>
      <c r="BB758" s="129"/>
      <c r="BC758" s="129"/>
      <c r="BD758" s="129"/>
      <c r="BE758" s="129"/>
      <c r="BF758" s="144"/>
      <c r="BG758" s="129"/>
      <c r="BH758" s="129"/>
      <c r="BI758" s="129"/>
      <c r="BJ758" s="129"/>
      <c r="BK758" s="129"/>
      <c r="BL758" s="129"/>
      <c r="BM758" s="129"/>
      <c r="BN758" s="129"/>
      <c r="BO758" s="129"/>
      <c r="BP758" s="129"/>
      <c r="BQ758" s="129"/>
      <c r="BR758" s="129"/>
      <c r="BS758" s="129"/>
      <c r="BT758" s="129"/>
      <c r="BU758" s="129"/>
      <c r="BV758" s="129"/>
      <c r="BW758" s="129"/>
      <c r="BX758" s="129"/>
      <c r="BY758" s="129"/>
      <c r="BZ758" s="129"/>
      <c r="CA758" s="129"/>
      <c r="CB758" s="129"/>
      <c r="CC758" s="129"/>
      <c r="CD758" s="129"/>
    </row>
    <row r="759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29"/>
      <c r="AM759" s="129"/>
      <c r="AN759" s="144"/>
      <c r="AO759" s="129"/>
      <c r="AP759" s="129"/>
      <c r="AQ759" s="129"/>
      <c r="AR759" s="129"/>
      <c r="AS759" s="129"/>
      <c r="AT759" s="129"/>
      <c r="AU759" s="129"/>
      <c r="AV759" s="129"/>
      <c r="AW759" s="129"/>
      <c r="AX759" s="129"/>
      <c r="AY759" s="129"/>
      <c r="AZ759" s="129"/>
      <c r="BA759" s="129"/>
      <c r="BB759" s="129"/>
      <c r="BC759" s="129"/>
      <c r="BD759" s="129"/>
      <c r="BE759" s="129"/>
      <c r="BF759" s="144"/>
      <c r="BG759" s="129"/>
      <c r="BH759" s="129"/>
      <c r="BI759" s="129"/>
      <c r="BJ759" s="129"/>
      <c r="BK759" s="129"/>
      <c r="BL759" s="129"/>
      <c r="BM759" s="129"/>
      <c r="BN759" s="129"/>
      <c r="BO759" s="129"/>
      <c r="BP759" s="129"/>
      <c r="BQ759" s="129"/>
      <c r="BR759" s="129"/>
      <c r="BS759" s="129"/>
      <c r="BT759" s="129"/>
      <c r="BU759" s="129"/>
      <c r="BV759" s="129"/>
      <c r="BW759" s="129"/>
      <c r="BX759" s="129"/>
      <c r="BY759" s="129"/>
      <c r="BZ759" s="129"/>
      <c r="CA759" s="129"/>
      <c r="CB759" s="129"/>
      <c r="CC759" s="129"/>
      <c r="CD759" s="129"/>
    </row>
    <row r="760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29"/>
      <c r="AM760" s="129"/>
      <c r="AN760" s="144"/>
      <c r="AO760" s="129"/>
      <c r="AP760" s="129"/>
      <c r="AQ760" s="129"/>
      <c r="AR760" s="129"/>
      <c r="AS760" s="129"/>
      <c r="AT760" s="129"/>
      <c r="AU760" s="129"/>
      <c r="AV760" s="129"/>
      <c r="AW760" s="129"/>
      <c r="AX760" s="129"/>
      <c r="AY760" s="129"/>
      <c r="AZ760" s="129"/>
      <c r="BA760" s="129"/>
      <c r="BB760" s="129"/>
      <c r="BC760" s="129"/>
      <c r="BD760" s="129"/>
      <c r="BE760" s="129"/>
      <c r="BF760" s="144"/>
      <c r="BG760" s="129"/>
      <c r="BH760" s="129"/>
      <c r="BI760" s="129"/>
      <c r="BJ760" s="129"/>
      <c r="BK760" s="129"/>
      <c r="BL760" s="129"/>
      <c r="BM760" s="129"/>
      <c r="BN760" s="129"/>
      <c r="BO760" s="129"/>
      <c r="BP760" s="129"/>
      <c r="BQ760" s="129"/>
      <c r="BR760" s="129"/>
      <c r="BS760" s="129"/>
      <c r="BT760" s="129"/>
      <c r="BU760" s="129"/>
      <c r="BV760" s="129"/>
      <c r="BW760" s="129"/>
      <c r="BX760" s="129"/>
      <c r="BY760" s="129"/>
      <c r="BZ760" s="129"/>
      <c r="CA760" s="129"/>
      <c r="CB760" s="129"/>
      <c r="CC760" s="129"/>
      <c r="CD760" s="129"/>
    </row>
    <row r="76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29"/>
      <c r="AM761" s="129"/>
      <c r="AN761" s="144"/>
      <c r="AO761" s="129"/>
      <c r="AP761" s="129"/>
      <c r="AQ761" s="129"/>
      <c r="AR761" s="129"/>
      <c r="AS761" s="129"/>
      <c r="AT761" s="129"/>
      <c r="AU761" s="129"/>
      <c r="AV761" s="129"/>
      <c r="AW761" s="129"/>
      <c r="AX761" s="129"/>
      <c r="AY761" s="129"/>
      <c r="AZ761" s="129"/>
      <c r="BA761" s="129"/>
      <c r="BB761" s="129"/>
      <c r="BC761" s="129"/>
      <c r="BD761" s="129"/>
      <c r="BE761" s="129"/>
      <c r="BF761" s="144"/>
      <c r="BG761" s="129"/>
      <c r="BH761" s="129"/>
      <c r="BI761" s="129"/>
      <c r="BJ761" s="129"/>
      <c r="BK761" s="129"/>
      <c r="BL761" s="129"/>
      <c r="BM761" s="129"/>
      <c r="BN761" s="129"/>
      <c r="BO761" s="129"/>
      <c r="BP761" s="129"/>
      <c r="BQ761" s="129"/>
      <c r="BR761" s="129"/>
      <c r="BS761" s="129"/>
      <c r="BT761" s="129"/>
      <c r="BU761" s="129"/>
      <c r="BV761" s="129"/>
      <c r="BW761" s="129"/>
      <c r="BX761" s="129"/>
      <c r="BY761" s="129"/>
      <c r="BZ761" s="129"/>
      <c r="CA761" s="129"/>
      <c r="CB761" s="129"/>
      <c r="CC761" s="129"/>
      <c r="CD761" s="129"/>
    </row>
    <row r="76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29"/>
      <c r="AM762" s="129"/>
      <c r="AN762" s="144"/>
      <c r="AO762" s="129"/>
      <c r="AP762" s="129"/>
      <c r="AQ762" s="129"/>
      <c r="AR762" s="129"/>
      <c r="AS762" s="129"/>
      <c r="AT762" s="129"/>
      <c r="AU762" s="129"/>
      <c r="AV762" s="129"/>
      <c r="AW762" s="129"/>
      <c r="AX762" s="129"/>
      <c r="AY762" s="129"/>
      <c r="AZ762" s="129"/>
      <c r="BA762" s="129"/>
      <c r="BB762" s="129"/>
      <c r="BC762" s="129"/>
      <c r="BD762" s="129"/>
      <c r="BE762" s="129"/>
      <c r="BF762" s="144"/>
      <c r="BG762" s="129"/>
      <c r="BH762" s="129"/>
      <c r="BI762" s="129"/>
      <c r="BJ762" s="129"/>
      <c r="BK762" s="129"/>
      <c r="BL762" s="129"/>
      <c r="BM762" s="129"/>
      <c r="BN762" s="129"/>
      <c r="BO762" s="129"/>
      <c r="BP762" s="129"/>
      <c r="BQ762" s="129"/>
      <c r="BR762" s="129"/>
      <c r="BS762" s="129"/>
      <c r="BT762" s="129"/>
      <c r="BU762" s="129"/>
      <c r="BV762" s="129"/>
      <c r="BW762" s="129"/>
      <c r="BX762" s="129"/>
      <c r="BY762" s="129"/>
      <c r="BZ762" s="129"/>
      <c r="CA762" s="129"/>
      <c r="CB762" s="129"/>
      <c r="CC762" s="129"/>
      <c r="CD762" s="129"/>
    </row>
    <row r="763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29"/>
      <c r="AM763" s="129"/>
      <c r="AN763" s="144"/>
      <c r="AO763" s="129"/>
      <c r="AP763" s="129"/>
      <c r="AQ763" s="129"/>
      <c r="AR763" s="129"/>
      <c r="AS763" s="129"/>
      <c r="AT763" s="129"/>
      <c r="AU763" s="129"/>
      <c r="AV763" s="129"/>
      <c r="AW763" s="129"/>
      <c r="AX763" s="129"/>
      <c r="AY763" s="129"/>
      <c r="AZ763" s="129"/>
      <c r="BA763" s="129"/>
      <c r="BB763" s="129"/>
      <c r="BC763" s="129"/>
      <c r="BD763" s="129"/>
      <c r="BE763" s="129"/>
      <c r="BF763" s="144"/>
      <c r="BG763" s="129"/>
      <c r="BH763" s="129"/>
      <c r="BI763" s="129"/>
      <c r="BJ763" s="129"/>
      <c r="BK763" s="129"/>
      <c r="BL763" s="129"/>
      <c r="BM763" s="129"/>
      <c r="BN763" s="129"/>
      <c r="BO763" s="129"/>
      <c r="BP763" s="129"/>
      <c r="BQ763" s="129"/>
      <c r="BR763" s="129"/>
      <c r="BS763" s="129"/>
      <c r="BT763" s="129"/>
      <c r="BU763" s="129"/>
      <c r="BV763" s="129"/>
      <c r="BW763" s="129"/>
      <c r="BX763" s="129"/>
      <c r="BY763" s="129"/>
      <c r="BZ763" s="129"/>
      <c r="CA763" s="129"/>
      <c r="CB763" s="129"/>
      <c r="CC763" s="129"/>
      <c r="CD763" s="129"/>
    </row>
    <row r="764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29"/>
      <c r="AM764" s="129"/>
      <c r="AN764" s="144"/>
      <c r="AO764" s="129"/>
      <c r="AP764" s="129"/>
      <c r="AQ764" s="129"/>
      <c r="AR764" s="129"/>
      <c r="AS764" s="129"/>
      <c r="AT764" s="129"/>
      <c r="AU764" s="129"/>
      <c r="AV764" s="129"/>
      <c r="AW764" s="129"/>
      <c r="AX764" s="129"/>
      <c r="AY764" s="129"/>
      <c r="AZ764" s="129"/>
      <c r="BA764" s="129"/>
      <c r="BB764" s="129"/>
      <c r="BC764" s="129"/>
      <c r="BD764" s="129"/>
      <c r="BE764" s="129"/>
      <c r="BF764" s="144"/>
      <c r="BG764" s="129"/>
      <c r="BH764" s="129"/>
      <c r="BI764" s="129"/>
      <c r="BJ764" s="129"/>
      <c r="BK764" s="129"/>
      <c r="BL764" s="129"/>
      <c r="BM764" s="129"/>
      <c r="BN764" s="129"/>
      <c r="BO764" s="129"/>
      <c r="BP764" s="129"/>
      <c r="BQ764" s="129"/>
      <c r="BR764" s="129"/>
      <c r="BS764" s="129"/>
      <c r="BT764" s="129"/>
      <c r="BU764" s="129"/>
      <c r="BV764" s="129"/>
      <c r="BW764" s="129"/>
      <c r="BX764" s="129"/>
      <c r="BY764" s="129"/>
      <c r="BZ764" s="129"/>
      <c r="CA764" s="129"/>
      <c r="CB764" s="129"/>
      <c r="CC764" s="129"/>
      <c r="CD764" s="129"/>
    </row>
    <row r="765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29"/>
      <c r="AM765" s="129"/>
      <c r="AN765" s="144"/>
      <c r="AO765" s="129"/>
      <c r="AP765" s="129"/>
      <c r="AQ765" s="129"/>
      <c r="AR765" s="129"/>
      <c r="AS765" s="129"/>
      <c r="AT765" s="129"/>
      <c r="AU765" s="129"/>
      <c r="AV765" s="129"/>
      <c r="AW765" s="129"/>
      <c r="AX765" s="129"/>
      <c r="AY765" s="129"/>
      <c r="AZ765" s="129"/>
      <c r="BA765" s="129"/>
      <c r="BB765" s="129"/>
      <c r="BC765" s="129"/>
      <c r="BD765" s="129"/>
      <c r="BE765" s="129"/>
      <c r="BF765" s="144"/>
      <c r="BG765" s="129"/>
      <c r="BH765" s="129"/>
      <c r="BI765" s="129"/>
      <c r="BJ765" s="129"/>
      <c r="BK765" s="129"/>
      <c r="BL765" s="129"/>
      <c r="BM765" s="129"/>
      <c r="BN765" s="129"/>
      <c r="BO765" s="129"/>
      <c r="BP765" s="129"/>
      <c r="BQ765" s="129"/>
      <c r="BR765" s="129"/>
      <c r="BS765" s="129"/>
      <c r="BT765" s="129"/>
      <c r="BU765" s="129"/>
      <c r="BV765" s="129"/>
      <c r="BW765" s="129"/>
      <c r="BX765" s="129"/>
      <c r="BY765" s="129"/>
      <c r="BZ765" s="129"/>
      <c r="CA765" s="129"/>
      <c r="CB765" s="129"/>
      <c r="CC765" s="129"/>
      <c r="CD765" s="129"/>
    </row>
    <row r="766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44"/>
      <c r="AO766" s="129"/>
      <c r="AP766" s="129"/>
      <c r="AQ766" s="129"/>
      <c r="AR766" s="129"/>
      <c r="AS766" s="129"/>
      <c r="AT766" s="129"/>
      <c r="AU766" s="129"/>
      <c r="AV766" s="129"/>
      <c r="AW766" s="129"/>
      <c r="AX766" s="129"/>
      <c r="AY766" s="129"/>
      <c r="AZ766" s="129"/>
      <c r="BA766" s="129"/>
      <c r="BB766" s="129"/>
      <c r="BC766" s="129"/>
      <c r="BD766" s="129"/>
      <c r="BE766" s="129"/>
      <c r="BF766" s="144"/>
      <c r="BG766" s="129"/>
      <c r="BH766" s="129"/>
      <c r="BI766" s="129"/>
      <c r="BJ766" s="129"/>
      <c r="BK766" s="129"/>
      <c r="BL766" s="129"/>
      <c r="BM766" s="129"/>
      <c r="BN766" s="129"/>
      <c r="BO766" s="129"/>
      <c r="BP766" s="129"/>
      <c r="BQ766" s="129"/>
      <c r="BR766" s="129"/>
      <c r="BS766" s="129"/>
      <c r="BT766" s="129"/>
      <c r="BU766" s="129"/>
      <c r="BV766" s="129"/>
      <c r="BW766" s="129"/>
      <c r="BX766" s="129"/>
      <c r="BY766" s="129"/>
      <c r="BZ766" s="129"/>
      <c r="CA766" s="129"/>
      <c r="CB766" s="129"/>
      <c r="CC766" s="129"/>
      <c r="CD766" s="129"/>
    </row>
    <row r="767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44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44"/>
      <c r="BG767" s="129"/>
      <c r="BH767" s="129"/>
      <c r="BI767" s="129"/>
      <c r="BJ767" s="129"/>
      <c r="BK767" s="129"/>
      <c r="BL767" s="129"/>
      <c r="BM767" s="129"/>
      <c r="BN767" s="129"/>
      <c r="BO767" s="129"/>
      <c r="BP767" s="129"/>
      <c r="BQ767" s="129"/>
      <c r="BR767" s="129"/>
      <c r="BS767" s="129"/>
      <c r="BT767" s="129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</row>
    <row r="768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29"/>
      <c r="AM768" s="129"/>
      <c r="AN768" s="144"/>
      <c r="AO768" s="129"/>
      <c r="AP768" s="129"/>
      <c r="AQ768" s="129"/>
      <c r="AR768" s="129"/>
      <c r="AS768" s="129"/>
      <c r="AT768" s="129"/>
      <c r="AU768" s="129"/>
      <c r="AV768" s="129"/>
      <c r="AW768" s="129"/>
      <c r="AX768" s="129"/>
      <c r="AY768" s="129"/>
      <c r="AZ768" s="129"/>
      <c r="BA768" s="129"/>
      <c r="BB768" s="129"/>
      <c r="BC768" s="129"/>
      <c r="BD768" s="129"/>
      <c r="BE768" s="129"/>
      <c r="BF768" s="144"/>
      <c r="BG768" s="129"/>
      <c r="BH768" s="129"/>
      <c r="BI768" s="129"/>
      <c r="BJ768" s="129"/>
      <c r="BK768" s="129"/>
      <c r="BL768" s="129"/>
      <c r="BM768" s="129"/>
      <c r="BN768" s="129"/>
      <c r="BO768" s="129"/>
      <c r="BP768" s="129"/>
      <c r="BQ768" s="129"/>
      <c r="BR768" s="129"/>
      <c r="BS768" s="129"/>
      <c r="BT768" s="129"/>
      <c r="BU768" s="129"/>
      <c r="BV768" s="129"/>
      <c r="BW768" s="129"/>
      <c r="BX768" s="129"/>
      <c r="BY768" s="129"/>
      <c r="BZ768" s="129"/>
      <c r="CA768" s="129"/>
      <c r="CB768" s="129"/>
      <c r="CC768" s="129"/>
      <c r="CD768" s="129"/>
    </row>
    <row r="769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29"/>
      <c r="AM769" s="129"/>
      <c r="AN769" s="144"/>
      <c r="AO769" s="129"/>
      <c r="AP769" s="129"/>
      <c r="AQ769" s="129"/>
      <c r="AR769" s="129"/>
      <c r="AS769" s="129"/>
      <c r="AT769" s="129"/>
      <c r="AU769" s="129"/>
      <c r="AV769" s="129"/>
      <c r="AW769" s="129"/>
      <c r="AX769" s="129"/>
      <c r="AY769" s="129"/>
      <c r="AZ769" s="129"/>
      <c r="BA769" s="129"/>
      <c r="BB769" s="129"/>
      <c r="BC769" s="129"/>
      <c r="BD769" s="129"/>
      <c r="BE769" s="129"/>
      <c r="BF769" s="144"/>
      <c r="BG769" s="129"/>
      <c r="BH769" s="129"/>
      <c r="BI769" s="129"/>
      <c r="BJ769" s="129"/>
      <c r="BK769" s="129"/>
      <c r="BL769" s="129"/>
      <c r="BM769" s="129"/>
      <c r="BN769" s="129"/>
      <c r="BO769" s="129"/>
      <c r="BP769" s="129"/>
      <c r="BQ769" s="129"/>
      <c r="BR769" s="129"/>
      <c r="BS769" s="129"/>
      <c r="BT769" s="12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</row>
    <row r="770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44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44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</row>
    <row r="77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44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44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</row>
    <row r="77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44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44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</row>
    <row r="773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44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44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</row>
    <row r="774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44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44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</row>
    <row r="775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44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44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</row>
    <row r="776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44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44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</row>
    <row r="777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44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44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</row>
    <row r="778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44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44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</row>
    <row r="779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44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44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</row>
    <row r="780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29"/>
      <c r="AM780" s="129"/>
      <c r="AN780" s="144"/>
      <c r="AO780" s="129"/>
      <c r="AP780" s="129"/>
      <c r="AQ780" s="129"/>
      <c r="AR780" s="129"/>
      <c r="AS780" s="129"/>
      <c r="AT780" s="129"/>
      <c r="AU780" s="129"/>
      <c r="AV780" s="129"/>
      <c r="AW780" s="129"/>
      <c r="AX780" s="129"/>
      <c r="AY780" s="129"/>
      <c r="AZ780" s="129"/>
      <c r="BA780" s="129"/>
      <c r="BB780" s="129"/>
      <c r="BC780" s="129"/>
      <c r="BD780" s="129"/>
      <c r="BE780" s="129"/>
      <c r="BF780" s="144"/>
      <c r="BG780" s="129"/>
      <c r="BH780" s="129"/>
      <c r="BI780" s="129"/>
      <c r="BJ780" s="129"/>
      <c r="BK780" s="129"/>
      <c r="BL780" s="129"/>
      <c r="BM780" s="129"/>
      <c r="BN780" s="129"/>
      <c r="BO780" s="129"/>
      <c r="BP780" s="129"/>
      <c r="BQ780" s="129"/>
      <c r="BR780" s="129"/>
      <c r="BS780" s="129"/>
      <c r="BT780" s="129"/>
      <c r="BU780" s="129"/>
      <c r="BV780" s="129"/>
      <c r="BW780" s="129"/>
      <c r="BX780" s="129"/>
      <c r="BY780" s="129"/>
      <c r="BZ780" s="129"/>
      <c r="CA780" s="129"/>
      <c r="CB780" s="129"/>
      <c r="CC780" s="129"/>
      <c r="CD780" s="129"/>
    </row>
    <row r="78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29"/>
      <c r="AM781" s="129"/>
      <c r="AN781" s="144"/>
      <c r="AO781" s="129"/>
      <c r="AP781" s="129"/>
      <c r="AQ781" s="129"/>
      <c r="AR781" s="129"/>
      <c r="AS781" s="129"/>
      <c r="AT781" s="129"/>
      <c r="AU781" s="129"/>
      <c r="AV781" s="129"/>
      <c r="AW781" s="129"/>
      <c r="AX781" s="129"/>
      <c r="AY781" s="129"/>
      <c r="AZ781" s="129"/>
      <c r="BA781" s="129"/>
      <c r="BB781" s="129"/>
      <c r="BC781" s="129"/>
      <c r="BD781" s="129"/>
      <c r="BE781" s="129"/>
      <c r="BF781" s="144"/>
      <c r="BG781" s="129"/>
      <c r="BH781" s="129"/>
      <c r="BI781" s="129"/>
      <c r="BJ781" s="129"/>
      <c r="BK781" s="129"/>
      <c r="BL781" s="129"/>
      <c r="BM781" s="129"/>
      <c r="BN781" s="129"/>
      <c r="BO781" s="129"/>
      <c r="BP781" s="129"/>
      <c r="BQ781" s="129"/>
      <c r="BR781" s="129"/>
      <c r="BS781" s="129"/>
      <c r="BT781" s="129"/>
      <c r="BU781" s="129"/>
      <c r="BV781" s="129"/>
      <c r="BW781" s="129"/>
      <c r="BX781" s="129"/>
      <c r="BY781" s="129"/>
      <c r="BZ781" s="129"/>
      <c r="CA781" s="129"/>
      <c r="CB781" s="129"/>
      <c r="CC781" s="129"/>
      <c r="CD781" s="129"/>
    </row>
    <row r="78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<c r="AM782" s="129"/>
      <c r="AN782" s="144"/>
      <c r="AO782" s="129"/>
      <c r="AP782" s="129"/>
      <c r="AQ782" s="129"/>
      <c r="AR782" s="129"/>
      <c r="AS782" s="129"/>
      <c r="AT782" s="129"/>
      <c r="AU782" s="129"/>
      <c r="AV782" s="129"/>
      <c r="AW782" s="129"/>
      <c r="AX782" s="129"/>
      <c r="AY782" s="129"/>
      <c r="AZ782" s="129"/>
      <c r="BA782" s="129"/>
      <c r="BB782" s="129"/>
      <c r="BC782" s="129"/>
      <c r="BD782" s="129"/>
      <c r="BE782" s="129"/>
      <c r="BF782" s="144"/>
      <c r="BG782" s="129"/>
      <c r="BH782" s="129"/>
      <c r="BI782" s="129"/>
      <c r="BJ782" s="129"/>
      <c r="BK782" s="129"/>
      <c r="BL782" s="129"/>
      <c r="BM782" s="129"/>
      <c r="BN782" s="129"/>
      <c r="BO782" s="129"/>
      <c r="BP782" s="129"/>
      <c r="BQ782" s="129"/>
      <c r="BR782" s="129"/>
      <c r="BS782" s="129"/>
      <c r="BT782" s="129"/>
      <c r="BU782" s="129"/>
      <c r="BV782" s="129"/>
      <c r="BW782" s="129"/>
      <c r="BX782" s="129"/>
      <c r="BY782" s="129"/>
      <c r="BZ782" s="129"/>
      <c r="CA782" s="129"/>
      <c r="CB782" s="129"/>
      <c r="CC782" s="129"/>
      <c r="CD782" s="129"/>
    </row>
    <row r="783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29"/>
      <c r="AM783" s="129"/>
      <c r="AN783" s="144"/>
      <c r="AO783" s="129"/>
      <c r="AP783" s="129"/>
      <c r="AQ783" s="129"/>
      <c r="AR783" s="129"/>
      <c r="AS783" s="129"/>
      <c r="AT783" s="129"/>
      <c r="AU783" s="129"/>
      <c r="AV783" s="129"/>
      <c r="AW783" s="129"/>
      <c r="AX783" s="129"/>
      <c r="AY783" s="129"/>
      <c r="AZ783" s="129"/>
      <c r="BA783" s="129"/>
      <c r="BB783" s="129"/>
      <c r="BC783" s="129"/>
      <c r="BD783" s="129"/>
      <c r="BE783" s="129"/>
      <c r="BF783" s="144"/>
      <c r="BG783" s="129"/>
      <c r="BH783" s="129"/>
      <c r="BI783" s="129"/>
      <c r="BJ783" s="129"/>
      <c r="BK783" s="129"/>
      <c r="BL783" s="129"/>
      <c r="BM783" s="129"/>
      <c r="BN783" s="129"/>
      <c r="BO783" s="129"/>
      <c r="BP783" s="129"/>
      <c r="BQ783" s="129"/>
      <c r="BR783" s="129"/>
      <c r="BS783" s="129"/>
      <c r="BT783" s="129"/>
      <c r="BU783" s="129"/>
      <c r="BV783" s="129"/>
      <c r="BW783" s="129"/>
      <c r="BX783" s="129"/>
      <c r="BY783" s="129"/>
      <c r="BZ783" s="129"/>
      <c r="CA783" s="129"/>
      <c r="CB783" s="129"/>
      <c r="CC783" s="129"/>
      <c r="CD783" s="129"/>
    </row>
    <row r="784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29"/>
      <c r="AM784" s="129"/>
      <c r="AN784" s="144"/>
      <c r="AO784" s="129"/>
      <c r="AP784" s="129"/>
      <c r="AQ784" s="129"/>
      <c r="AR784" s="129"/>
      <c r="AS784" s="129"/>
      <c r="AT784" s="129"/>
      <c r="AU784" s="129"/>
      <c r="AV784" s="129"/>
      <c r="AW784" s="129"/>
      <c r="AX784" s="129"/>
      <c r="AY784" s="129"/>
      <c r="AZ784" s="129"/>
      <c r="BA784" s="129"/>
      <c r="BB784" s="129"/>
      <c r="BC784" s="129"/>
      <c r="BD784" s="129"/>
      <c r="BE784" s="129"/>
      <c r="BF784" s="144"/>
      <c r="BG784" s="129"/>
      <c r="BH784" s="129"/>
      <c r="BI784" s="129"/>
      <c r="BJ784" s="129"/>
      <c r="BK784" s="129"/>
      <c r="BL784" s="129"/>
      <c r="BM784" s="129"/>
      <c r="BN784" s="129"/>
      <c r="BO784" s="129"/>
      <c r="BP784" s="129"/>
      <c r="BQ784" s="129"/>
      <c r="BR784" s="129"/>
      <c r="BS784" s="129"/>
      <c r="BT784" s="129"/>
      <c r="BU784" s="129"/>
      <c r="BV784" s="129"/>
      <c r="BW784" s="129"/>
      <c r="BX784" s="129"/>
      <c r="BY784" s="129"/>
      <c r="BZ784" s="129"/>
      <c r="CA784" s="129"/>
      <c r="CB784" s="129"/>
      <c r="CC784" s="129"/>
      <c r="CD784" s="129"/>
    </row>
    <row r="785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29"/>
      <c r="AM785" s="129"/>
      <c r="AN785" s="144"/>
      <c r="AO785" s="129"/>
      <c r="AP785" s="129"/>
      <c r="AQ785" s="129"/>
      <c r="AR785" s="129"/>
      <c r="AS785" s="129"/>
      <c r="AT785" s="129"/>
      <c r="AU785" s="129"/>
      <c r="AV785" s="129"/>
      <c r="AW785" s="129"/>
      <c r="AX785" s="129"/>
      <c r="AY785" s="129"/>
      <c r="AZ785" s="129"/>
      <c r="BA785" s="129"/>
      <c r="BB785" s="129"/>
      <c r="BC785" s="129"/>
      <c r="BD785" s="129"/>
      <c r="BE785" s="129"/>
      <c r="BF785" s="144"/>
      <c r="BG785" s="129"/>
      <c r="BH785" s="129"/>
      <c r="BI785" s="129"/>
      <c r="BJ785" s="129"/>
      <c r="BK785" s="129"/>
      <c r="BL785" s="129"/>
      <c r="BM785" s="129"/>
      <c r="BN785" s="129"/>
      <c r="BO785" s="129"/>
      <c r="BP785" s="129"/>
      <c r="BQ785" s="129"/>
      <c r="BR785" s="129"/>
      <c r="BS785" s="129"/>
      <c r="BT785" s="129"/>
      <c r="BU785" s="129"/>
      <c r="BV785" s="129"/>
      <c r="BW785" s="129"/>
      <c r="BX785" s="129"/>
      <c r="BY785" s="129"/>
      <c r="BZ785" s="129"/>
      <c r="CA785" s="129"/>
      <c r="CB785" s="129"/>
      <c r="CC785" s="129"/>
      <c r="CD785" s="129"/>
    </row>
    <row r="786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29"/>
      <c r="AM786" s="129"/>
      <c r="AN786" s="144"/>
      <c r="AO786" s="129"/>
      <c r="AP786" s="129"/>
      <c r="AQ786" s="129"/>
      <c r="AR786" s="129"/>
      <c r="AS786" s="129"/>
      <c r="AT786" s="129"/>
      <c r="AU786" s="129"/>
      <c r="AV786" s="129"/>
      <c r="AW786" s="129"/>
      <c r="AX786" s="129"/>
      <c r="AY786" s="129"/>
      <c r="AZ786" s="129"/>
      <c r="BA786" s="129"/>
      <c r="BB786" s="129"/>
      <c r="BC786" s="129"/>
      <c r="BD786" s="129"/>
      <c r="BE786" s="129"/>
      <c r="BF786" s="144"/>
      <c r="BG786" s="129"/>
      <c r="BH786" s="129"/>
      <c r="BI786" s="129"/>
      <c r="BJ786" s="129"/>
      <c r="BK786" s="129"/>
      <c r="BL786" s="129"/>
      <c r="BM786" s="129"/>
      <c r="BN786" s="129"/>
      <c r="BO786" s="129"/>
      <c r="BP786" s="129"/>
      <c r="BQ786" s="129"/>
      <c r="BR786" s="129"/>
      <c r="BS786" s="129"/>
      <c r="BT786" s="129"/>
      <c r="BU786" s="129"/>
      <c r="BV786" s="129"/>
      <c r="BW786" s="129"/>
      <c r="BX786" s="129"/>
      <c r="BY786" s="129"/>
      <c r="BZ786" s="129"/>
      <c r="CA786" s="129"/>
      <c r="CB786" s="129"/>
      <c r="CC786" s="129"/>
      <c r="CD786" s="129"/>
    </row>
    <row r="787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29"/>
      <c r="AM787" s="129"/>
      <c r="AN787" s="144"/>
      <c r="AO787" s="129"/>
      <c r="AP787" s="129"/>
      <c r="AQ787" s="129"/>
      <c r="AR787" s="129"/>
      <c r="AS787" s="129"/>
      <c r="AT787" s="129"/>
      <c r="AU787" s="129"/>
      <c r="AV787" s="129"/>
      <c r="AW787" s="129"/>
      <c r="AX787" s="129"/>
      <c r="AY787" s="129"/>
      <c r="AZ787" s="129"/>
      <c r="BA787" s="129"/>
      <c r="BB787" s="129"/>
      <c r="BC787" s="129"/>
      <c r="BD787" s="129"/>
      <c r="BE787" s="129"/>
      <c r="BF787" s="144"/>
      <c r="BG787" s="129"/>
      <c r="BH787" s="129"/>
      <c r="BI787" s="129"/>
      <c r="BJ787" s="129"/>
      <c r="BK787" s="129"/>
      <c r="BL787" s="129"/>
      <c r="BM787" s="129"/>
      <c r="BN787" s="129"/>
      <c r="BO787" s="129"/>
      <c r="BP787" s="129"/>
      <c r="BQ787" s="129"/>
      <c r="BR787" s="129"/>
      <c r="BS787" s="129"/>
      <c r="BT787" s="129"/>
      <c r="BU787" s="129"/>
      <c r="BV787" s="129"/>
      <c r="BW787" s="129"/>
      <c r="BX787" s="129"/>
      <c r="BY787" s="129"/>
      <c r="BZ787" s="129"/>
      <c r="CA787" s="129"/>
      <c r="CB787" s="129"/>
      <c r="CC787" s="129"/>
      <c r="CD787" s="129"/>
    </row>
    <row r="788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29"/>
      <c r="AM788" s="129"/>
      <c r="AN788" s="144"/>
      <c r="AO788" s="129"/>
      <c r="AP788" s="129"/>
      <c r="AQ788" s="129"/>
      <c r="AR788" s="129"/>
      <c r="AS788" s="129"/>
      <c r="AT788" s="129"/>
      <c r="AU788" s="129"/>
      <c r="AV788" s="129"/>
      <c r="AW788" s="129"/>
      <c r="AX788" s="129"/>
      <c r="AY788" s="129"/>
      <c r="AZ788" s="129"/>
      <c r="BA788" s="129"/>
      <c r="BB788" s="129"/>
      <c r="BC788" s="129"/>
      <c r="BD788" s="129"/>
      <c r="BE788" s="129"/>
      <c r="BF788" s="144"/>
      <c r="BG788" s="129"/>
      <c r="BH788" s="129"/>
      <c r="BI788" s="129"/>
      <c r="BJ788" s="129"/>
      <c r="BK788" s="129"/>
      <c r="BL788" s="129"/>
      <c r="BM788" s="129"/>
      <c r="BN788" s="129"/>
      <c r="BO788" s="129"/>
      <c r="BP788" s="129"/>
      <c r="BQ788" s="129"/>
      <c r="BR788" s="129"/>
      <c r="BS788" s="129"/>
      <c r="BT788" s="129"/>
      <c r="BU788" s="129"/>
      <c r="BV788" s="129"/>
      <c r="BW788" s="129"/>
      <c r="BX788" s="129"/>
      <c r="BY788" s="129"/>
      <c r="BZ788" s="129"/>
      <c r="CA788" s="129"/>
      <c r="CB788" s="129"/>
      <c r="CC788" s="129"/>
      <c r="CD788" s="129"/>
    </row>
    <row r="789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29"/>
      <c r="AM789" s="129"/>
      <c r="AN789" s="144"/>
      <c r="AO789" s="129"/>
      <c r="AP789" s="129"/>
      <c r="AQ789" s="129"/>
      <c r="AR789" s="129"/>
      <c r="AS789" s="129"/>
      <c r="AT789" s="129"/>
      <c r="AU789" s="129"/>
      <c r="AV789" s="129"/>
      <c r="AW789" s="129"/>
      <c r="AX789" s="129"/>
      <c r="AY789" s="129"/>
      <c r="AZ789" s="129"/>
      <c r="BA789" s="129"/>
      <c r="BB789" s="129"/>
      <c r="BC789" s="129"/>
      <c r="BD789" s="129"/>
      <c r="BE789" s="129"/>
      <c r="BF789" s="144"/>
      <c r="BG789" s="129"/>
      <c r="BH789" s="129"/>
      <c r="BI789" s="129"/>
      <c r="BJ789" s="129"/>
      <c r="BK789" s="129"/>
      <c r="BL789" s="129"/>
      <c r="BM789" s="129"/>
      <c r="BN789" s="129"/>
      <c r="BO789" s="129"/>
      <c r="BP789" s="129"/>
      <c r="BQ789" s="129"/>
      <c r="BR789" s="129"/>
      <c r="BS789" s="129"/>
      <c r="BT789" s="129"/>
      <c r="BU789" s="129"/>
      <c r="BV789" s="129"/>
      <c r="BW789" s="129"/>
      <c r="BX789" s="129"/>
      <c r="BY789" s="129"/>
      <c r="BZ789" s="129"/>
      <c r="CA789" s="129"/>
      <c r="CB789" s="129"/>
      <c r="CC789" s="129"/>
      <c r="CD789" s="129"/>
    </row>
    <row r="790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29"/>
      <c r="AM790" s="129"/>
      <c r="AN790" s="144"/>
      <c r="AO790" s="129"/>
      <c r="AP790" s="129"/>
      <c r="AQ790" s="129"/>
      <c r="AR790" s="129"/>
      <c r="AS790" s="129"/>
      <c r="AT790" s="129"/>
      <c r="AU790" s="129"/>
      <c r="AV790" s="129"/>
      <c r="AW790" s="129"/>
      <c r="AX790" s="129"/>
      <c r="AY790" s="129"/>
      <c r="AZ790" s="129"/>
      <c r="BA790" s="129"/>
      <c r="BB790" s="129"/>
      <c r="BC790" s="129"/>
      <c r="BD790" s="129"/>
      <c r="BE790" s="129"/>
      <c r="BF790" s="144"/>
      <c r="BG790" s="129"/>
      <c r="BH790" s="129"/>
      <c r="BI790" s="129"/>
      <c r="BJ790" s="129"/>
      <c r="BK790" s="129"/>
      <c r="BL790" s="129"/>
      <c r="BM790" s="129"/>
      <c r="BN790" s="129"/>
      <c r="BO790" s="129"/>
      <c r="BP790" s="129"/>
      <c r="BQ790" s="129"/>
      <c r="BR790" s="129"/>
      <c r="BS790" s="129"/>
      <c r="BT790" s="129"/>
      <c r="BU790" s="129"/>
      <c r="BV790" s="129"/>
      <c r="BW790" s="129"/>
      <c r="BX790" s="129"/>
      <c r="BY790" s="129"/>
      <c r="BZ790" s="129"/>
      <c r="CA790" s="129"/>
      <c r="CB790" s="129"/>
      <c r="CC790" s="129"/>
      <c r="CD790" s="129"/>
    </row>
    <row r="79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29"/>
      <c r="AM791" s="129"/>
      <c r="AN791" s="144"/>
      <c r="AO791" s="129"/>
      <c r="AP791" s="129"/>
      <c r="AQ791" s="129"/>
      <c r="AR791" s="129"/>
      <c r="AS791" s="129"/>
      <c r="AT791" s="129"/>
      <c r="AU791" s="129"/>
      <c r="AV791" s="129"/>
      <c r="AW791" s="129"/>
      <c r="AX791" s="129"/>
      <c r="AY791" s="129"/>
      <c r="AZ791" s="129"/>
      <c r="BA791" s="129"/>
      <c r="BB791" s="129"/>
      <c r="BC791" s="129"/>
      <c r="BD791" s="129"/>
      <c r="BE791" s="129"/>
      <c r="BF791" s="144"/>
      <c r="BG791" s="129"/>
      <c r="BH791" s="129"/>
      <c r="BI791" s="129"/>
      <c r="BJ791" s="129"/>
      <c r="BK791" s="129"/>
      <c r="BL791" s="129"/>
      <c r="BM791" s="129"/>
      <c r="BN791" s="129"/>
      <c r="BO791" s="129"/>
      <c r="BP791" s="129"/>
      <c r="BQ791" s="129"/>
      <c r="BR791" s="129"/>
      <c r="BS791" s="129"/>
      <c r="BT791" s="129"/>
      <c r="BU791" s="129"/>
      <c r="BV791" s="129"/>
      <c r="BW791" s="129"/>
      <c r="BX791" s="129"/>
      <c r="BY791" s="129"/>
      <c r="BZ791" s="129"/>
      <c r="CA791" s="129"/>
      <c r="CB791" s="129"/>
      <c r="CC791" s="129"/>
      <c r="CD791" s="129"/>
    </row>
    <row r="79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129"/>
      <c r="AN792" s="144"/>
      <c r="AO792" s="129"/>
      <c r="AP792" s="129"/>
      <c r="AQ792" s="129"/>
      <c r="AR792" s="129"/>
      <c r="AS792" s="129"/>
      <c r="AT792" s="129"/>
      <c r="AU792" s="129"/>
      <c r="AV792" s="129"/>
      <c r="AW792" s="129"/>
      <c r="AX792" s="129"/>
      <c r="AY792" s="129"/>
      <c r="AZ792" s="129"/>
      <c r="BA792" s="129"/>
      <c r="BB792" s="129"/>
      <c r="BC792" s="129"/>
      <c r="BD792" s="129"/>
      <c r="BE792" s="129"/>
      <c r="BF792" s="144"/>
      <c r="BG792" s="129"/>
      <c r="BH792" s="129"/>
      <c r="BI792" s="129"/>
      <c r="BJ792" s="129"/>
      <c r="BK792" s="129"/>
      <c r="BL792" s="129"/>
      <c r="BM792" s="129"/>
      <c r="BN792" s="129"/>
      <c r="BO792" s="129"/>
      <c r="BP792" s="129"/>
      <c r="BQ792" s="129"/>
      <c r="BR792" s="129"/>
      <c r="BS792" s="129"/>
      <c r="BT792" s="129"/>
      <c r="BU792" s="129"/>
      <c r="BV792" s="129"/>
      <c r="BW792" s="129"/>
      <c r="BX792" s="129"/>
      <c r="BY792" s="129"/>
      <c r="BZ792" s="129"/>
      <c r="CA792" s="129"/>
      <c r="CB792" s="129"/>
      <c r="CC792" s="129"/>
      <c r="CD792" s="129"/>
    </row>
    <row r="793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129"/>
      <c r="AN793" s="144"/>
      <c r="AO793" s="129"/>
      <c r="AP793" s="129"/>
      <c r="AQ793" s="129"/>
      <c r="AR793" s="129"/>
      <c r="AS793" s="129"/>
      <c r="AT793" s="129"/>
      <c r="AU793" s="129"/>
      <c r="AV793" s="129"/>
      <c r="AW793" s="129"/>
      <c r="AX793" s="129"/>
      <c r="AY793" s="129"/>
      <c r="AZ793" s="129"/>
      <c r="BA793" s="129"/>
      <c r="BB793" s="129"/>
      <c r="BC793" s="129"/>
      <c r="BD793" s="129"/>
      <c r="BE793" s="129"/>
      <c r="BF793" s="144"/>
      <c r="BG793" s="129"/>
      <c r="BH793" s="129"/>
      <c r="BI793" s="129"/>
      <c r="BJ793" s="129"/>
      <c r="BK793" s="129"/>
      <c r="BL793" s="129"/>
      <c r="BM793" s="129"/>
      <c r="BN793" s="129"/>
      <c r="BO793" s="129"/>
      <c r="BP793" s="129"/>
      <c r="BQ793" s="129"/>
      <c r="BR793" s="129"/>
      <c r="BS793" s="129"/>
      <c r="BT793" s="129"/>
      <c r="BU793" s="129"/>
      <c r="BV793" s="129"/>
      <c r="BW793" s="129"/>
      <c r="BX793" s="129"/>
      <c r="BY793" s="129"/>
      <c r="BZ793" s="129"/>
      <c r="CA793" s="129"/>
      <c r="CB793" s="129"/>
      <c r="CC793" s="129"/>
      <c r="CD793" s="129"/>
    </row>
    <row r="794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29"/>
      <c r="AM794" s="129"/>
      <c r="AN794" s="144"/>
      <c r="AO794" s="129"/>
      <c r="AP794" s="129"/>
      <c r="AQ794" s="129"/>
      <c r="AR794" s="129"/>
      <c r="AS794" s="129"/>
      <c r="AT794" s="129"/>
      <c r="AU794" s="129"/>
      <c r="AV794" s="129"/>
      <c r="AW794" s="129"/>
      <c r="AX794" s="129"/>
      <c r="AY794" s="129"/>
      <c r="AZ794" s="129"/>
      <c r="BA794" s="129"/>
      <c r="BB794" s="129"/>
      <c r="BC794" s="129"/>
      <c r="BD794" s="129"/>
      <c r="BE794" s="129"/>
      <c r="BF794" s="144"/>
      <c r="BG794" s="129"/>
      <c r="BH794" s="129"/>
      <c r="BI794" s="129"/>
      <c r="BJ794" s="129"/>
      <c r="BK794" s="129"/>
      <c r="BL794" s="129"/>
      <c r="BM794" s="129"/>
      <c r="BN794" s="129"/>
      <c r="BO794" s="129"/>
      <c r="BP794" s="129"/>
      <c r="BQ794" s="129"/>
      <c r="BR794" s="129"/>
      <c r="BS794" s="129"/>
      <c r="BT794" s="129"/>
      <c r="BU794" s="129"/>
      <c r="BV794" s="129"/>
      <c r="BW794" s="129"/>
      <c r="BX794" s="129"/>
      <c r="BY794" s="129"/>
      <c r="BZ794" s="129"/>
      <c r="CA794" s="129"/>
      <c r="CB794" s="129"/>
      <c r="CC794" s="129"/>
      <c r="CD794" s="129"/>
    </row>
    <row r="795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29"/>
      <c r="AM795" s="129"/>
      <c r="AN795" s="144"/>
      <c r="AO795" s="129"/>
      <c r="AP795" s="129"/>
      <c r="AQ795" s="129"/>
      <c r="AR795" s="129"/>
      <c r="AS795" s="129"/>
      <c r="AT795" s="129"/>
      <c r="AU795" s="129"/>
      <c r="AV795" s="129"/>
      <c r="AW795" s="129"/>
      <c r="AX795" s="129"/>
      <c r="AY795" s="129"/>
      <c r="AZ795" s="129"/>
      <c r="BA795" s="129"/>
      <c r="BB795" s="129"/>
      <c r="BC795" s="129"/>
      <c r="BD795" s="129"/>
      <c r="BE795" s="129"/>
      <c r="BF795" s="144"/>
      <c r="BG795" s="129"/>
      <c r="BH795" s="129"/>
      <c r="BI795" s="129"/>
      <c r="BJ795" s="129"/>
      <c r="BK795" s="129"/>
      <c r="BL795" s="129"/>
      <c r="BM795" s="129"/>
      <c r="BN795" s="129"/>
      <c r="BO795" s="129"/>
      <c r="BP795" s="129"/>
      <c r="BQ795" s="129"/>
      <c r="BR795" s="129"/>
      <c r="BS795" s="129"/>
      <c r="BT795" s="129"/>
      <c r="BU795" s="129"/>
      <c r="BV795" s="129"/>
      <c r="BW795" s="129"/>
      <c r="BX795" s="129"/>
      <c r="BY795" s="129"/>
      <c r="BZ795" s="129"/>
      <c r="CA795" s="129"/>
      <c r="CB795" s="129"/>
      <c r="CC795" s="129"/>
      <c r="CD795" s="129"/>
    </row>
    <row r="796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29"/>
      <c r="AM796" s="129"/>
      <c r="AN796" s="144"/>
      <c r="AO796" s="129"/>
      <c r="AP796" s="129"/>
      <c r="AQ796" s="129"/>
      <c r="AR796" s="129"/>
      <c r="AS796" s="129"/>
      <c r="AT796" s="129"/>
      <c r="AU796" s="129"/>
      <c r="AV796" s="129"/>
      <c r="AW796" s="129"/>
      <c r="AX796" s="129"/>
      <c r="AY796" s="129"/>
      <c r="AZ796" s="129"/>
      <c r="BA796" s="129"/>
      <c r="BB796" s="129"/>
      <c r="BC796" s="129"/>
      <c r="BD796" s="129"/>
      <c r="BE796" s="129"/>
      <c r="BF796" s="144"/>
      <c r="BG796" s="129"/>
      <c r="BH796" s="129"/>
      <c r="BI796" s="129"/>
      <c r="BJ796" s="129"/>
      <c r="BK796" s="129"/>
      <c r="BL796" s="129"/>
      <c r="BM796" s="129"/>
      <c r="BN796" s="129"/>
      <c r="BO796" s="129"/>
      <c r="BP796" s="129"/>
      <c r="BQ796" s="129"/>
      <c r="BR796" s="129"/>
      <c r="BS796" s="129"/>
      <c r="BT796" s="129"/>
      <c r="BU796" s="129"/>
      <c r="BV796" s="129"/>
      <c r="BW796" s="129"/>
      <c r="BX796" s="129"/>
      <c r="BY796" s="129"/>
      <c r="BZ796" s="129"/>
      <c r="CA796" s="129"/>
      <c r="CB796" s="129"/>
      <c r="CC796" s="129"/>
      <c r="CD796" s="129"/>
    </row>
    <row r="797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29"/>
      <c r="AM797" s="129"/>
      <c r="AN797" s="144"/>
      <c r="AO797" s="129"/>
      <c r="AP797" s="129"/>
      <c r="AQ797" s="129"/>
      <c r="AR797" s="129"/>
      <c r="AS797" s="129"/>
      <c r="AT797" s="129"/>
      <c r="AU797" s="129"/>
      <c r="AV797" s="129"/>
      <c r="AW797" s="129"/>
      <c r="AX797" s="129"/>
      <c r="AY797" s="129"/>
      <c r="AZ797" s="129"/>
      <c r="BA797" s="129"/>
      <c r="BB797" s="129"/>
      <c r="BC797" s="129"/>
      <c r="BD797" s="129"/>
      <c r="BE797" s="129"/>
      <c r="BF797" s="144"/>
      <c r="BG797" s="129"/>
      <c r="BH797" s="129"/>
      <c r="BI797" s="129"/>
      <c r="BJ797" s="129"/>
      <c r="BK797" s="129"/>
      <c r="BL797" s="129"/>
      <c r="BM797" s="129"/>
      <c r="BN797" s="129"/>
      <c r="BO797" s="129"/>
      <c r="BP797" s="129"/>
      <c r="BQ797" s="129"/>
      <c r="BR797" s="129"/>
      <c r="BS797" s="129"/>
      <c r="BT797" s="129"/>
      <c r="BU797" s="129"/>
      <c r="BV797" s="129"/>
      <c r="BW797" s="129"/>
      <c r="BX797" s="129"/>
      <c r="BY797" s="129"/>
      <c r="BZ797" s="129"/>
      <c r="CA797" s="129"/>
      <c r="CB797" s="129"/>
      <c r="CC797" s="129"/>
      <c r="CD797" s="129"/>
    </row>
    <row r="798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29"/>
      <c r="AM798" s="129"/>
      <c r="AN798" s="144"/>
      <c r="AO798" s="129"/>
      <c r="AP798" s="129"/>
      <c r="AQ798" s="129"/>
      <c r="AR798" s="129"/>
      <c r="AS798" s="129"/>
      <c r="AT798" s="129"/>
      <c r="AU798" s="129"/>
      <c r="AV798" s="129"/>
      <c r="AW798" s="129"/>
      <c r="AX798" s="129"/>
      <c r="AY798" s="129"/>
      <c r="AZ798" s="129"/>
      <c r="BA798" s="129"/>
      <c r="BB798" s="129"/>
      <c r="BC798" s="129"/>
      <c r="BD798" s="129"/>
      <c r="BE798" s="129"/>
      <c r="BF798" s="144"/>
      <c r="BG798" s="129"/>
      <c r="BH798" s="129"/>
      <c r="BI798" s="129"/>
      <c r="BJ798" s="129"/>
      <c r="BK798" s="129"/>
      <c r="BL798" s="129"/>
      <c r="BM798" s="129"/>
      <c r="BN798" s="129"/>
      <c r="BO798" s="129"/>
      <c r="BP798" s="129"/>
      <c r="BQ798" s="129"/>
      <c r="BR798" s="129"/>
      <c r="BS798" s="129"/>
      <c r="BT798" s="129"/>
      <c r="BU798" s="129"/>
      <c r="BV798" s="129"/>
      <c r="BW798" s="129"/>
      <c r="BX798" s="129"/>
      <c r="BY798" s="129"/>
      <c r="BZ798" s="129"/>
      <c r="CA798" s="129"/>
      <c r="CB798" s="129"/>
      <c r="CC798" s="129"/>
      <c r="CD798" s="129"/>
    </row>
    <row r="799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29"/>
      <c r="AM799" s="129"/>
      <c r="AN799" s="144"/>
      <c r="AO799" s="129"/>
      <c r="AP799" s="129"/>
      <c r="AQ799" s="129"/>
      <c r="AR799" s="129"/>
      <c r="AS799" s="129"/>
      <c r="AT799" s="129"/>
      <c r="AU799" s="129"/>
      <c r="AV799" s="129"/>
      <c r="AW799" s="129"/>
      <c r="AX799" s="129"/>
      <c r="AY799" s="129"/>
      <c r="AZ799" s="129"/>
      <c r="BA799" s="129"/>
      <c r="BB799" s="129"/>
      <c r="BC799" s="129"/>
      <c r="BD799" s="129"/>
      <c r="BE799" s="129"/>
      <c r="BF799" s="144"/>
      <c r="BG799" s="129"/>
      <c r="BH799" s="129"/>
      <c r="BI799" s="129"/>
      <c r="BJ799" s="129"/>
      <c r="BK799" s="129"/>
      <c r="BL799" s="129"/>
      <c r="BM799" s="129"/>
      <c r="BN799" s="129"/>
      <c r="BO799" s="129"/>
      <c r="BP799" s="129"/>
      <c r="BQ799" s="129"/>
      <c r="BR799" s="129"/>
      <c r="BS799" s="129"/>
      <c r="BT799" s="129"/>
      <c r="BU799" s="129"/>
      <c r="BV799" s="129"/>
      <c r="BW799" s="129"/>
      <c r="BX799" s="129"/>
      <c r="BY799" s="129"/>
      <c r="BZ799" s="129"/>
      <c r="CA799" s="129"/>
      <c r="CB799" s="129"/>
      <c r="CC799" s="129"/>
      <c r="CD799" s="129"/>
    </row>
    <row r="800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29"/>
      <c r="AM800" s="129"/>
      <c r="AN800" s="144"/>
      <c r="AO800" s="129"/>
      <c r="AP800" s="129"/>
      <c r="AQ800" s="129"/>
      <c r="AR800" s="129"/>
      <c r="AS800" s="129"/>
      <c r="AT800" s="129"/>
      <c r="AU800" s="129"/>
      <c r="AV800" s="129"/>
      <c r="AW800" s="129"/>
      <c r="AX800" s="129"/>
      <c r="AY800" s="129"/>
      <c r="AZ800" s="129"/>
      <c r="BA800" s="129"/>
      <c r="BB800" s="129"/>
      <c r="BC800" s="129"/>
      <c r="BD800" s="129"/>
      <c r="BE800" s="129"/>
      <c r="BF800" s="144"/>
      <c r="BG800" s="129"/>
      <c r="BH800" s="129"/>
      <c r="BI800" s="129"/>
      <c r="BJ800" s="129"/>
      <c r="BK800" s="129"/>
      <c r="BL800" s="129"/>
      <c r="BM800" s="129"/>
      <c r="BN800" s="129"/>
      <c r="BO800" s="129"/>
      <c r="BP800" s="129"/>
      <c r="BQ800" s="129"/>
      <c r="BR800" s="129"/>
      <c r="BS800" s="129"/>
      <c r="BT800" s="129"/>
      <c r="BU800" s="129"/>
      <c r="BV800" s="129"/>
      <c r="BW800" s="129"/>
      <c r="BX800" s="129"/>
      <c r="BY800" s="129"/>
      <c r="BZ800" s="129"/>
      <c r="CA800" s="129"/>
      <c r="CB800" s="129"/>
      <c r="CC800" s="129"/>
      <c r="CD800" s="129"/>
    </row>
    <row r="80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29"/>
      <c r="AM801" s="129"/>
      <c r="AN801" s="144"/>
      <c r="AO801" s="129"/>
      <c r="AP801" s="129"/>
      <c r="AQ801" s="129"/>
      <c r="AR801" s="129"/>
      <c r="AS801" s="129"/>
      <c r="AT801" s="129"/>
      <c r="AU801" s="129"/>
      <c r="AV801" s="129"/>
      <c r="AW801" s="129"/>
      <c r="AX801" s="129"/>
      <c r="AY801" s="129"/>
      <c r="AZ801" s="129"/>
      <c r="BA801" s="129"/>
      <c r="BB801" s="129"/>
      <c r="BC801" s="129"/>
      <c r="BD801" s="129"/>
      <c r="BE801" s="129"/>
      <c r="BF801" s="144"/>
      <c r="BG801" s="129"/>
      <c r="BH801" s="129"/>
      <c r="BI801" s="129"/>
      <c r="BJ801" s="129"/>
      <c r="BK801" s="129"/>
      <c r="BL801" s="129"/>
      <c r="BM801" s="129"/>
      <c r="BN801" s="129"/>
      <c r="BO801" s="129"/>
      <c r="BP801" s="129"/>
      <c r="BQ801" s="129"/>
      <c r="BR801" s="129"/>
      <c r="BS801" s="129"/>
      <c r="BT801" s="129"/>
      <c r="BU801" s="129"/>
      <c r="BV801" s="129"/>
      <c r="BW801" s="129"/>
      <c r="BX801" s="129"/>
      <c r="BY801" s="129"/>
      <c r="BZ801" s="129"/>
      <c r="CA801" s="129"/>
      <c r="CB801" s="129"/>
      <c r="CC801" s="129"/>
      <c r="CD801" s="129"/>
    </row>
    <row r="80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29"/>
      <c r="AM802" s="129"/>
      <c r="AN802" s="144"/>
      <c r="AO802" s="129"/>
      <c r="AP802" s="129"/>
      <c r="AQ802" s="129"/>
      <c r="AR802" s="129"/>
      <c r="AS802" s="129"/>
      <c r="AT802" s="129"/>
      <c r="AU802" s="129"/>
      <c r="AV802" s="129"/>
      <c r="AW802" s="129"/>
      <c r="AX802" s="129"/>
      <c r="AY802" s="129"/>
      <c r="AZ802" s="129"/>
      <c r="BA802" s="129"/>
      <c r="BB802" s="129"/>
      <c r="BC802" s="129"/>
      <c r="BD802" s="129"/>
      <c r="BE802" s="129"/>
      <c r="BF802" s="144"/>
      <c r="BG802" s="129"/>
      <c r="BH802" s="129"/>
      <c r="BI802" s="129"/>
      <c r="BJ802" s="129"/>
      <c r="BK802" s="129"/>
      <c r="BL802" s="129"/>
      <c r="BM802" s="129"/>
      <c r="BN802" s="129"/>
      <c r="BO802" s="129"/>
      <c r="BP802" s="129"/>
      <c r="BQ802" s="129"/>
      <c r="BR802" s="129"/>
      <c r="BS802" s="129"/>
      <c r="BT802" s="129"/>
      <c r="BU802" s="129"/>
      <c r="BV802" s="129"/>
      <c r="BW802" s="129"/>
      <c r="BX802" s="129"/>
      <c r="BY802" s="129"/>
      <c r="BZ802" s="129"/>
      <c r="CA802" s="129"/>
      <c r="CB802" s="129"/>
      <c r="CC802" s="129"/>
      <c r="CD802" s="129"/>
    </row>
    <row r="803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29"/>
      <c r="AM803" s="129"/>
      <c r="AN803" s="144"/>
      <c r="AO803" s="129"/>
      <c r="AP803" s="129"/>
      <c r="AQ803" s="129"/>
      <c r="AR803" s="129"/>
      <c r="AS803" s="129"/>
      <c r="AT803" s="129"/>
      <c r="AU803" s="129"/>
      <c r="AV803" s="129"/>
      <c r="AW803" s="129"/>
      <c r="AX803" s="129"/>
      <c r="AY803" s="129"/>
      <c r="AZ803" s="129"/>
      <c r="BA803" s="129"/>
      <c r="BB803" s="129"/>
      <c r="BC803" s="129"/>
      <c r="BD803" s="129"/>
      <c r="BE803" s="129"/>
      <c r="BF803" s="144"/>
      <c r="BG803" s="129"/>
      <c r="BH803" s="129"/>
      <c r="BI803" s="129"/>
      <c r="BJ803" s="129"/>
      <c r="BK803" s="129"/>
      <c r="BL803" s="129"/>
      <c r="BM803" s="129"/>
      <c r="BN803" s="129"/>
      <c r="BO803" s="129"/>
      <c r="BP803" s="129"/>
      <c r="BQ803" s="129"/>
      <c r="BR803" s="129"/>
      <c r="BS803" s="129"/>
      <c r="BT803" s="129"/>
      <c r="BU803" s="129"/>
      <c r="BV803" s="129"/>
      <c r="BW803" s="129"/>
      <c r="BX803" s="129"/>
      <c r="BY803" s="129"/>
      <c r="BZ803" s="129"/>
      <c r="CA803" s="129"/>
      <c r="CB803" s="129"/>
      <c r="CC803" s="129"/>
      <c r="CD803" s="129"/>
    </row>
    <row r="804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44"/>
      <c r="AO804" s="129"/>
      <c r="AP804" s="129"/>
      <c r="AQ804" s="129"/>
      <c r="AR804" s="129"/>
      <c r="AS804" s="129"/>
      <c r="AT804" s="129"/>
      <c r="AU804" s="129"/>
      <c r="AV804" s="129"/>
      <c r="AW804" s="129"/>
      <c r="AX804" s="129"/>
      <c r="AY804" s="129"/>
      <c r="AZ804" s="129"/>
      <c r="BA804" s="129"/>
      <c r="BB804" s="129"/>
      <c r="BC804" s="129"/>
      <c r="BD804" s="129"/>
      <c r="BE804" s="129"/>
      <c r="BF804" s="144"/>
      <c r="BG804" s="129"/>
      <c r="BH804" s="129"/>
      <c r="BI804" s="129"/>
      <c r="BJ804" s="129"/>
      <c r="BK804" s="129"/>
      <c r="BL804" s="129"/>
      <c r="BM804" s="129"/>
      <c r="BN804" s="129"/>
      <c r="BO804" s="129"/>
      <c r="BP804" s="129"/>
      <c r="BQ804" s="129"/>
      <c r="BR804" s="129"/>
      <c r="BS804" s="129"/>
      <c r="BT804" s="129"/>
      <c r="BU804" s="129"/>
      <c r="BV804" s="129"/>
      <c r="BW804" s="129"/>
      <c r="BX804" s="129"/>
      <c r="BY804" s="129"/>
      <c r="BZ804" s="129"/>
      <c r="CA804" s="129"/>
      <c r="CB804" s="129"/>
      <c r="CC804" s="129"/>
      <c r="CD804" s="129"/>
    </row>
    <row r="805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44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44"/>
      <c r="BG805" s="129"/>
      <c r="BH805" s="129"/>
      <c r="BI805" s="129"/>
      <c r="BJ805" s="129"/>
      <c r="BK805" s="129"/>
      <c r="BL805" s="129"/>
      <c r="BM805" s="129"/>
      <c r="BN805" s="129"/>
      <c r="BO805" s="129"/>
      <c r="BP805" s="129"/>
      <c r="BQ805" s="129"/>
      <c r="BR805" s="129"/>
      <c r="BS805" s="129"/>
      <c r="BT805" s="129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</row>
    <row r="806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129"/>
      <c r="AN806" s="144"/>
      <c r="AO806" s="129"/>
      <c r="AP806" s="129"/>
      <c r="AQ806" s="129"/>
      <c r="AR806" s="129"/>
      <c r="AS806" s="129"/>
      <c r="AT806" s="129"/>
      <c r="AU806" s="129"/>
      <c r="AV806" s="129"/>
      <c r="AW806" s="129"/>
      <c r="AX806" s="129"/>
      <c r="AY806" s="129"/>
      <c r="AZ806" s="129"/>
      <c r="BA806" s="129"/>
      <c r="BB806" s="129"/>
      <c r="BC806" s="129"/>
      <c r="BD806" s="129"/>
      <c r="BE806" s="129"/>
      <c r="BF806" s="144"/>
      <c r="BG806" s="129"/>
      <c r="BH806" s="129"/>
      <c r="BI806" s="129"/>
      <c r="BJ806" s="129"/>
      <c r="BK806" s="129"/>
      <c r="BL806" s="129"/>
      <c r="BM806" s="129"/>
      <c r="BN806" s="129"/>
      <c r="BO806" s="129"/>
      <c r="BP806" s="129"/>
      <c r="BQ806" s="129"/>
      <c r="BR806" s="129"/>
      <c r="BS806" s="129"/>
      <c r="BT806" s="129"/>
      <c r="BU806" s="129"/>
      <c r="BV806" s="129"/>
      <c r="BW806" s="129"/>
      <c r="BX806" s="129"/>
      <c r="BY806" s="129"/>
      <c r="BZ806" s="129"/>
      <c r="CA806" s="129"/>
      <c r="CB806" s="129"/>
      <c r="CC806" s="129"/>
      <c r="CD806" s="129"/>
    </row>
    <row r="807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129"/>
      <c r="AN807" s="144"/>
      <c r="AO807" s="129"/>
      <c r="AP807" s="129"/>
      <c r="AQ807" s="129"/>
      <c r="AR807" s="129"/>
      <c r="AS807" s="129"/>
      <c r="AT807" s="129"/>
      <c r="AU807" s="129"/>
      <c r="AV807" s="129"/>
      <c r="AW807" s="129"/>
      <c r="AX807" s="129"/>
      <c r="AY807" s="129"/>
      <c r="AZ807" s="129"/>
      <c r="BA807" s="129"/>
      <c r="BB807" s="129"/>
      <c r="BC807" s="129"/>
      <c r="BD807" s="129"/>
      <c r="BE807" s="129"/>
      <c r="BF807" s="144"/>
      <c r="BG807" s="129"/>
      <c r="BH807" s="129"/>
      <c r="BI807" s="129"/>
      <c r="BJ807" s="129"/>
      <c r="BK807" s="129"/>
      <c r="BL807" s="129"/>
      <c r="BM807" s="129"/>
      <c r="BN807" s="129"/>
      <c r="BO807" s="129"/>
      <c r="BP807" s="129"/>
      <c r="BQ807" s="129"/>
      <c r="BR807" s="129"/>
      <c r="BS807" s="129"/>
      <c r="BT807" s="129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</row>
    <row r="808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44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44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</row>
    <row r="809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44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44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</row>
    <row r="810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44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44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</row>
    <row r="81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44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44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</row>
    <row r="81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44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44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</row>
    <row r="813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44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44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</row>
    <row r="814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44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44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</row>
    <row r="815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44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44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</row>
    <row r="816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44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44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</row>
    <row r="817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44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44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</row>
    <row r="818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29"/>
      <c r="AM818" s="129"/>
      <c r="AN818" s="144"/>
      <c r="AO818" s="129"/>
      <c r="AP818" s="129"/>
      <c r="AQ818" s="129"/>
      <c r="AR818" s="129"/>
      <c r="AS818" s="129"/>
      <c r="AT818" s="129"/>
      <c r="AU818" s="129"/>
      <c r="AV818" s="129"/>
      <c r="AW818" s="129"/>
      <c r="AX818" s="129"/>
      <c r="AY818" s="129"/>
      <c r="AZ818" s="129"/>
      <c r="BA818" s="129"/>
      <c r="BB818" s="129"/>
      <c r="BC818" s="129"/>
      <c r="BD818" s="129"/>
      <c r="BE818" s="129"/>
      <c r="BF818" s="144"/>
      <c r="BG818" s="129"/>
      <c r="BH818" s="129"/>
      <c r="BI818" s="129"/>
      <c r="BJ818" s="129"/>
      <c r="BK818" s="129"/>
      <c r="BL818" s="129"/>
      <c r="BM818" s="129"/>
      <c r="BN818" s="129"/>
      <c r="BO818" s="129"/>
      <c r="BP818" s="129"/>
      <c r="BQ818" s="129"/>
      <c r="BR818" s="129"/>
      <c r="BS818" s="129"/>
      <c r="BT818" s="129"/>
      <c r="BU818" s="129"/>
      <c r="BV818" s="129"/>
      <c r="BW818" s="129"/>
      <c r="BX818" s="129"/>
      <c r="BY818" s="129"/>
      <c r="BZ818" s="129"/>
      <c r="CA818" s="129"/>
      <c r="CB818" s="129"/>
      <c r="CC818" s="129"/>
      <c r="CD818" s="129"/>
    </row>
    <row r="819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29"/>
      <c r="AM819" s="129"/>
      <c r="AN819" s="144"/>
      <c r="AO819" s="129"/>
      <c r="AP819" s="129"/>
      <c r="AQ819" s="129"/>
      <c r="AR819" s="129"/>
      <c r="AS819" s="129"/>
      <c r="AT819" s="129"/>
      <c r="AU819" s="129"/>
      <c r="AV819" s="129"/>
      <c r="AW819" s="129"/>
      <c r="AX819" s="129"/>
      <c r="AY819" s="129"/>
      <c r="AZ819" s="129"/>
      <c r="BA819" s="129"/>
      <c r="BB819" s="129"/>
      <c r="BC819" s="129"/>
      <c r="BD819" s="129"/>
      <c r="BE819" s="129"/>
      <c r="BF819" s="144"/>
      <c r="BG819" s="129"/>
      <c r="BH819" s="129"/>
      <c r="BI819" s="129"/>
      <c r="BJ819" s="129"/>
      <c r="BK819" s="129"/>
      <c r="BL819" s="129"/>
      <c r="BM819" s="129"/>
      <c r="BN819" s="129"/>
      <c r="BO819" s="129"/>
      <c r="BP819" s="129"/>
      <c r="BQ819" s="129"/>
      <c r="BR819" s="129"/>
      <c r="BS819" s="129"/>
      <c r="BT819" s="129"/>
      <c r="BU819" s="129"/>
      <c r="BV819" s="129"/>
      <c r="BW819" s="129"/>
      <c r="BX819" s="129"/>
      <c r="BY819" s="129"/>
      <c r="BZ819" s="129"/>
      <c r="CA819" s="129"/>
      <c r="CB819" s="129"/>
      <c r="CC819" s="129"/>
      <c r="CD819" s="129"/>
    </row>
    <row r="820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129"/>
      <c r="AN820" s="144"/>
      <c r="AO820" s="129"/>
      <c r="AP820" s="129"/>
      <c r="AQ820" s="129"/>
      <c r="AR820" s="129"/>
      <c r="AS820" s="129"/>
      <c r="AT820" s="129"/>
      <c r="AU820" s="129"/>
      <c r="AV820" s="129"/>
      <c r="AW820" s="129"/>
      <c r="AX820" s="129"/>
      <c r="AY820" s="129"/>
      <c r="AZ820" s="129"/>
      <c r="BA820" s="129"/>
      <c r="BB820" s="129"/>
      <c r="BC820" s="129"/>
      <c r="BD820" s="129"/>
      <c r="BE820" s="129"/>
      <c r="BF820" s="144"/>
      <c r="BG820" s="129"/>
      <c r="BH820" s="129"/>
      <c r="BI820" s="129"/>
      <c r="BJ820" s="129"/>
      <c r="BK820" s="129"/>
      <c r="BL820" s="129"/>
      <c r="BM820" s="129"/>
      <c r="BN820" s="129"/>
      <c r="BO820" s="129"/>
      <c r="BP820" s="129"/>
      <c r="BQ820" s="129"/>
      <c r="BR820" s="129"/>
      <c r="BS820" s="129"/>
      <c r="BT820" s="129"/>
      <c r="BU820" s="129"/>
      <c r="BV820" s="129"/>
      <c r="BW820" s="129"/>
      <c r="BX820" s="129"/>
      <c r="BY820" s="129"/>
      <c r="BZ820" s="129"/>
      <c r="CA820" s="129"/>
      <c r="CB820" s="129"/>
      <c r="CC820" s="129"/>
      <c r="CD820" s="129"/>
    </row>
    <row r="82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129"/>
      <c r="AN821" s="144"/>
      <c r="AO821" s="129"/>
      <c r="AP821" s="129"/>
      <c r="AQ821" s="129"/>
      <c r="AR821" s="129"/>
      <c r="AS821" s="129"/>
      <c r="AT821" s="129"/>
      <c r="AU821" s="129"/>
      <c r="AV821" s="129"/>
      <c r="AW821" s="129"/>
      <c r="AX821" s="129"/>
      <c r="AY821" s="129"/>
      <c r="AZ821" s="129"/>
      <c r="BA821" s="129"/>
      <c r="BB821" s="129"/>
      <c r="BC821" s="129"/>
      <c r="BD821" s="129"/>
      <c r="BE821" s="129"/>
      <c r="BF821" s="144"/>
      <c r="BG821" s="129"/>
      <c r="BH821" s="129"/>
      <c r="BI821" s="129"/>
      <c r="BJ821" s="129"/>
      <c r="BK821" s="129"/>
      <c r="BL821" s="129"/>
      <c r="BM821" s="129"/>
      <c r="BN821" s="129"/>
      <c r="BO821" s="129"/>
      <c r="BP821" s="129"/>
      <c r="BQ821" s="129"/>
      <c r="BR821" s="129"/>
      <c r="BS821" s="129"/>
      <c r="BT821" s="129"/>
      <c r="BU821" s="129"/>
      <c r="BV821" s="129"/>
      <c r="BW821" s="129"/>
      <c r="BX821" s="129"/>
      <c r="BY821" s="129"/>
      <c r="BZ821" s="129"/>
      <c r="CA821" s="129"/>
      <c r="CB821" s="129"/>
      <c r="CC821" s="129"/>
      <c r="CD821" s="129"/>
    </row>
    <row r="82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29"/>
      <c r="AM822" s="129"/>
      <c r="AN822" s="144"/>
      <c r="AO822" s="129"/>
      <c r="AP822" s="129"/>
      <c r="AQ822" s="129"/>
      <c r="AR822" s="129"/>
      <c r="AS822" s="129"/>
      <c r="AT822" s="129"/>
      <c r="AU822" s="129"/>
      <c r="AV822" s="129"/>
      <c r="AW822" s="129"/>
      <c r="AX822" s="129"/>
      <c r="AY822" s="129"/>
      <c r="AZ822" s="129"/>
      <c r="BA822" s="129"/>
      <c r="BB822" s="129"/>
      <c r="BC822" s="129"/>
      <c r="BD822" s="129"/>
      <c r="BE822" s="129"/>
      <c r="BF822" s="144"/>
      <c r="BG822" s="129"/>
      <c r="BH822" s="129"/>
      <c r="BI822" s="129"/>
      <c r="BJ822" s="129"/>
      <c r="BK822" s="129"/>
      <c r="BL822" s="129"/>
      <c r="BM822" s="129"/>
      <c r="BN822" s="129"/>
      <c r="BO822" s="129"/>
      <c r="BP822" s="129"/>
      <c r="BQ822" s="129"/>
      <c r="BR822" s="129"/>
      <c r="BS822" s="129"/>
      <c r="BT822" s="129"/>
      <c r="BU822" s="129"/>
      <c r="BV822" s="129"/>
      <c r="BW822" s="129"/>
      <c r="BX822" s="129"/>
      <c r="BY822" s="129"/>
      <c r="BZ822" s="129"/>
      <c r="CA822" s="129"/>
      <c r="CB822" s="129"/>
      <c r="CC822" s="129"/>
      <c r="CD822" s="129"/>
    </row>
    <row r="823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29"/>
      <c r="AM823" s="129"/>
      <c r="AN823" s="144"/>
      <c r="AO823" s="129"/>
      <c r="AP823" s="129"/>
      <c r="AQ823" s="129"/>
      <c r="AR823" s="129"/>
      <c r="AS823" s="129"/>
      <c r="AT823" s="129"/>
      <c r="AU823" s="129"/>
      <c r="AV823" s="129"/>
      <c r="AW823" s="129"/>
      <c r="AX823" s="129"/>
      <c r="AY823" s="129"/>
      <c r="AZ823" s="129"/>
      <c r="BA823" s="129"/>
      <c r="BB823" s="129"/>
      <c r="BC823" s="129"/>
      <c r="BD823" s="129"/>
      <c r="BE823" s="129"/>
      <c r="BF823" s="144"/>
      <c r="BG823" s="129"/>
      <c r="BH823" s="129"/>
      <c r="BI823" s="129"/>
      <c r="BJ823" s="129"/>
      <c r="BK823" s="129"/>
      <c r="BL823" s="129"/>
      <c r="BM823" s="129"/>
      <c r="BN823" s="129"/>
      <c r="BO823" s="129"/>
      <c r="BP823" s="129"/>
      <c r="BQ823" s="129"/>
      <c r="BR823" s="129"/>
      <c r="BS823" s="129"/>
      <c r="BT823" s="129"/>
      <c r="BU823" s="129"/>
      <c r="BV823" s="129"/>
      <c r="BW823" s="129"/>
      <c r="BX823" s="129"/>
      <c r="BY823" s="129"/>
      <c r="BZ823" s="129"/>
      <c r="CA823" s="129"/>
      <c r="CB823" s="129"/>
      <c r="CC823" s="129"/>
      <c r="CD823" s="129"/>
    </row>
    <row r="824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129"/>
      <c r="AN824" s="144"/>
      <c r="AO824" s="129"/>
      <c r="AP824" s="129"/>
      <c r="AQ824" s="129"/>
      <c r="AR824" s="129"/>
      <c r="AS824" s="129"/>
      <c r="AT824" s="129"/>
      <c r="AU824" s="129"/>
      <c r="AV824" s="129"/>
      <c r="AW824" s="129"/>
      <c r="AX824" s="129"/>
      <c r="AY824" s="129"/>
      <c r="AZ824" s="129"/>
      <c r="BA824" s="129"/>
      <c r="BB824" s="129"/>
      <c r="BC824" s="129"/>
      <c r="BD824" s="129"/>
      <c r="BE824" s="129"/>
      <c r="BF824" s="144"/>
      <c r="BG824" s="129"/>
      <c r="BH824" s="129"/>
      <c r="BI824" s="129"/>
      <c r="BJ824" s="129"/>
      <c r="BK824" s="129"/>
      <c r="BL824" s="129"/>
      <c r="BM824" s="129"/>
      <c r="BN824" s="129"/>
      <c r="BO824" s="129"/>
      <c r="BP824" s="129"/>
      <c r="BQ824" s="129"/>
      <c r="BR824" s="129"/>
      <c r="BS824" s="129"/>
      <c r="BT824" s="129"/>
      <c r="BU824" s="129"/>
      <c r="BV824" s="129"/>
      <c r="BW824" s="129"/>
      <c r="BX824" s="129"/>
      <c r="BY824" s="129"/>
      <c r="BZ824" s="129"/>
      <c r="CA824" s="129"/>
      <c r="CB824" s="129"/>
      <c r="CC824" s="129"/>
      <c r="CD824" s="129"/>
    </row>
    <row r="825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29"/>
      <c r="AM825" s="129"/>
      <c r="AN825" s="144"/>
      <c r="AO825" s="129"/>
      <c r="AP825" s="129"/>
      <c r="AQ825" s="129"/>
      <c r="AR825" s="129"/>
      <c r="AS825" s="129"/>
      <c r="AT825" s="129"/>
      <c r="AU825" s="129"/>
      <c r="AV825" s="129"/>
      <c r="AW825" s="129"/>
      <c r="AX825" s="129"/>
      <c r="AY825" s="129"/>
      <c r="AZ825" s="129"/>
      <c r="BA825" s="129"/>
      <c r="BB825" s="129"/>
      <c r="BC825" s="129"/>
      <c r="BD825" s="129"/>
      <c r="BE825" s="129"/>
      <c r="BF825" s="144"/>
      <c r="BG825" s="129"/>
      <c r="BH825" s="129"/>
      <c r="BI825" s="129"/>
      <c r="BJ825" s="129"/>
      <c r="BK825" s="129"/>
      <c r="BL825" s="129"/>
      <c r="BM825" s="129"/>
      <c r="BN825" s="129"/>
      <c r="BO825" s="129"/>
      <c r="BP825" s="129"/>
      <c r="BQ825" s="129"/>
      <c r="BR825" s="129"/>
      <c r="BS825" s="129"/>
      <c r="BT825" s="129"/>
      <c r="BU825" s="129"/>
      <c r="BV825" s="129"/>
      <c r="BW825" s="129"/>
      <c r="BX825" s="129"/>
      <c r="BY825" s="129"/>
      <c r="BZ825" s="129"/>
      <c r="CA825" s="129"/>
      <c r="CB825" s="129"/>
      <c r="CC825" s="129"/>
      <c r="CD825" s="129"/>
    </row>
    <row r="826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129"/>
      <c r="AN826" s="144"/>
      <c r="AO826" s="129"/>
      <c r="AP826" s="129"/>
      <c r="AQ826" s="129"/>
      <c r="AR826" s="129"/>
      <c r="AS826" s="129"/>
      <c r="AT826" s="129"/>
      <c r="AU826" s="129"/>
      <c r="AV826" s="129"/>
      <c r="AW826" s="129"/>
      <c r="AX826" s="129"/>
      <c r="AY826" s="129"/>
      <c r="AZ826" s="129"/>
      <c r="BA826" s="129"/>
      <c r="BB826" s="129"/>
      <c r="BC826" s="129"/>
      <c r="BD826" s="129"/>
      <c r="BE826" s="129"/>
      <c r="BF826" s="144"/>
      <c r="BG826" s="129"/>
      <c r="BH826" s="129"/>
      <c r="BI826" s="129"/>
      <c r="BJ826" s="129"/>
      <c r="BK826" s="129"/>
      <c r="BL826" s="129"/>
      <c r="BM826" s="129"/>
      <c r="BN826" s="129"/>
      <c r="BO826" s="129"/>
      <c r="BP826" s="129"/>
      <c r="BQ826" s="129"/>
      <c r="BR826" s="129"/>
      <c r="BS826" s="129"/>
      <c r="BT826" s="129"/>
      <c r="BU826" s="129"/>
      <c r="BV826" s="129"/>
      <c r="BW826" s="129"/>
      <c r="BX826" s="129"/>
      <c r="BY826" s="129"/>
      <c r="BZ826" s="129"/>
      <c r="CA826" s="129"/>
      <c r="CB826" s="129"/>
      <c r="CC826" s="129"/>
      <c r="CD826" s="129"/>
    </row>
    <row r="827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29"/>
      <c r="AM827" s="129"/>
      <c r="AN827" s="144"/>
      <c r="AO827" s="129"/>
      <c r="AP827" s="129"/>
      <c r="AQ827" s="129"/>
      <c r="AR827" s="129"/>
      <c r="AS827" s="129"/>
      <c r="AT827" s="129"/>
      <c r="AU827" s="129"/>
      <c r="AV827" s="129"/>
      <c r="AW827" s="129"/>
      <c r="AX827" s="129"/>
      <c r="AY827" s="129"/>
      <c r="AZ827" s="129"/>
      <c r="BA827" s="129"/>
      <c r="BB827" s="129"/>
      <c r="BC827" s="129"/>
      <c r="BD827" s="129"/>
      <c r="BE827" s="129"/>
      <c r="BF827" s="144"/>
      <c r="BG827" s="129"/>
      <c r="BH827" s="129"/>
      <c r="BI827" s="129"/>
      <c r="BJ827" s="129"/>
      <c r="BK827" s="129"/>
      <c r="BL827" s="129"/>
      <c r="BM827" s="129"/>
      <c r="BN827" s="129"/>
      <c r="BO827" s="129"/>
      <c r="BP827" s="129"/>
      <c r="BQ827" s="129"/>
      <c r="BR827" s="129"/>
      <c r="BS827" s="129"/>
      <c r="BT827" s="129"/>
      <c r="BU827" s="129"/>
      <c r="BV827" s="129"/>
      <c r="BW827" s="129"/>
      <c r="BX827" s="129"/>
      <c r="BY827" s="129"/>
      <c r="BZ827" s="129"/>
      <c r="CA827" s="129"/>
      <c r="CB827" s="129"/>
      <c r="CC827" s="129"/>
      <c r="CD827" s="129"/>
    </row>
    <row r="828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29"/>
      <c r="AM828" s="129"/>
      <c r="AN828" s="144"/>
      <c r="AO828" s="129"/>
      <c r="AP828" s="129"/>
      <c r="AQ828" s="129"/>
      <c r="AR828" s="129"/>
      <c r="AS828" s="129"/>
      <c r="AT828" s="129"/>
      <c r="AU828" s="129"/>
      <c r="AV828" s="129"/>
      <c r="AW828" s="129"/>
      <c r="AX828" s="129"/>
      <c r="AY828" s="129"/>
      <c r="AZ828" s="129"/>
      <c r="BA828" s="129"/>
      <c r="BB828" s="129"/>
      <c r="BC828" s="129"/>
      <c r="BD828" s="129"/>
      <c r="BE828" s="129"/>
      <c r="BF828" s="144"/>
      <c r="BG828" s="129"/>
      <c r="BH828" s="129"/>
      <c r="BI828" s="129"/>
      <c r="BJ828" s="129"/>
      <c r="BK828" s="129"/>
      <c r="BL828" s="129"/>
      <c r="BM828" s="129"/>
      <c r="BN828" s="129"/>
      <c r="BO828" s="129"/>
      <c r="BP828" s="129"/>
      <c r="BQ828" s="129"/>
      <c r="BR828" s="129"/>
      <c r="BS828" s="129"/>
      <c r="BT828" s="129"/>
      <c r="BU828" s="129"/>
      <c r="BV828" s="129"/>
      <c r="BW828" s="129"/>
      <c r="BX828" s="129"/>
      <c r="BY828" s="129"/>
      <c r="BZ828" s="129"/>
      <c r="CA828" s="129"/>
      <c r="CB828" s="129"/>
      <c r="CC828" s="129"/>
      <c r="CD828" s="129"/>
    </row>
    <row r="829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129"/>
      <c r="AN829" s="144"/>
      <c r="AO829" s="129"/>
      <c r="AP829" s="129"/>
      <c r="AQ829" s="129"/>
      <c r="AR829" s="129"/>
      <c r="AS829" s="129"/>
      <c r="AT829" s="129"/>
      <c r="AU829" s="129"/>
      <c r="AV829" s="129"/>
      <c r="AW829" s="129"/>
      <c r="AX829" s="129"/>
      <c r="AY829" s="129"/>
      <c r="AZ829" s="129"/>
      <c r="BA829" s="129"/>
      <c r="BB829" s="129"/>
      <c r="BC829" s="129"/>
      <c r="BD829" s="129"/>
      <c r="BE829" s="129"/>
      <c r="BF829" s="144"/>
      <c r="BG829" s="129"/>
      <c r="BH829" s="129"/>
      <c r="BI829" s="129"/>
      <c r="BJ829" s="129"/>
      <c r="BK829" s="129"/>
      <c r="BL829" s="129"/>
      <c r="BM829" s="129"/>
      <c r="BN829" s="129"/>
      <c r="BO829" s="129"/>
      <c r="BP829" s="129"/>
      <c r="BQ829" s="129"/>
      <c r="BR829" s="129"/>
      <c r="BS829" s="129"/>
      <c r="BT829" s="129"/>
      <c r="BU829" s="129"/>
      <c r="BV829" s="129"/>
      <c r="BW829" s="129"/>
      <c r="BX829" s="129"/>
      <c r="BY829" s="129"/>
      <c r="BZ829" s="129"/>
      <c r="CA829" s="129"/>
      <c r="CB829" s="129"/>
      <c r="CC829" s="129"/>
      <c r="CD829" s="129"/>
    </row>
    <row r="830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29"/>
      <c r="AM830" s="129"/>
      <c r="AN830" s="144"/>
      <c r="AO830" s="129"/>
      <c r="AP830" s="129"/>
      <c r="AQ830" s="129"/>
      <c r="AR830" s="129"/>
      <c r="AS830" s="129"/>
      <c r="AT830" s="129"/>
      <c r="AU830" s="129"/>
      <c r="AV830" s="129"/>
      <c r="AW830" s="129"/>
      <c r="AX830" s="129"/>
      <c r="AY830" s="129"/>
      <c r="AZ830" s="129"/>
      <c r="BA830" s="129"/>
      <c r="BB830" s="129"/>
      <c r="BC830" s="129"/>
      <c r="BD830" s="129"/>
      <c r="BE830" s="129"/>
      <c r="BF830" s="144"/>
      <c r="BG830" s="129"/>
      <c r="BH830" s="129"/>
      <c r="BI830" s="129"/>
      <c r="BJ830" s="129"/>
      <c r="BK830" s="129"/>
      <c r="BL830" s="129"/>
      <c r="BM830" s="129"/>
      <c r="BN830" s="129"/>
      <c r="BO830" s="129"/>
      <c r="BP830" s="129"/>
      <c r="BQ830" s="129"/>
      <c r="BR830" s="129"/>
      <c r="BS830" s="129"/>
      <c r="BT830" s="129"/>
      <c r="BU830" s="129"/>
      <c r="BV830" s="129"/>
      <c r="BW830" s="129"/>
      <c r="BX830" s="129"/>
      <c r="BY830" s="129"/>
      <c r="BZ830" s="129"/>
      <c r="CA830" s="129"/>
      <c r="CB830" s="129"/>
      <c r="CC830" s="129"/>
      <c r="CD830" s="129"/>
    </row>
    <row r="83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29"/>
      <c r="AM831" s="129"/>
      <c r="AN831" s="144"/>
      <c r="AO831" s="129"/>
      <c r="AP831" s="129"/>
      <c r="AQ831" s="129"/>
      <c r="AR831" s="129"/>
      <c r="AS831" s="129"/>
      <c r="AT831" s="129"/>
      <c r="AU831" s="129"/>
      <c r="AV831" s="129"/>
      <c r="AW831" s="129"/>
      <c r="AX831" s="129"/>
      <c r="AY831" s="129"/>
      <c r="AZ831" s="129"/>
      <c r="BA831" s="129"/>
      <c r="BB831" s="129"/>
      <c r="BC831" s="129"/>
      <c r="BD831" s="129"/>
      <c r="BE831" s="129"/>
      <c r="BF831" s="144"/>
      <c r="BG831" s="129"/>
      <c r="BH831" s="129"/>
      <c r="BI831" s="129"/>
      <c r="BJ831" s="129"/>
      <c r="BK831" s="129"/>
      <c r="BL831" s="129"/>
      <c r="BM831" s="129"/>
      <c r="BN831" s="129"/>
      <c r="BO831" s="129"/>
      <c r="BP831" s="129"/>
      <c r="BQ831" s="129"/>
      <c r="BR831" s="129"/>
      <c r="BS831" s="129"/>
      <c r="BT831" s="129"/>
      <c r="BU831" s="129"/>
      <c r="BV831" s="129"/>
      <c r="BW831" s="129"/>
      <c r="BX831" s="129"/>
      <c r="BY831" s="129"/>
      <c r="BZ831" s="129"/>
      <c r="CA831" s="129"/>
      <c r="CB831" s="129"/>
      <c r="CC831" s="129"/>
      <c r="CD831" s="129"/>
    </row>
    <row r="83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29"/>
      <c r="AM832" s="129"/>
      <c r="AN832" s="144"/>
      <c r="AO832" s="129"/>
      <c r="AP832" s="129"/>
      <c r="AQ832" s="129"/>
      <c r="AR832" s="129"/>
      <c r="AS832" s="129"/>
      <c r="AT832" s="129"/>
      <c r="AU832" s="129"/>
      <c r="AV832" s="129"/>
      <c r="AW832" s="129"/>
      <c r="AX832" s="129"/>
      <c r="AY832" s="129"/>
      <c r="AZ832" s="129"/>
      <c r="BA832" s="129"/>
      <c r="BB832" s="129"/>
      <c r="BC832" s="129"/>
      <c r="BD832" s="129"/>
      <c r="BE832" s="129"/>
      <c r="BF832" s="144"/>
      <c r="BG832" s="129"/>
      <c r="BH832" s="129"/>
      <c r="BI832" s="129"/>
      <c r="BJ832" s="129"/>
      <c r="BK832" s="129"/>
      <c r="BL832" s="129"/>
      <c r="BM832" s="129"/>
      <c r="BN832" s="129"/>
      <c r="BO832" s="129"/>
      <c r="BP832" s="129"/>
      <c r="BQ832" s="129"/>
      <c r="BR832" s="129"/>
      <c r="BS832" s="129"/>
      <c r="BT832" s="129"/>
      <c r="BU832" s="129"/>
      <c r="BV832" s="129"/>
      <c r="BW832" s="129"/>
      <c r="BX832" s="129"/>
      <c r="BY832" s="129"/>
      <c r="BZ832" s="129"/>
      <c r="CA832" s="129"/>
      <c r="CB832" s="129"/>
      <c r="CC832" s="129"/>
      <c r="CD832" s="129"/>
    </row>
    <row r="833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29"/>
      <c r="AM833" s="129"/>
      <c r="AN833" s="144"/>
      <c r="AO833" s="129"/>
      <c r="AP833" s="129"/>
      <c r="AQ833" s="129"/>
      <c r="AR833" s="129"/>
      <c r="AS833" s="129"/>
      <c r="AT833" s="129"/>
      <c r="AU833" s="129"/>
      <c r="AV833" s="129"/>
      <c r="AW833" s="129"/>
      <c r="AX833" s="129"/>
      <c r="AY833" s="129"/>
      <c r="AZ833" s="129"/>
      <c r="BA833" s="129"/>
      <c r="BB833" s="129"/>
      <c r="BC833" s="129"/>
      <c r="BD833" s="129"/>
      <c r="BE833" s="129"/>
      <c r="BF833" s="144"/>
      <c r="BG833" s="129"/>
      <c r="BH833" s="129"/>
      <c r="BI833" s="129"/>
      <c r="BJ833" s="129"/>
      <c r="BK833" s="129"/>
      <c r="BL833" s="129"/>
      <c r="BM833" s="129"/>
      <c r="BN833" s="129"/>
      <c r="BO833" s="129"/>
      <c r="BP833" s="129"/>
      <c r="BQ833" s="129"/>
      <c r="BR833" s="129"/>
      <c r="BS833" s="129"/>
      <c r="BT833" s="129"/>
      <c r="BU833" s="129"/>
      <c r="BV833" s="129"/>
      <c r="BW833" s="129"/>
      <c r="BX833" s="129"/>
      <c r="BY833" s="129"/>
      <c r="BZ833" s="129"/>
      <c r="CA833" s="129"/>
      <c r="CB833" s="129"/>
      <c r="CC833" s="129"/>
      <c r="CD833" s="129"/>
    </row>
    <row r="834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29"/>
      <c r="AM834" s="129"/>
      <c r="AN834" s="144"/>
      <c r="AO834" s="129"/>
      <c r="AP834" s="129"/>
      <c r="AQ834" s="129"/>
      <c r="AR834" s="129"/>
      <c r="AS834" s="129"/>
      <c r="AT834" s="129"/>
      <c r="AU834" s="129"/>
      <c r="AV834" s="129"/>
      <c r="AW834" s="129"/>
      <c r="AX834" s="129"/>
      <c r="AY834" s="129"/>
      <c r="AZ834" s="129"/>
      <c r="BA834" s="129"/>
      <c r="BB834" s="129"/>
      <c r="BC834" s="129"/>
      <c r="BD834" s="129"/>
      <c r="BE834" s="129"/>
      <c r="BF834" s="144"/>
      <c r="BG834" s="129"/>
      <c r="BH834" s="129"/>
      <c r="BI834" s="129"/>
      <c r="BJ834" s="129"/>
      <c r="BK834" s="129"/>
      <c r="BL834" s="129"/>
      <c r="BM834" s="129"/>
      <c r="BN834" s="129"/>
      <c r="BO834" s="129"/>
      <c r="BP834" s="129"/>
      <c r="BQ834" s="129"/>
      <c r="BR834" s="129"/>
      <c r="BS834" s="129"/>
      <c r="BT834" s="129"/>
      <c r="BU834" s="129"/>
      <c r="BV834" s="129"/>
      <c r="BW834" s="129"/>
      <c r="BX834" s="129"/>
      <c r="BY834" s="129"/>
      <c r="BZ834" s="129"/>
      <c r="CA834" s="129"/>
      <c r="CB834" s="129"/>
      <c r="CC834" s="129"/>
      <c r="CD834" s="129"/>
    </row>
    <row r="835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129"/>
      <c r="AN835" s="144"/>
      <c r="AO835" s="129"/>
      <c r="AP835" s="129"/>
      <c r="AQ835" s="129"/>
      <c r="AR835" s="129"/>
      <c r="AS835" s="129"/>
      <c r="AT835" s="129"/>
      <c r="AU835" s="129"/>
      <c r="AV835" s="129"/>
      <c r="AW835" s="129"/>
      <c r="AX835" s="129"/>
      <c r="AY835" s="129"/>
      <c r="AZ835" s="129"/>
      <c r="BA835" s="129"/>
      <c r="BB835" s="129"/>
      <c r="BC835" s="129"/>
      <c r="BD835" s="129"/>
      <c r="BE835" s="129"/>
      <c r="BF835" s="144"/>
      <c r="BG835" s="129"/>
      <c r="BH835" s="129"/>
      <c r="BI835" s="129"/>
      <c r="BJ835" s="129"/>
      <c r="BK835" s="129"/>
      <c r="BL835" s="129"/>
      <c r="BM835" s="129"/>
      <c r="BN835" s="129"/>
      <c r="BO835" s="129"/>
      <c r="BP835" s="129"/>
      <c r="BQ835" s="129"/>
      <c r="BR835" s="129"/>
      <c r="BS835" s="129"/>
      <c r="BT835" s="129"/>
      <c r="BU835" s="129"/>
      <c r="BV835" s="129"/>
      <c r="BW835" s="129"/>
      <c r="BX835" s="129"/>
      <c r="BY835" s="129"/>
      <c r="BZ835" s="129"/>
      <c r="CA835" s="129"/>
      <c r="CB835" s="129"/>
      <c r="CC835" s="129"/>
      <c r="CD835" s="129"/>
    </row>
    <row r="836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129"/>
      <c r="AN836" s="144"/>
      <c r="AO836" s="129"/>
      <c r="AP836" s="129"/>
      <c r="AQ836" s="129"/>
      <c r="AR836" s="129"/>
      <c r="AS836" s="129"/>
      <c r="AT836" s="129"/>
      <c r="AU836" s="129"/>
      <c r="AV836" s="129"/>
      <c r="AW836" s="129"/>
      <c r="AX836" s="129"/>
      <c r="AY836" s="129"/>
      <c r="AZ836" s="129"/>
      <c r="BA836" s="129"/>
      <c r="BB836" s="129"/>
      <c r="BC836" s="129"/>
      <c r="BD836" s="129"/>
      <c r="BE836" s="129"/>
      <c r="BF836" s="144"/>
      <c r="BG836" s="129"/>
      <c r="BH836" s="129"/>
      <c r="BI836" s="129"/>
      <c r="BJ836" s="129"/>
      <c r="BK836" s="129"/>
      <c r="BL836" s="129"/>
      <c r="BM836" s="129"/>
      <c r="BN836" s="129"/>
      <c r="BO836" s="129"/>
      <c r="BP836" s="129"/>
      <c r="BQ836" s="129"/>
      <c r="BR836" s="129"/>
      <c r="BS836" s="129"/>
      <c r="BT836" s="129"/>
      <c r="BU836" s="129"/>
      <c r="BV836" s="129"/>
      <c r="BW836" s="129"/>
      <c r="BX836" s="129"/>
      <c r="BY836" s="129"/>
      <c r="BZ836" s="129"/>
      <c r="CA836" s="129"/>
      <c r="CB836" s="129"/>
      <c r="CC836" s="129"/>
      <c r="CD836" s="129"/>
    </row>
    <row r="837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129"/>
      <c r="AN837" s="144"/>
      <c r="AO837" s="129"/>
      <c r="AP837" s="129"/>
      <c r="AQ837" s="129"/>
      <c r="AR837" s="129"/>
      <c r="AS837" s="129"/>
      <c r="AT837" s="129"/>
      <c r="AU837" s="129"/>
      <c r="AV837" s="129"/>
      <c r="AW837" s="129"/>
      <c r="AX837" s="129"/>
      <c r="AY837" s="129"/>
      <c r="AZ837" s="129"/>
      <c r="BA837" s="129"/>
      <c r="BB837" s="129"/>
      <c r="BC837" s="129"/>
      <c r="BD837" s="129"/>
      <c r="BE837" s="129"/>
      <c r="BF837" s="144"/>
      <c r="BG837" s="129"/>
      <c r="BH837" s="129"/>
      <c r="BI837" s="129"/>
      <c r="BJ837" s="129"/>
      <c r="BK837" s="129"/>
      <c r="BL837" s="129"/>
      <c r="BM837" s="129"/>
      <c r="BN837" s="129"/>
      <c r="BO837" s="129"/>
      <c r="BP837" s="129"/>
      <c r="BQ837" s="129"/>
      <c r="BR837" s="129"/>
      <c r="BS837" s="129"/>
      <c r="BT837" s="129"/>
      <c r="BU837" s="129"/>
      <c r="BV837" s="129"/>
      <c r="BW837" s="129"/>
      <c r="BX837" s="129"/>
      <c r="BY837" s="129"/>
      <c r="BZ837" s="129"/>
      <c r="CA837" s="129"/>
      <c r="CB837" s="129"/>
      <c r="CC837" s="129"/>
      <c r="CD837" s="129"/>
    </row>
    <row r="838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129"/>
      <c r="AN838" s="144"/>
      <c r="AO838" s="129"/>
      <c r="AP838" s="129"/>
      <c r="AQ838" s="129"/>
      <c r="AR838" s="129"/>
      <c r="AS838" s="129"/>
      <c r="AT838" s="129"/>
      <c r="AU838" s="129"/>
      <c r="AV838" s="129"/>
      <c r="AW838" s="129"/>
      <c r="AX838" s="129"/>
      <c r="AY838" s="129"/>
      <c r="AZ838" s="129"/>
      <c r="BA838" s="129"/>
      <c r="BB838" s="129"/>
      <c r="BC838" s="129"/>
      <c r="BD838" s="129"/>
      <c r="BE838" s="129"/>
      <c r="BF838" s="144"/>
      <c r="BG838" s="129"/>
      <c r="BH838" s="129"/>
      <c r="BI838" s="129"/>
      <c r="BJ838" s="129"/>
      <c r="BK838" s="129"/>
      <c r="BL838" s="129"/>
      <c r="BM838" s="129"/>
      <c r="BN838" s="129"/>
      <c r="BO838" s="129"/>
      <c r="BP838" s="129"/>
      <c r="BQ838" s="129"/>
      <c r="BR838" s="129"/>
      <c r="BS838" s="129"/>
      <c r="BT838" s="129"/>
      <c r="BU838" s="129"/>
      <c r="BV838" s="129"/>
      <c r="BW838" s="129"/>
      <c r="BX838" s="129"/>
      <c r="BY838" s="129"/>
      <c r="BZ838" s="129"/>
      <c r="CA838" s="129"/>
      <c r="CB838" s="129"/>
      <c r="CC838" s="129"/>
      <c r="CD838" s="129"/>
    </row>
    <row r="839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129"/>
      <c r="AN839" s="144"/>
      <c r="AO839" s="129"/>
      <c r="AP839" s="129"/>
      <c r="AQ839" s="129"/>
      <c r="AR839" s="129"/>
      <c r="AS839" s="129"/>
      <c r="AT839" s="129"/>
      <c r="AU839" s="129"/>
      <c r="AV839" s="129"/>
      <c r="AW839" s="129"/>
      <c r="AX839" s="129"/>
      <c r="AY839" s="129"/>
      <c r="AZ839" s="129"/>
      <c r="BA839" s="129"/>
      <c r="BB839" s="129"/>
      <c r="BC839" s="129"/>
      <c r="BD839" s="129"/>
      <c r="BE839" s="129"/>
      <c r="BF839" s="144"/>
      <c r="BG839" s="129"/>
      <c r="BH839" s="129"/>
      <c r="BI839" s="129"/>
      <c r="BJ839" s="129"/>
      <c r="BK839" s="129"/>
      <c r="BL839" s="129"/>
      <c r="BM839" s="129"/>
      <c r="BN839" s="129"/>
      <c r="BO839" s="129"/>
      <c r="BP839" s="129"/>
      <c r="BQ839" s="129"/>
      <c r="BR839" s="129"/>
      <c r="BS839" s="129"/>
      <c r="BT839" s="129"/>
      <c r="BU839" s="129"/>
      <c r="BV839" s="129"/>
      <c r="BW839" s="129"/>
      <c r="BX839" s="129"/>
      <c r="BY839" s="129"/>
      <c r="BZ839" s="129"/>
      <c r="CA839" s="129"/>
      <c r="CB839" s="129"/>
      <c r="CC839" s="129"/>
      <c r="CD839" s="129"/>
    </row>
    <row r="840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129"/>
      <c r="AN840" s="144"/>
      <c r="AO840" s="129"/>
      <c r="AP840" s="129"/>
      <c r="AQ840" s="129"/>
      <c r="AR840" s="129"/>
      <c r="AS840" s="129"/>
      <c r="AT840" s="129"/>
      <c r="AU840" s="129"/>
      <c r="AV840" s="129"/>
      <c r="AW840" s="129"/>
      <c r="AX840" s="129"/>
      <c r="AY840" s="129"/>
      <c r="AZ840" s="129"/>
      <c r="BA840" s="129"/>
      <c r="BB840" s="129"/>
      <c r="BC840" s="129"/>
      <c r="BD840" s="129"/>
      <c r="BE840" s="129"/>
      <c r="BF840" s="144"/>
      <c r="BG840" s="129"/>
      <c r="BH840" s="129"/>
      <c r="BI840" s="129"/>
      <c r="BJ840" s="129"/>
      <c r="BK840" s="129"/>
      <c r="BL840" s="129"/>
      <c r="BM840" s="129"/>
      <c r="BN840" s="129"/>
      <c r="BO840" s="129"/>
      <c r="BP840" s="129"/>
      <c r="BQ840" s="129"/>
      <c r="BR840" s="129"/>
      <c r="BS840" s="129"/>
      <c r="BT840" s="129"/>
      <c r="BU840" s="129"/>
      <c r="BV840" s="129"/>
      <c r="BW840" s="129"/>
      <c r="BX840" s="129"/>
      <c r="BY840" s="129"/>
      <c r="BZ840" s="129"/>
      <c r="CA840" s="129"/>
      <c r="CB840" s="129"/>
      <c r="CC840" s="129"/>
      <c r="CD840" s="129"/>
    </row>
    <row r="84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129"/>
      <c r="AN841" s="144"/>
      <c r="AO841" s="129"/>
      <c r="AP841" s="129"/>
      <c r="AQ841" s="129"/>
      <c r="AR841" s="129"/>
      <c r="AS841" s="129"/>
      <c r="AT841" s="129"/>
      <c r="AU841" s="129"/>
      <c r="AV841" s="129"/>
      <c r="AW841" s="129"/>
      <c r="AX841" s="129"/>
      <c r="AY841" s="129"/>
      <c r="AZ841" s="129"/>
      <c r="BA841" s="129"/>
      <c r="BB841" s="129"/>
      <c r="BC841" s="129"/>
      <c r="BD841" s="129"/>
      <c r="BE841" s="129"/>
      <c r="BF841" s="144"/>
      <c r="BG841" s="129"/>
      <c r="BH841" s="129"/>
      <c r="BI841" s="129"/>
      <c r="BJ841" s="129"/>
      <c r="BK841" s="129"/>
      <c r="BL841" s="129"/>
      <c r="BM841" s="129"/>
      <c r="BN841" s="129"/>
      <c r="BO841" s="129"/>
      <c r="BP841" s="129"/>
      <c r="BQ841" s="129"/>
      <c r="BR841" s="129"/>
      <c r="BS841" s="129"/>
      <c r="BT841" s="129"/>
      <c r="BU841" s="129"/>
      <c r="BV841" s="129"/>
      <c r="BW841" s="129"/>
      <c r="BX841" s="129"/>
      <c r="BY841" s="129"/>
      <c r="BZ841" s="129"/>
      <c r="CA841" s="129"/>
      <c r="CB841" s="129"/>
      <c r="CC841" s="129"/>
      <c r="CD841" s="129"/>
    </row>
    <row r="84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44"/>
      <c r="AO842" s="129"/>
      <c r="AP842" s="129"/>
      <c r="AQ842" s="129"/>
      <c r="AR842" s="129"/>
      <c r="AS842" s="129"/>
      <c r="AT842" s="129"/>
      <c r="AU842" s="129"/>
      <c r="AV842" s="129"/>
      <c r="AW842" s="129"/>
      <c r="AX842" s="129"/>
      <c r="AY842" s="129"/>
      <c r="AZ842" s="129"/>
      <c r="BA842" s="129"/>
      <c r="BB842" s="129"/>
      <c r="BC842" s="129"/>
      <c r="BD842" s="129"/>
      <c r="BE842" s="129"/>
      <c r="BF842" s="144"/>
      <c r="BG842" s="129"/>
      <c r="BH842" s="129"/>
      <c r="BI842" s="129"/>
      <c r="BJ842" s="129"/>
      <c r="BK842" s="129"/>
      <c r="BL842" s="129"/>
      <c r="BM842" s="129"/>
      <c r="BN842" s="129"/>
      <c r="BO842" s="129"/>
      <c r="BP842" s="129"/>
      <c r="BQ842" s="129"/>
      <c r="BR842" s="129"/>
      <c r="BS842" s="129"/>
      <c r="BT842" s="129"/>
      <c r="BU842" s="129"/>
      <c r="BV842" s="129"/>
      <c r="BW842" s="129"/>
      <c r="BX842" s="129"/>
      <c r="BY842" s="129"/>
      <c r="BZ842" s="129"/>
      <c r="CA842" s="129"/>
      <c r="CB842" s="129"/>
      <c r="CC842" s="129"/>
      <c r="CD842" s="129"/>
    </row>
    <row r="843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44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44"/>
      <c r="BG843" s="129"/>
      <c r="BH843" s="129"/>
      <c r="BI843" s="129"/>
      <c r="BJ843" s="129"/>
      <c r="BK843" s="129"/>
      <c r="BL843" s="129"/>
      <c r="BM843" s="129"/>
      <c r="BN843" s="129"/>
      <c r="BO843" s="129"/>
      <c r="BP843" s="129"/>
      <c r="BQ843" s="129"/>
      <c r="BR843" s="129"/>
      <c r="BS843" s="129"/>
      <c r="BT843" s="129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</row>
    <row r="844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29"/>
      <c r="AM844" s="129"/>
      <c r="AN844" s="144"/>
      <c r="AO844" s="129"/>
      <c r="AP844" s="129"/>
      <c r="AQ844" s="129"/>
      <c r="AR844" s="129"/>
      <c r="AS844" s="129"/>
      <c r="AT844" s="129"/>
      <c r="AU844" s="129"/>
      <c r="AV844" s="129"/>
      <c r="AW844" s="129"/>
      <c r="AX844" s="129"/>
      <c r="AY844" s="129"/>
      <c r="AZ844" s="129"/>
      <c r="BA844" s="129"/>
      <c r="BB844" s="129"/>
      <c r="BC844" s="129"/>
      <c r="BD844" s="129"/>
      <c r="BE844" s="129"/>
      <c r="BF844" s="144"/>
      <c r="BG844" s="129"/>
      <c r="BH844" s="129"/>
      <c r="BI844" s="129"/>
      <c r="BJ844" s="129"/>
      <c r="BK844" s="129"/>
      <c r="BL844" s="129"/>
      <c r="BM844" s="129"/>
      <c r="BN844" s="129"/>
      <c r="BO844" s="129"/>
      <c r="BP844" s="129"/>
      <c r="BQ844" s="129"/>
      <c r="BR844" s="129"/>
      <c r="BS844" s="129"/>
      <c r="BT844" s="129"/>
      <c r="BU844" s="129"/>
      <c r="BV844" s="129"/>
      <c r="BW844" s="129"/>
      <c r="BX844" s="129"/>
      <c r="BY844" s="129"/>
      <c r="BZ844" s="129"/>
      <c r="CA844" s="129"/>
      <c r="CB844" s="129"/>
      <c r="CC844" s="129"/>
      <c r="CD844" s="129"/>
    </row>
    <row r="845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29"/>
      <c r="AM845" s="129"/>
      <c r="AN845" s="144"/>
      <c r="AO845" s="129"/>
      <c r="AP845" s="129"/>
      <c r="AQ845" s="129"/>
      <c r="AR845" s="129"/>
      <c r="AS845" s="129"/>
      <c r="AT845" s="129"/>
      <c r="AU845" s="129"/>
      <c r="AV845" s="129"/>
      <c r="AW845" s="129"/>
      <c r="AX845" s="129"/>
      <c r="AY845" s="129"/>
      <c r="AZ845" s="129"/>
      <c r="BA845" s="129"/>
      <c r="BB845" s="129"/>
      <c r="BC845" s="129"/>
      <c r="BD845" s="129"/>
      <c r="BE845" s="129"/>
      <c r="BF845" s="144"/>
      <c r="BG845" s="129"/>
      <c r="BH845" s="129"/>
      <c r="BI845" s="129"/>
      <c r="BJ845" s="129"/>
      <c r="BK845" s="129"/>
      <c r="BL845" s="129"/>
      <c r="BM845" s="129"/>
      <c r="BN845" s="129"/>
      <c r="BO845" s="129"/>
      <c r="BP845" s="129"/>
      <c r="BQ845" s="129"/>
      <c r="BR845" s="129"/>
      <c r="BS845" s="129"/>
      <c r="BT845" s="129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</row>
    <row r="846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44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44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</row>
    <row r="847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44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44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</row>
    <row r="848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44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44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</row>
    <row r="849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44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44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</row>
    <row r="850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44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44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</row>
    <row r="85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44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44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</row>
    <row r="85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44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44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</row>
    <row r="853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44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44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</row>
    <row r="854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44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44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</row>
    <row r="855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44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44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</row>
    <row r="856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29"/>
      <c r="AM856" s="129"/>
      <c r="AN856" s="144"/>
      <c r="AO856" s="129"/>
      <c r="AP856" s="129"/>
      <c r="AQ856" s="129"/>
      <c r="AR856" s="129"/>
      <c r="AS856" s="129"/>
      <c r="AT856" s="129"/>
      <c r="AU856" s="129"/>
      <c r="AV856" s="129"/>
      <c r="AW856" s="129"/>
      <c r="AX856" s="129"/>
      <c r="AY856" s="129"/>
      <c r="AZ856" s="129"/>
      <c r="BA856" s="129"/>
      <c r="BB856" s="129"/>
      <c r="BC856" s="129"/>
      <c r="BD856" s="129"/>
      <c r="BE856" s="129"/>
      <c r="BF856" s="144"/>
      <c r="BG856" s="129"/>
      <c r="BH856" s="129"/>
      <c r="BI856" s="129"/>
      <c r="BJ856" s="129"/>
      <c r="BK856" s="129"/>
      <c r="BL856" s="129"/>
      <c r="BM856" s="129"/>
      <c r="BN856" s="129"/>
      <c r="BO856" s="129"/>
      <c r="BP856" s="129"/>
      <c r="BQ856" s="129"/>
      <c r="BR856" s="129"/>
      <c r="BS856" s="129"/>
      <c r="BT856" s="129"/>
      <c r="BU856" s="129"/>
      <c r="BV856" s="129"/>
      <c r="BW856" s="129"/>
      <c r="BX856" s="129"/>
      <c r="BY856" s="129"/>
      <c r="BZ856" s="129"/>
      <c r="CA856" s="129"/>
      <c r="CB856" s="129"/>
      <c r="CC856" s="129"/>
      <c r="CD856" s="129"/>
    </row>
    <row r="857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29"/>
      <c r="AM857" s="129"/>
      <c r="AN857" s="144"/>
      <c r="AO857" s="129"/>
      <c r="AP857" s="129"/>
      <c r="AQ857" s="129"/>
      <c r="AR857" s="129"/>
      <c r="AS857" s="129"/>
      <c r="AT857" s="129"/>
      <c r="AU857" s="129"/>
      <c r="AV857" s="129"/>
      <c r="AW857" s="129"/>
      <c r="AX857" s="129"/>
      <c r="AY857" s="129"/>
      <c r="AZ857" s="129"/>
      <c r="BA857" s="129"/>
      <c r="BB857" s="129"/>
      <c r="BC857" s="129"/>
      <c r="BD857" s="129"/>
      <c r="BE857" s="129"/>
      <c r="BF857" s="144"/>
      <c r="BG857" s="129"/>
      <c r="BH857" s="129"/>
      <c r="BI857" s="129"/>
      <c r="BJ857" s="129"/>
      <c r="BK857" s="129"/>
      <c r="BL857" s="129"/>
      <c r="BM857" s="129"/>
      <c r="BN857" s="129"/>
      <c r="BO857" s="129"/>
      <c r="BP857" s="129"/>
      <c r="BQ857" s="129"/>
      <c r="BR857" s="129"/>
      <c r="BS857" s="129"/>
      <c r="BT857" s="129"/>
      <c r="BU857" s="129"/>
      <c r="BV857" s="129"/>
      <c r="BW857" s="129"/>
      <c r="BX857" s="129"/>
      <c r="BY857" s="129"/>
      <c r="BZ857" s="129"/>
      <c r="CA857" s="129"/>
      <c r="CB857" s="129"/>
      <c r="CC857" s="129"/>
      <c r="CD857" s="129"/>
    </row>
    <row r="858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29"/>
      <c r="AM858" s="129"/>
      <c r="AN858" s="144"/>
      <c r="AO858" s="129"/>
      <c r="AP858" s="129"/>
      <c r="AQ858" s="129"/>
      <c r="AR858" s="129"/>
      <c r="AS858" s="129"/>
      <c r="AT858" s="129"/>
      <c r="AU858" s="129"/>
      <c r="AV858" s="129"/>
      <c r="AW858" s="129"/>
      <c r="AX858" s="129"/>
      <c r="AY858" s="129"/>
      <c r="AZ858" s="129"/>
      <c r="BA858" s="129"/>
      <c r="BB858" s="129"/>
      <c r="BC858" s="129"/>
      <c r="BD858" s="129"/>
      <c r="BE858" s="129"/>
      <c r="BF858" s="144"/>
      <c r="BG858" s="129"/>
      <c r="BH858" s="129"/>
      <c r="BI858" s="129"/>
      <c r="BJ858" s="129"/>
      <c r="BK858" s="129"/>
      <c r="BL858" s="129"/>
      <c r="BM858" s="129"/>
      <c r="BN858" s="129"/>
      <c r="BO858" s="129"/>
      <c r="BP858" s="129"/>
      <c r="BQ858" s="129"/>
      <c r="BR858" s="129"/>
      <c r="BS858" s="129"/>
      <c r="BT858" s="129"/>
      <c r="BU858" s="129"/>
      <c r="BV858" s="129"/>
      <c r="BW858" s="129"/>
      <c r="BX858" s="129"/>
      <c r="BY858" s="129"/>
      <c r="BZ858" s="129"/>
      <c r="CA858" s="129"/>
      <c r="CB858" s="129"/>
      <c r="CC858" s="129"/>
      <c r="CD858" s="129"/>
    </row>
    <row r="859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29"/>
      <c r="AM859" s="129"/>
      <c r="AN859" s="144"/>
      <c r="AO859" s="129"/>
      <c r="AP859" s="129"/>
      <c r="AQ859" s="129"/>
      <c r="AR859" s="129"/>
      <c r="AS859" s="129"/>
      <c r="AT859" s="129"/>
      <c r="AU859" s="129"/>
      <c r="AV859" s="129"/>
      <c r="AW859" s="129"/>
      <c r="AX859" s="129"/>
      <c r="AY859" s="129"/>
      <c r="AZ859" s="129"/>
      <c r="BA859" s="129"/>
      <c r="BB859" s="129"/>
      <c r="BC859" s="129"/>
      <c r="BD859" s="129"/>
      <c r="BE859" s="129"/>
      <c r="BF859" s="144"/>
      <c r="BG859" s="129"/>
      <c r="BH859" s="129"/>
      <c r="BI859" s="129"/>
      <c r="BJ859" s="129"/>
      <c r="BK859" s="129"/>
      <c r="BL859" s="129"/>
      <c r="BM859" s="129"/>
      <c r="BN859" s="129"/>
      <c r="BO859" s="129"/>
      <c r="BP859" s="129"/>
      <c r="BQ859" s="129"/>
      <c r="BR859" s="129"/>
      <c r="BS859" s="129"/>
      <c r="BT859" s="129"/>
      <c r="BU859" s="129"/>
      <c r="BV859" s="129"/>
      <c r="BW859" s="129"/>
      <c r="BX859" s="129"/>
      <c r="BY859" s="129"/>
      <c r="BZ859" s="129"/>
      <c r="CA859" s="129"/>
      <c r="CB859" s="129"/>
      <c r="CC859" s="129"/>
      <c r="CD859" s="129"/>
    </row>
    <row r="860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29"/>
      <c r="AM860" s="129"/>
      <c r="AN860" s="144"/>
      <c r="AO860" s="129"/>
      <c r="AP860" s="129"/>
      <c r="AQ860" s="129"/>
      <c r="AR860" s="129"/>
      <c r="AS860" s="129"/>
      <c r="AT860" s="129"/>
      <c r="AU860" s="129"/>
      <c r="AV860" s="129"/>
      <c r="AW860" s="129"/>
      <c r="AX860" s="129"/>
      <c r="AY860" s="129"/>
      <c r="AZ860" s="129"/>
      <c r="BA860" s="129"/>
      <c r="BB860" s="129"/>
      <c r="BC860" s="129"/>
      <c r="BD860" s="129"/>
      <c r="BE860" s="129"/>
      <c r="BF860" s="144"/>
      <c r="BG860" s="129"/>
      <c r="BH860" s="129"/>
      <c r="BI860" s="129"/>
      <c r="BJ860" s="129"/>
      <c r="BK860" s="129"/>
      <c r="BL860" s="129"/>
      <c r="BM860" s="129"/>
      <c r="BN860" s="129"/>
      <c r="BO860" s="129"/>
      <c r="BP860" s="129"/>
      <c r="BQ860" s="129"/>
      <c r="BR860" s="129"/>
      <c r="BS860" s="129"/>
      <c r="BT860" s="129"/>
      <c r="BU860" s="129"/>
      <c r="BV860" s="129"/>
      <c r="BW860" s="129"/>
      <c r="BX860" s="129"/>
      <c r="BY860" s="129"/>
      <c r="BZ860" s="129"/>
      <c r="CA860" s="129"/>
      <c r="CB860" s="129"/>
      <c r="CC860" s="129"/>
      <c r="CD860" s="129"/>
    </row>
    <row r="86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29"/>
      <c r="AM861" s="129"/>
      <c r="AN861" s="144"/>
      <c r="AO861" s="129"/>
      <c r="AP861" s="129"/>
      <c r="AQ861" s="129"/>
      <c r="AR861" s="129"/>
      <c r="AS861" s="129"/>
      <c r="AT861" s="129"/>
      <c r="AU861" s="129"/>
      <c r="AV861" s="129"/>
      <c r="AW861" s="129"/>
      <c r="AX861" s="129"/>
      <c r="AY861" s="129"/>
      <c r="AZ861" s="129"/>
      <c r="BA861" s="129"/>
      <c r="BB861" s="129"/>
      <c r="BC861" s="129"/>
      <c r="BD861" s="129"/>
      <c r="BE861" s="129"/>
      <c r="BF861" s="144"/>
      <c r="BG861" s="129"/>
      <c r="BH861" s="129"/>
      <c r="BI861" s="129"/>
      <c r="BJ861" s="129"/>
      <c r="BK861" s="129"/>
      <c r="BL861" s="129"/>
      <c r="BM861" s="129"/>
      <c r="BN861" s="129"/>
      <c r="BO861" s="129"/>
      <c r="BP861" s="129"/>
      <c r="BQ861" s="129"/>
      <c r="BR861" s="129"/>
      <c r="BS861" s="129"/>
      <c r="BT861" s="129"/>
      <c r="BU861" s="129"/>
      <c r="BV861" s="129"/>
      <c r="BW861" s="129"/>
      <c r="BX861" s="129"/>
      <c r="BY861" s="129"/>
      <c r="BZ861" s="129"/>
      <c r="CA861" s="129"/>
      <c r="CB861" s="129"/>
      <c r="CC861" s="129"/>
      <c r="CD861" s="129"/>
    </row>
    <row r="86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29"/>
      <c r="AM862" s="129"/>
      <c r="AN862" s="144"/>
      <c r="AO862" s="129"/>
      <c r="AP862" s="129"/>
      <c r="AQ862" s="129"/>
      <c r="AR862" s="129"/>
      <c r="AS862" s="129"/>
      <c r="AT862" s="129"/>
      <c r="AU862" s="129"/>
      <c r="AV862" s="129"/>
      <c r="AW862" s="129"/>
      <c r="AX862" s="129"/>
      <c r="AY862" s="129"/>
      <c r="AZ862" s="129"/>
      <c r="BA862" s="129"/>
      <c r="BB862" s="129"/>
      <c r="BC862" s="129"/>
      <c r="BD862" s="129"/>
      <c r="BE862" s="129"/>
      <c r="BF862" s="144"/>
      <c r="BG862" s="129"/>
      <c r="BH862" s="129"/>
      <c r="BI862" s="129"/>
      <c r="BJ862" s="129"/>
      <c r="BK862" s="129"/>
      <c r="BL862" s="129"/>
      <c r="BM862" s="129"/>
      <c r="BN862" s="129"/>
      <c r="BO862" s="129"/>
      <c r="BP862" s="129"/>
      <c r="BQ862" s="129"/>
      <c r="BR862" s="129"/>
      <c r="BS862" s="129"/>
      <c r="BT862" s="129"/>
      <c r="BU862" s="129"/>
      <c r="BV862" s="129"/>
      <c r="BW862" s="129"/>
      <c r="BX862" s="129"/>
      <c r="BY862" s="129"/>
      <c r="BZ862" s="129"/>
      <c r="CA862" s="129"/>
      <c r="CB862" s="129"/>
      <c r="CC862" s="129"/>
      <c r="CD862" s="129"/>
    </row>
    <row r="863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29"/>
      <c r="AM863" s="129"/>
      <c r="AN863" s="144"/>
      <c r="AO863" s="129"/>
      <c r="AP863" s="129"/>
      <c r="AQ863" s="129"/>
      <c r="AR863" s="129"/>
      <c r="AS863" s="129"/>
      <c r="AT863" s="129"/>
      <c r="AU863" s="129"/>
      <c r="AV863" s="129"/>
      <c r="AW863" s="129"/>
      <c r="AX863" s="129"/>
      <c r="AY863" s="129"/>
      <c r="AZ863" s="129"/>
      <c r="BA863" s="129"/>
      <c r="BB863" s="129"/>
      <c r="BC863" s="129"/>
      <c r="BD863" s="129"/>
      <c r="BE863" s="129"/>
      <c r="BF863" s="144"/>
      <c r="BG863" s="129"/>
      <c r="BH863" s="129"/>
      <c r="BI863" s="129"/>
      <c r="BJ863" s="129"/>
      <c r="BK863" s="129"/>
      <c r="BL863" s="129"/>
      <c r="BM863" s="129"/>
      <c r="BN863" s="129"/>
      <c r="BO863" s="129"/>
      <c r="BP863" s="129"/>
      <c r="BQ863" s="129"/>
      <c r="BR863" s="129"/>
      <c r="BS863" s="129"/>
      <c r="BT863" s="129"/>
      <c r="BU863" s="129"/>
      <c r="BV863" s="129"/>
      <c r="BW863" s="129"/>
      <c r="BX863" s="129"/>
      <c r="BY863" s="129"/>
      <c r="BZ863" s="129"/>
      <c r="CA863" s="129"/>
      <c r="CB863" s="129"/>
      <c r="CC863" s="129"/>
      <c r="CD863" s="129"/>
    </row>
    <row r="864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29"/>
      <c r="AM864" s="129"/>
      <c r="AN864" s="144"/>
      <c r="AO864" s="129"/>
      <c r="AP864" s="129"/>
      <c r="AQ864" s="129"/>
      <c r="AR864" s="129"/>
      <c r="AS864" s="129"/>
      <c r="AT864" s="129"/>
      <c r="AU864" s="129"/>
      <c r="AV864" s="129"/>
      <c r="AW864" s="129"/>
      <c r="AX864" s="129"/>
      <c r="AY864" s="129"/>
      <c r="AZ864" s="129"/>
      <c r="BA864" s="129"/>
      <c r="BB864" s="129"/>
      <c r="BC864" s="129"/>
      <c r="BD864" s="129"/>
      <c r="BE864" s="129"/>
      <c r="BF864" s="144"/>
      <c r="BG864" s="129"/>
      <c r="BH864" s="129"/>
      <c r="BI864" s="129"/>
      <c r="BJ864" s="129"/>
      <c r="BK864" s="129"/>
      <c r="BL864" s="129"/>
      <c r="BM864" s="129"/>
      <c r="BN864" s="129"/>
      <c r="BO864" s="129"/>
      <c r="BP864" s="129"/>
      <c r="BQ864" s="129"/>
      <c r="BR864" s="129"/>
      <c r="BS864" s="129"/>
      <c r="BT864" s="129"/>
      <c r="BU864" s="129"/>
      <c r="BV864" s="129"/>
      <c r="BW864" s="129"/>
      <c r="BX864" s="129"/>
      <c r="BY864" s="129"/>
      <c r="BZ864" s="129"/>
      <c r="CA864" s="129"/>
      <c r="CB864" s="129"/>
      <c r="CC864" s="129"/>
      <c r="CD864" s="129"/>
    </row>
    <row r="865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29"/>
      <c r="AM865" s="129"/>
      <c r="AN865" s="144"/>
      <c r="AO865" s="129"/>
      <c r="AP865" s="129"/>
      <c r="AQ865" s="129"/>
      <c r="AR865" s="129"/>
      <c r="AS865" s="129"/>
      <c r="AT865" s="129"/>
      <c r="AU865" s="129"/>
      <c r="AV865" s="129"/>
      <c r="AW865" s="129"/>
      <c r="AX865" s="129"/>
      <c r="AY865" s="129"/>
      <c r="AZ865" s="129"/>
      <c r="BA865" s="129"/>
      <c r="BB865" s="129"/>
      <c r="BC865" s="129"/>
      <c r="BD865" s="129"/>
      <c r="BE865" s="129"/>
      <c r="BF865" s="144"/>
      <c r="BG865" s="129"/>
      <c r="BH865" s="129"/>
      <c r="BI865" s="129"/>
      <c r="BJ865" s="129"/>
      <c r="BK865" s="129"/>
      <c r="BL865" s="129"/>
      <c r="BM865" s="129"/>
      <c r="BN865" s="129"/>
      <c r="BO865" s="129"/>
      <c r="BP865" s="129"/>
      <c r="BQ865" s="129"/>
      <c r="BR865" s="129"/>
      <c r="BS865" s="129"/>
      <c r="BT865" s="129"/>
      <c r="BU865" s="129"/>
      <c r="BV865" s="129"/>
      <c r="BW865" s="129"/>
      <c r="BX865" s="129"/>
      <c r="BY865" s="129"/>
      <c r="BZ865" s="129"/>
      <c r="CA865" s="129"/>
      <c r="CB865" s="129"/>
      <c r="CC865" s="129"/>
      <c r="CD865" s="129"/>
    </row>
    <row r="866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29"/>
      <c r="AM866" s="129"/>
      <c r="AN866" s="144"/>
      <c r="AO866" s="129"/>
      <c r="AP866" s="129"/>
      <c r="AQ866" s="129"/>
      <c r="AR866" s="129"/>
      <c r="AS866" s="129"/>
      <c r="AT866" s="129"/>
      <c r="AU866" s="129"/>
      <c r="AV866" s="129"/>
      <c r="AW866" s="129"/>
      <c r="AX866" s="129"/>
      <c r="AY866" s="129"/>
      <c r="AZ866" s="129"/>
      <c r="BA866" s="129"/>
      <c r="BB866" s="129"/>
      <c r="BC866" s="129"/>
      <c r="BD866" s="129"/>
      <c r="BE866" s="129"/>
      <c r="BF866" s="144"/>
      <c r="BG866" s="129"/>
      <c r="BH866" s="129"/>
      <c r="BI866" s="129"/>
      <c r="BJ866" s="129"/>
      <c r="BK866" s="129"/>
      <c r="BL866" s="129"/>
      <c r="BM866" s="129"/>
      <c r="BN866" s="129"/>
      <c r="BO866" s="129"/>
      <c r="BP866" s="129"/>
      <c r="BQ866" s="129"/>
      <c r="BR866" s="129"/>
      <c r="BS866" s="129"/>
      <c r="BT866" s="129"/>
      <c r="BU866" s="129"/>
      <c r="BV866" s="129"/>
      <c r="BW866" s="129"/>
      <c r="BX866" s="129"/>
      <c r="BY866" s="129"/>
      <c r="BZ866" s="129"/>
      <c r="CA866" s="129"/>
      <c r="CB866" s="129"/>
      <c r="CC866" s="129"/>
      <c r="CD866" s="129"/>
    </row>
    <row r="867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29"/>
      <c r="AM867" s="129"/>
      <c r="AN867" s="144"/>
      <c r="AO867" s="129"/>
      <c r="AP867" s="129"/>
      <c r="AQ867" s="129"/>
      <c r="AR867" s="129"/>
      <c r="AS867" s="129"/>
      <c r="AT867" s="129"/>
      <c r="AU867" s="129"/>
      <c r="AV867" s="129"/>
      <c r="AW867" s="129"/>
      <c r="AX867" s="129"/>
      <c r="AY867" s="129"/>
      <c r="AZ867" s="129"/>
      <c r="BA867" s="129"/>
      <c r="BB867" s="129"/>
      <c r="BC867" s="129"/>
      <c r="BD867" s="129"/>
      <c r="BE867" s="129"/>
      <c r="BF867" s="144"/>
      <c r="BG867" s="129"/>
      <c r="BH867" s="129"/>
      <c r="BI867" s="129"/>
      <c r="BJ867" s="129"/>
      <c r="BK867" s="129"/>
      <c r="BL867" s="129"/>
      <c r="BM867" s="129"/>
      <c r="BN867" s="129"/>
      <c r="BO867" s="129"/>
      <c r="BP867" s="129"/>
      <c r="BQ867" s="129"/>
      <c r="BR867" s="129"/>
      <c r="BS867" s="129"/>
      <c r="BT867" s="129"/>
      <c r="BU867" s="129"/>
      <c r="BV867" s="129"/>
      <c r="BW867" s="129"/>
      <c r="BX867" s="129"/>
      <c r="BY867" s="129"/>
      <c r="BZ867" s="129"/>
      <c r="CA867" s="129"/>
      <c r="CB867" s="129"/>
      <c r="CC867" s="129"/>
      <c r="CD867" s="129"/>
    </row>
    <row r="868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29"/>
      <c r="AM868" s="129"/>
      <c r="AN868" s="144"/>
      <c r="AO868" s="129"/>
      <c r="AP868" s="129"/>
      <c r="AQ868" s="129"/>
      <c r="AR868" s="129"/>
      <c r="AS868" s="129"/>
      <c r="AT868" s="129"/>
      <c r="AU868" s="129"/>
      <c r="AV868" s="129"/>
      <c r="AW868" s="129"/>
      <c r="AX868" s="129"/>
      <c r="AY868" s="129"/>
      <c r="AZ868" s="129"/>
      <c r="BA868" s="129"/>
      <c r="BB868" s="129"/>
      <c r="BC868" s="129"/>
      <c r="BD868" s="129"/>
      <c r="BE868" s="129"/>
      <c r="BF868" s="144"/>
      <c r="BG868" s="129"/>
      <c r="BH868" s="129"/>
      <c r="BI868" s="129"/>
      <c r="BJ868" s="129"/>
      <c r="BK868" s="129"/>
      <c r="BL868" s="129"/>
      <c r="BM868" s="129"/>
      <c r="BN868" s="129"/>
      <c r="BO868" s="129"/>
      <c r="BP868" s="129"/>
      <c r="BQ868" s="129"/>
      <c r="BR868" s="129"/>
      <c r="BS868" s="129"/>
      <c r="BT868" s="129"/>
      <c r="BU868" s="129"/>
      <c r="BV868" s="129"/>
      <c r="BW868" s="129"/>
      <c r="BX868" s="129"/>
      <c r="BY868" s="129"/>
      <c r="BZ868" s="129"/>
      <c r="CA868" s="129"/>
      <c r="CB868" s="129"/>
      <c r="CC868" s="129"/>
      <c r="CD868" s="129"/>
    </row>
    <row r="869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29"/>
      <c r="AM869" s="129"/>
      <c r="AN869" s="144"/>
      <c r="AO869" s="129"/>
      <c r="AP869" s="129"/>
      <c r="AQ869" s="129"/>
      <c r="AR869" s="129"/>
      <c r="AS869" s="129"/>
      <c r="AT869" s="129"/>
      <c r="AU869" s="129"/>
      <c r="AV869" s="129"/>
      <c r="AW869" s="129"/>
      <c r="AX869" s="129"/>
      <c r="AY869" s="129"/>
      <c r="AZ869" s="129"/>
      <c r="BA869" s="129"/>
      <c r="BB869" s="129"/>
      <c r="BC869" s="129"/>
      <c r="BD869" s="129"/>
      <c r="BE869" s="129"/>
      <c r="BF869" s="144"/>
      <c r="BG869" s="129"/>
      <c r="BH869" s="129"/>
      <c r="BI869" s="129"/>
      <c r="BJ869" s="129"/>
      <c r="BK869" s="129"/>
      <c r="BL869" s="129"/>
      <c r="BM869" s="129"/>
      <c r="BN869" s="129"/>
      <c r="BO869" s="129"/>
      <c r="BP869" s="129"/>
      <c r="BQ869" s="129"/>
      <c r="BR869" s="129"/>
      <c r="BS869" s="129"/>
      <c r="BT869" s="129"/>
      <c r="BU869" s="129"/>
      <c r="BV869" s="129"/>
      <c r="BW869" s="129"/>
      <c r="BX869" s="129"/>
      <c r="BY869" s="129"/>
      <c r="BZ869" s="129"/>
      <c r="CA869" s="129"/>
      <c r="CB869" s="129"/>
      <c r="CC869" s="129"/>
      <c r="CD869" s="129"/>
    </row>
    <row r="870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29"/>
      <c r="AM870" s="129"/>
      <c r="AN870" s="144"/>
      <c r="AO870" s="129"/>
      <c r="AP870" s="129"/>
      <c r="AQ870" s="129"/>
      <c r="AR870" s="129"/>
      <c r="AS870" s="129"/>
      <c r="AT870" s="129"/>
      <c r="AU870" s="129"/>
      <c r="AV870" s="129"/>
      <c r="AW870" s="129"/>
      <c r="AX870" s="129"/>
      <c r="AY870" s="129"/>
      <c r="AZ870" s="129"/>
      <c r="BA870" s="129"/>
      <c r="BB870" s="129"/>
      <c r="BC870" s="129"/>
      <c r="BD870" s="129"/>
      <c r="BE870" s="129"/>
      <c r="BF870" s="144"/>
      <c r="BG870" s="129"/>
      <c r="BH870" s="129"/>
      <c r="BI870" s="129"/>
      <c r="BJ870" s="129"/>
      <c r="BK870" s="129"/>
      <c r="BL870" s="129"/>
      <c r="BM870" s="129"/>
      <c r="BN870" s="129"/>
      <c r="BO870" s="129"/>
      <c r="BP870" s="129"/>
      <c r="BQ870" s="129"/>
      <c r="BR870" s="129"/>
      <c r="BS870" s="129"/>
      <c r="BT870" s="129"/>
      <c r="BU870" s="129"/>
      <c r="BV870" s="129"/>
      <c r="BW870" s="129"/>
      <c r="BX870" s="129"/>
      <c r="BY870" s="129"/>
      <c r="BZ870" s="129"/>
      <c r="CA870" s="129"/>
      <c r="CB870" s="129"/>
      <c r="CC870" s="129"/>
      <c r="CD870" s="129"/>
    </row>
    <row r="87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29"/>
      <c r="AM871" s="129"/>
      <c r="AN871" s="144"/>
      <c r="AO871" s="129"/>
      <c r="AP871" s="129"/>
      <c r="AQ871" s="129"/>
      <c r="AR871" s="129"/>
      <c r="AS871" s="129"/>
      <c r="AT871" s="129"/>
      <c r="AU871" s="129"/>
      <c r="AV871" s="129"/>
      <c r="AW871" s="129"/>
      <c r="AX871" s="129"/>
      <c r="AY871" s="129"/>
      <c r="AZ871" s="129"/>
      <c r="BA871" s="129"/>
      <c r="BB871" s="129"/>
      <c r="BC871" s="129"/>
      <c r="BD871" s="129"/>
      <c r="BE871" s="129"/>
      <c r="BF871" s="144"/>
      <c r="BG871" s="129"/>
      <c r="BH871" s="129"/>
      <c r="BI871" s="129"/>
      <c r="BJ871" s="129"/>
      <c r="BK871" s="129"/>
      <c r="BL871" s="129"/>
      <c r="BM871" s="129"/>
      <c r="BN871" s="129"/>
      <c r="BO871" s="129"/>
      <c r="BP871" s="129"/>
      <c r="BQ871" s="129"/>
      <c r="BR871" s="129"/>
      <c r="BS871" s="129"/>
      <c r="BT871" s="129"/>
      <c r="BU871" s="129"/>
      <c r="BV871" s="129"/>
      <c r="BW871" s="129"/>
      <c r="BX871" s="129"/>
      <c r="BY871" s="129"/>
      <c r="BZ871" s="129"/>
      <c r="CA871" s="129"/>
      <c r="CB871" s="129"/>
      <c r="CC871" s="129"/>
      <c r="CD871" s="129"/>
    </row>
    <row r="87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29"/>
      <c r="AM872" s="129"/>
      <c r="AN872" s="144"/>
      <c r="AO872" s="129"/>
      <c r="AP872" s="129"/>
      <c r="AQ872" s="129"/>
      <c r="AR872" s="129"/>
      <c r="AS872" s="129"/>
      <c r="AT872" s="129"/>
      <c r="AU872" s="129"/>
      <c r="AV872" s="129"/>
      <c r="AW872" s="129"/>
      <c r="AX872" s="129"/>
      <c r="AY872" s="129"/>
      <c r="AZ872" s="129"/>
      <c r="BA872" s="129"/>
      <c r="BB872" s="129"/>
      <c r="BC872" s="129"/>
      <c r="BD872" s="129"/>
      <c r="BE872" s="129"/>
      <c r="BF872" s="144"/>
      <c r="BG872" s="129"/>
      <c r="BH872" s="129"/>
      <c r="BI872" s="129"/>
      <c r="BJ872" s="129"/>
      <c r="BK872" s="129"/>
      <c r="BL872" s="129"/>
      <c r="BM872" s="129"/>
      <c r="BN872" s="129"/>
      <c r="BO872" s="129"/>
      <c r="BP872" s="129"/>
      <c r="BQ872" s="129"/>
      <c r="BR872" s="129"/>
      <c r="BS872" s="129"/>
      <c r="BT872" s="129"/>
      <c r="BU872" s="129"/>
      <c r="BV872" s="129"/>
      <c r="BW872" s="129"/>
      <c r="BX872" s="129"/>
      <c r="BY872" s="129"/>
      <c r="BZ872" s="129"/>
      <c r="CA872" s="129"/>
      <c r="CB872" s="129"/>
      <c r="CC872" s="129"/>
      <c r="CD872" s="129"/>
    </row>
    <row r="873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29"/>
      <c r="AM873" s="129"/>
      <c r="AN873" s="144"/>
      <c r="AO873" s="129"/>
      <c r="AP873" s="129"/>
      <c r="AQ873" s="129"/>
      <c r="AR873" s="129"/>
      <c r="AS873" s="129"/>
      <c r="AT873" s="129"/>
      <c r="AU873" s="129"/>
      <c r="AV873" s="129"/>
      <c r="AW873" s="129"/>
      <c r="AX873" s="129"/>
      <c r="AY873" s="129"/>
      <c r="AZ873" s="129"/>
      <c r="BA873" s="129"/>
      <c r="BB873" s="129"/>
      <c r="BC873" s="129"/>
      <c r="BD873" s="129"/>
      <c r="BE873" s="129"/>
      <c r="BF873" s="144"/>
      <c r="BG873" s="129"/>
      <c r="BH873" s="129"/>
      <c r="BI873" s="129"/>
      <c r="BJ873" s="129"/>
      <c r="BK873" s="129"/>
      <c r="BL873" s="129"/>
      <c r="BM873" s="129"/>
      <c r="BN873" s="129"/>
      <c r="BO873" s="129"/>
      <c r="BP873" s="129"/>
      <c r="BQ873" s="129"/>
      <c r="BR873" s="129"/>
      <c r="BS873" s="129"/>
      <c r="BT873" s="129"/>
      <c r="BU873" s="129"/>
      <c r="BV873" s="129"/>
      <c r="BW873" s="129"/>
      <c r="BX873" s="129"/>
      <c r="BY873" s="129"/>
      <c r="BZ873" s="129"/>
      <c r="CA873" s="129"/>
      <c r="CB873" s="129"/>
      <c r="CC873" s="129"/>
      <c r="CD873" s="129"/>
    </row>
    <row r="874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29"/>
      <c r="AM874" s="129"/>
      <c r="AN874" s="144"/>
      <c r="AO874" s="129"/>
      <c r="AP874" s="129"/>
      <c r="AQ874" s="129"/>
      <c r="AR874" s="129"/>
      <c r="AS874" s="129"/>
      <c r="AT874" s="129"/>
      <c r="AU874" s="129"/>
      <c r="AV874" s="129"/>
      <c r="AW874" s="129"/>
      <c r="AX874" s="129"/>
      <c r="AY874" s="129"/>
      <c r="AZ874" s="129"/>
      <c r="BA874" s="129"/>
      <c r="BB874" s="129"/>
      <c r="BC874" s="129"/>
      <c r="BD874" s="129"/>
      <c r="BE874" s="129"/>
      <c r="BF874" s="144"/>
      <c r="BG874" s="129"/>
      <c r="BH874" s="129"/>
      <c r="BI874" s="129"/>
      <c r="BJ874" s="129"/>
      <c r="BK874" s="129"/>
      <c r="BL874" s="129"/>
      <c r="BM874" s="129"/>
      <c r="BN874" s="129"/>
      <c r="BO874" s="129"/>
      <c r="BP874" s="129"/>
      <c r="BQ874" s="129"/>
      <c r="BR874" s="129"/>
      <c r="BS874" s="129"/>
      <c r="BT874" s="129"/>
      <c r="BU874" s="129"/>
      <c r="BV874" s="129"/>
      <c r="BW874" s="129"/>
      <c r="BX874" s="129"/>
      <c r="BY874" s="129"/>
      <c r="BZ874" s="129"/>
      <c r="CA874" s="129"/>
      <c r="CB874" s="129"/>
      <c r="CC874" s="129"/>
      <c r="CD874" s="129"/>
    </row>
    <row r="875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29"/>
      <c r="AM875" s="129"/>
      <c r="AN875" s="144"/>
      <c r="AO875" s="129"/>
      <c r="AP875" s="129"/>
      <c r="AQ875" s="129"/>
      <c r="AR875" s="129"/>
      <c r="AS875" s="129"/>
      <c r="AT875" s="129"/>
      <c r="AU875" s="129"/>
      <c r="AV875" s="129"/>
      <c r="AW875" s="129"/>
      <c r="AX875" s="129"/>
      <c r="AY875" s="129"/>
      <c r="AZ875" s="129"/>
      <c r="BA875" s="129"/>
      <c r="BB875" s="129"/>
      <c r="BC875" s="129"/>
      <c r="BD875" s="129"/>
      <c r="BE875" s="129"/>
      <c r="BF875" s="144"/>
      <c r="BG875" s="129"/>
      <c r="BH875" s="129"/>
      <c r="BI875" s="129"/>
      <c r="BJ875" s="129"/>
      <c r="BK875" s="129"/>
      <c r="BL875" s="129"/>
      <c r="BM875" s="129"/>
      <c r="BN875" s="129"/>
      <c r="BO875" s="129"/>
      <c r="BP875" s="129"/>
      <c r="BQ875" s="129"/>
      <c r="BR875" s="129"/>
      <c r="BS875" s="129"/>
      <c r="BT875" s="129"/>
      <c r="BU875" s="129"/>
      <c r="BV875" s="129"/>
      <c r="BW875" s="129"/>
      <c r="BX875" s="129"/>
      <c r="BY875" s="129"/>
      <c r="BZ875" s="129"/>
      <c r="CA875" s="129"/>
      <c r="CB875" s="129"/>
      <c r="CC875" s="129"/>
      <c r="CD875" s="129"/>
    </row>
    <row r="876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29"/>
      <c r="AM876" s="129"/>
      <c r="AN876" s="144"/>
      <c r="AO876" s="129"/>
      <c r="AP876" s="129"/>
      <c r="AQ876" s="129"/>
      <c r="AR876" s="129"/>
      <c r="AS876" s="129"/>
      <c r="AT876" s="129"/>
      <c r="AU876" s="129"/>
      <c r="AV876" s="129"/>
      <c r="AW876" s="129"/>
      <c r="AX876" s="129"/>
      <c r="AY876" s="129"/>
      <c r="AZ876" s="129"/>
      <c r="BA876" s="129"/>
      <c r="BB876" s="129"/>
      <c r="BC876" s="129"/>
      <c r="BD876" s="129"/>
      <c r="BE876" s="129"/>
      <c r="BF876" s="144"/>
      <c r="BG876" s="129"/>
      <c r="BH876" s="129"/>
      <c r="BI876" s="129"/>
      <c r="BJ876" s="129"/>
      <c r="BK876" s="129"/>
      <c r="BL876" s="129"/>
      <c r="BM876" s="129"/>
      <c r="BN876" s="129"/>
      <c r="BO876" s="129"/>
      <c r="BP876" s="129"/>
      <c r="BQ876" s="129"/>
      <c r="BR876" s="129"/>
      <c r="BS876" s="129"/>
      <c r="BT876" s="129"/>
      <c r="BU876" s="129"/>
      <c r="BV876" s="129"/>
      <c r="BW876" s="129"/>
      <c r="BX876" s="129"/>
      <c r="BY876" s="129"/>
      <c r="BZ876" s="129"/>
      <c r="CA876" s="129"/>
      <c r="CB876" s="129"/>
      <c r="CC876" s="129"/>
      <c r="CD876" s="129"/>
    </row>
    <row r="877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29"/>
      <c r="AM877" s="129"/>
      <c r="AN877" s="144"/>
      <c r="AO877" s="129"/>
      <c r="AP877" s="129"/>
      <c r="AQ877" s="129"/>
      <c r="AR877" s="129"/>
      <c r="AS877" s="129"/>
      <c r="AT877" s="129"/>
      <c r="AU877" s="129"/>
      <c r="AV877" s="129"/>
      <c r="AW877" s="129"/>
      <c r="AX877" s="129"/>
      <c r="AY877" s="129"/>
      <c r="AZ877" s="129"/>
      <c r="BA877" s="129"/>
      <c r="BB877" s="129"/>
      <c r="BC877" s="129"/>
      <c r="BD877" s="129"/>
      <c r="BE877" s="129"/>
      <c r="BF877" s="144"/>
      <c r="BG877" s="129"/>
      <c r="BH877" s="129"/>
      <c r="BI877" s="129"/>
      <c r="BJ877" s="129"/>
      <c r="BK877" s="129"/>
      <c r="BL877" s="129"/>
      <c r="BM877" s="129"/>
      <c r="BN877" s="129"/>
      <c r="BO877" s="129"/>
      <c r="BP877" s="129"/>
      <c r="BQ877" s="129"/>
      <c r="BR877" s="129"/>
      <c r="BS877" s="129"/>
      <c r="BT877" s="129"/>
      <c r="BU877" s="129"/>
      <c r="BV877" s="129"/>
      <c r="BW877" s="129"/>
      <c r="BX877" s="129"/>
      <c r="BY877" s="129"/>
      <c r="BZ877" s="129"/>
      <c r="CA877" s="129"/>
      <c r="CB877" s="129"/>
      <c r="CC877" s="129"/>
      <c r="CD877" s="129"/>
    </row>
    <row r="878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29"/>
      <c r="AM878" s="129"/>
      <c r="AN878" s="144"/>
      <c r="AO878" s="129"/>
      <c r="AP878" s="129"/>
      <c r="AQ878" s="129"/>
      <c r="AR878" s="129"/>
      <c r="AS878" s="129"/>
      <c r="AT878" s="129"/>
      <c r="AU878" s="129"/>
      <c r="AV878" s="129"/>
      <c r="AW878" s="129"/>
      <c r="AX878" s="129"/>
      <c r="AY878" s="129"/>
      <c r="AZ878" s="129"/>
      <c r="BA878" s="129"/>
      <c r="BB878" s="129"/>
      <c r="BC878" s="129"/>
      <c r="BD878" s="129"/>
      <c r="BE878" s="129"/>
      <c r="BF878" s="144"/>
      <c r="BG878" s="129"/>
      <c r="BH878" s="129"/>
      <c r="BI878" s="129"/>
      <c r="BJ878" s="129"/>
      <c r="BK878" s="129"/>
      <c r="BL878" s="129"/>
      <c r="BM878" s="129"/>
      <c r="BN878" s="129"/>
      <c r="BO878" s="129"/>
      <c r="BP878" s="129"/>
      <c r="BQ878" s="129"/>
      <c r="BR878" s="129"/>
      <c r="BS878" s="129"/>
      <c r="BT878" s="129"/>
      <c r="BU878" s="129"/>
      <c r="BV878" s="129"/>
      <c r="BW878" s="129"/>
      <c r="BX878" s="129"/>
      <c r="BY878" s="129"/>
      <c r="BZ878" s="129"/>
      <c r="CA878" s="129"/>
      <c r="CB878" s="129"/>
      <c r="CC878" s="129"/>
      <c r="CD878" s="129"/>
    </row>
    <row r="879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29"/>
      <c r="AM879" s="129"/>
      <c r="AN879" s="144"/>
      <c r="AO879" s="129"/>
      <c r="AP879" s="129"/>
      <c r="AQ879" s="129"/>
      <c r="AR879" s="129"/>
      <c r="AS879" s="129"/>
      <c r="AT879" s="129"/>
      <c r="AU879" s="129"/>
      <c r="AV879" s="129"/>
      <c r="AW879" s="129"/>
      <c r="AX879" s="129"/>
      <c r="AY879" s="129"/>
      <c r="AZ879" s="129"/>
      <c r="BA879" s="129"/>
      <c r="BB879" s="129"/>
      <c r="BC879" s="129"/>
      <c r="BD879" s="129"/>
      <c r="BE879" s="129"/>
      <c r="BF879" s="144"/>
      <c r="BG879" s="129"/>
      <c r="BH879" s="129"/>
      <c r="BI879" s="129"/>
      <c r="BJ879" s="129"/>
      <c r="BK879" s="129"/>
      <c r="BL879" s="129"/>
      <c r="BM879" s="129"/>
      <c r="BN879" s="129"/>
      <c r="BO879" s="129"/>
      <c r="BP879" s="129"/>
      <c r="BQ879" s="129"/>
      <c r="BR879" s="129"/>
      <c r="BS879" s="129"/>
      <c r="BT879" s="129"/>
      <c r="BU879" s="129"/>
      <c r="BV879" s="129"/>
      <c r="BW879" s="129"/>
      <c r="BX879" s="129"/>
      <c r="BY879" s="129"/>
      <c r="BZ879" s="129"/>
      <c r="CA879" s="129"/>
      <c r="CB879" s="129"/>
      <c r="CC879" s="129"/>
      <c r="CD879" s="129"/>
    </row>
    <row r="880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44"/>
      <c r="AO880" s="129"/>
      <c r="AP880" s="129"/>
      <c r="AQ880" s="129"/>
      <c r="AR880" s="129"/>
      <c r="AS880" s="129"/>
      <c r="AT880" s="129"/>
      <c r="AU880" s="129"/>
      <c r="AV880" s="129"/>
      <c r="AW880" s="129"/>
      <c r="AX880" s="129"/>
      <c r="AY880" s="129"/>
      <c r="AZ880" s="129"/>
      <c r="BA880" s="129"/>
      <c r="BB880" s="129"/>
      <c r="BC880" s="129"/>
      <c r="BD880" s="129"/>
      <c r="BE880" s="129"/>
      <c r="BF880" s="144"/>
      <c r="BG880" s="129"/>
      <c r="BH880" s="129"/>
      <c r="BI880" s="129"/>
      <c r="BJ880" s="129"/>
      <c r="BK880" s="129"/>
      <c r="BL880" s="129"/>
      <c r="BM880" s="129"/>
      <c r="BN880" s="129"/>
      <c r="BO880" s="129"/>
      <c r="BP880" s="129"/>
      <c r="BQ880" s="129"/>
      <c r="BR880" s="129"/>
      <c r="BS880" s="129"/>
      <c r="BT880" s="129"/>
      <c r="BU880" s="129"/>
      <c r="BV880" s="129"/>
      <c r="BW880" s="129"/>
      <c r="BX880" s="129"/>
      <c r="BY880" s="129"/>
      <c r="BZ880" s="129"/>
      <c r="CA880" s="129"/>
      <c r="CB880" s="129"/>
      <c r="CC880" s="129"/>
      <c r="CD880" s="129"/>
    </row>
    <row r="88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44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44"/>
      <c r="BG881" s="129"/>
      <c r="BH881" s="129"/>
      <c r="BI881" s="129"/>
      <c r="BJ881" s="129"/>
      <c r="BK881" s="129"/>
      <c r="BL881" s="129"/>
      <c r="BM881" s="129"/>
      <c r="BN881" s="129"/>
      <c r="BO881" s="129"/>
      <c r="BP881" s="129"/>
      <c r="BQ881" s="129"/>
      <c r="BR881" s="129"/>
      <c r="BS881" s="129"/>
      <c r="BT881" s="129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</row>
    <row r="88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29"/>
      <c r="AM882" s="129"/>
      <c r="AN882" s="144"/>
      <c r="AO882" s="129"/>
      <c r="AP882" s="129"/>
      <c r="AQ882" s="129"/>
      <c r="AR882" s="129"/>
      <c r="AS882" s="129"/>
      <c r="AT882" s="129"/>
      <c r="AU882" s="129"/>
      <c r="AV882" s="129"/>
      <c r="AW882" s="129"/>
      <c r="AX882" s="129"/>
      <c r="AY882" s="129"/>
      <c r="AZ882" s="129"/>
      <c r="BA882" s="129"/>
      <c r="BB882" s="129"/>
      <c r="BC882" s="129"/>
      <c r="BD882" s="129"/>
      <c r="BE882" s="129"/>
      <c r="BF882" s="144"/>
      <c r="BG882" s="129"/>
      <c r="BH882" s="129"/>
      <c r="BI882" s="129"/>
      <c r="BJ882" s="129"/>
      <c r="BK882" s="129"/>
      <c r="BL882" s="129"/>
      <c r="BM882" s="129"/>
      <c r="BN882" s="129"/>
      <c r="BO882" s="129"/>
      <c r="BP882" s="129"/>
      <c r="BQ882" s="129"/>
      <c r="BR882" s="129"/>
      <c r="BS882" s="129"/>
      <c r="BT882" s="129"/>
      <c r="BU882" s="129"/>
      <c r="BV882" s="129"/>
      <c r="BW882" s="129"/>
      <c r="BX882" s="129"/>
      <c r="BY882" s="129"/>
      <c r="BZ882" s="129"/>
      <c r="CA882" s="129"/>
      <c r="CB882" s="129"/>
      <c r="CC882" s="129"/>
      <c r="CD882" s="129"/>
    </row>
    <row r="883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29"/>
      <c r="AM883" s="129"/>
      <c r="AN883" s="144"/>
      <c r="AO883" s="129"/>
      <c r="AP883" s="129"/>
      <c r="AQ883" s="129"/>
      <c r="AR883" s="129"/>
      <c r="AS883" s="129"/>
      <c r="AT883" s="129"/>
      <c r="AU883" s="129"/>
      <c r="AV883" s="129"/>
      <c r="AW883" s="129"/>
      <c r="AX883" s="129"/>
      <c r="AY883" s="129"/>
      <c r="AZ883" s="129"/>
      <c r="BA883" s="129"/>
      <c r="BB883" s="129"/>
      <c r="BC883" s="129"/>
      <c r="BD883" s="129"/>
      <c r="BE883" s="129"/>
      <c r="BF883" s="144"/>
      <c r="BG883" s="129"/>
      <c r="BH883" s="129"/>
      <c r="BI883" s="129"/>
      <c r="BJ883" s="129"/>
      <c r="BK883" s="129"/>
      <c r="BL883" s="129"/>
      <c r="BM883" s="129"/>
      <c r="BN883" s="129"/>
      <c r="BO883" s="129"/>
      <c r="BP883" s="129"/>
      <c r="BQ883" s="129"/>
      <c r="BR883" s="129"/>
      <c r="BS883" s="129"/>
      <c r="BT883" s="129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</row>
    <row r="884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44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44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</row>
    <row r="885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44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44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</row>
    <row r="886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44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44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</row>
    <row r="887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44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44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</row>
    <row r="888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44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44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</row>
    <row r="889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44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44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</row>
    <row r="890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44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44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</row>
    <row r="89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44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44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</row>
    <row r="89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44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44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</row>
    <row r="893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44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44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</row>
    <row r="894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29"/>
      <c r="AM894" s="129"/>
      <c r="AN894" s="144"/>
      <c r="AO894" s="129"/>
      <c r="AP894" s="129"/>
      <c r="AQ894" s="129"/>
      <c r="AR894" s="129"/>
      <c r="AS894" s="129"/>
      <c r="AT894" s="129"/>
      <c r="AU894" s="129"/>
      <c r="AV894" s="129"/>
      <c r="AW894" s="129"/>
      <c r="AX894" s="129"/>
      <c r="AY894" s="129"/>
      <c r="AZ894" s="129"/>
      <c r="BA894" s="129"/>
      <c r="BB894" s="129"/>
      <c r="BC894" s="129"/>
      <c r="BD894" s="129"/>
      <c r="BE894" s="129"/>
      <c r="BF894" s="144"/>
      <c r="BG894" s="129"/>
      <c r="BH894" s="129"/>
      <c r="BI894" s="129"/>
      <c r="BJ894" s="129"/>
      <c r="BK894" s="129"/>
      <c r="BL894" s="129"/>
      <c r="BM894" s="129"/>
      <c r="BN894" s="129"/>
      <c r="BO894" s="129"/>
      <c r="BP894" s="129"/>
      <c r="BQ894" s="129"/>
      <c r="BR894" s="129"/>
      <c r="BS894" s="129"/>
      <c r="BT894" s="129"/>
      <c r="BU894" s="129"/>
      <c r="BV894" s="129"/>
      <c r="BW894" s="129"/>
      <c r="BX894" s="129"/>
      <c r="BY894" s="129"/>
      <c r="BZ894" s="129"/>
      <c r="CA894" s="129"/>
      <c r="CB894" s="129"/>
      <c r="CC894" s="129"/>
      <c r="CD894" s="129"/>
    </row>
    <row r="895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29"/>
      <c r="AM895" s="129"/>
      <c r="AN895" s="144"/>
      <c r="AO895" s="129"/>
      <c r="AP895" s="129"/>
      <c r="AQ895" s="129"/>
      <c r="AR895" s="129"/>
      <c r="AS895" s="129"/>
      <c r="AT895" s="129"/>
      <c r="AU895" s="129"/>
      <c r="AV895" s="129"/>
      <c r="AW895" s="129"/>
      <c r="AX895" s="129"/>
      <c r="AY895" s="129"/>
      <c r="AZ895" s="129"/>
      <c r="BA895" s="129"/>
      <c r="BB895" s="129"/>
      <c r="BC895" s="129"/>
      <c r="BD895" s="129"/>
      <c r="BE895" s="129"/>
      <c r="BF895" s="144"/>
      <c r="BG895" s="129"/>
      <c r="BH895" s="129"/>
      <c r="BI895" s="129"/>
      <c r="BJ895" s="129"/>
      <c r="BK895" s="129"/>
      <c r="BL895" s="129"/>
      <c r="BM895" s="129"/>
      <c r="BN895" s="129"/>
      <c r="BO895" s="129"/>
      <c r="BP895" s="129"/>
      <c r="BQ895" s="129"/>
      <c r="BR895" s="129"/>
      <c r="BS895" s="129"/>
      <c r="BT895" s="129"/>
      <c r="BU895" s="129"/>
      <c r="BV895" s="129"/>
      <c r="BW895" s="129"/>
      <c r="BX895" s="129"/>
      <c r="BY895" s="129"/>
      <c r="BZ895" s="129"/>
      <c r="CA895" s="129"/>
      <c r="CB895" s="129"/>
      <c r="CC895" s="129"/>
      <c r="CD895" s="129"/>
    </row>
    <row r="896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29"/>
      <c r="AM896" s="129"/>
      <c r="AN896" s="144"/>
      <c r="AO896" s="129"/>
      <c r="AP896" s="129"/>
      <c r="AQ896" s="129"/>
      <c r="AR896" s="129"/>
      <c r="AS896" s="129"/>
      <c r="AT896" s="129"/>
      <c r="AU896" s="129"/>
      <c r="AV896" s="129"/>
      <c r="AW896" s="129"/>
      <c r="AX896" s="129"/>
      <c r="AY896" s="129"/>
      <c r="AZ896" s="129"/>
      <c r="BA896" s="129"/>
      <c r="BB896" s="129"/>
      <c r="BC896" s="129"/>
      <c r="BD896" s="129"/>
      <c r="BE896" s="129"/>
      <c r="BF896" s="144"/>
      <c r="BG896" s="129"/>
      <c r="BH896" s="129"/>
      <c r="BI896" s="129"/>
      <c r="BJ896" s="129"/>
      <c r="BK896" s="129"/>
      <c r="BL896" s="129"/>
      <c r="BM896" s="129"/>
      <c r="BN896" s="129"/>
      <c r="BO896" s="129"/>
      <c r="BP896" s="129"/>
      <c r="BQ896" s="129"/>
      <c r="BR896" s="129"/>
      <c r="BS896" s="129"/>
      <c r="BT896" s="129"/>
      <c r="BU896" s="129"/>
      <c r="BV896" s="129"/>
      <c r="BW896" s="129"/>
      <c r="BX896" s="129"/>
      <c r="BY896" s="129"/>
      <c r="BZ896" s="129"/>
      <c r="CA896" s="129"/>
      <c r="CB896" s="129"/>
      <c r="CC896" s="129"/>
      <c r="CD896" s="129"/>
    </row>
    <row r="897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29"/>
      <c r="AM897" s="129"/>
      <c r="AN897" s="144"/>
      <c r="AO897" s="129"/>
      <c r="AP897" s="129"/>
      <c r="AQ897" s="129"/>
      <c r="AR897" s="129"/>
      <c r="AS897" s="129"/>
      <c r="AT897" s="129"/>
      <c r="AU897" s="129"/>
      <c r="AV897" s="129"/>
      <c r="AW897" s="129"/>
      <c r="AX897" s="129"/>
      <c r="AY897" s="129"/>
      <c r="AZ897" s="129"/>
      <c r="BA897" s="129"/>
      <c r="BB897" s="129"/>
      <c r="BC897" s="129"/>
      <c r="BD897" s="129"/>
      <c r="BE897" s="129"/>
      <c r="BF897" s="144"/>
      <c r="BG897" s="129"/>
      <c r="BH897" s="129"/>
      <c r="BI897" s="129"/>
      <c r="BJ897" s="129"/>
      <c r="BK897" s="129"/>
      <c r="BL897" s="129"/>
      <c r="BM897" s="129"/>
      <c r="BN897" s="129"/>
      <c r="BO897" s="129"/>
      <c r="BP897" s="129"/>
      <c r="BQ897" s="129"/>
      <c r="BR897" s="129"/>
      <c r="BS897" s="129"/>
      <c r="BT897" s="129"/>
      <c r="BU897" s="129"/>
      <c r="BV897" s="129"/>
      <c r="BW897" s="129"/>
      <c r="BX897" s="129"/>
      <c r="BY897" s="129"/>
      <c r="BZ897" s="129"/>
      <c r="CA897" s="129"/>
      <c r="CB897" s="129"/>
      <c r="CC897" s="129"/>
      <c r="CD897" s="129"/>
    </row>
    <row r="898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29"/>
      <c r="AM898" s="129"/>
      <c r="AN898" s="144"/>
      <c r="AO898" s="129"/>
      <c r="AP898" s="129"/>
      <c r="AQ898" s="129"/>
      <c r="AR898" s="129"/>
      <c r="AS898" s="129"/>
      <c r="AT898" s="129"/>
      <c r="AU898" s="129"/>
      <c r="AV898" s="129"/>
      <c r="AW898" s="129"/>
      <c r="AX898" s="129"/>
      <c r="AY898" s="129"/>
      <c r="AZ898" s="129"/>
      <c r="BA898" s="129"/>
      <c r="BB898" s="129"/>
      <c r="BC898" s="129"/>
      <c r="BD898" s="129"/>
      <c r="BE898" s="129"/>
      <c r="BF898" s="144"/>
      <c r="BG898" s="129"/>
      <c r="BH898" s="129"/>
      <c r="BI898" s="129"/>
      <c r="BJ898" s="129"/>
      <c r="BK898" s="129"/>
      <c r="BL898" s="129"/>
      <c r="BM898" s="129"/>
      <c r="BN898" s="129"/>
      <c r="BO898" s="129"/>
      <c r="BP898" s="129"/>
      <c r="BQ898" s="129"/>
      <c r="BR898" s="129"/>
      <c r="BS898" s="129"/>
      <c r="BT898" s="129"/>
      <c r="BU898" s="129"/>
      <c r="BV898" s="129"/>
      <c r="BW898" s="129"/>
      <c r="BX898" s="129"/>
      <c r="BY898" s="129"/>
      <c r="BZ898" s="129"/>
      <c r="CA898" s="129"/>
      <c r="CB898" s="129"/>
      <c r="CC898" s="129"/>
      <c r="CD898" s="129"/>
    </row>
    <row r="899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29"/>
      <c r="AM899" s="129"/>
      <c r="AN899" s="144"/>
      <c r="AO899" s="129"/>
      <c r="AP899" s="129"/>
      <c r="AQ899" s="129"/>
      <c r="AR899" s="129"/>
      <c r="AS899" s="129"/>
      <c r="AT899" s="129"/>
      <c r="AU899" s="129"/>
      <c r="AV899" s="129"/>
      <c r="AW899" s="129"/>
      <c r="AX899" s="129"/>
      <c r="AY899" s="129"/>
      <c r="AZ899" s="129"/>
      <c r="BA899" s="129"/>
      <c r="BB899" s="129"/>
      <c r="BC899" s="129"/>
      <c r="BD899" s="129"/>
      <c r="BE899" s="129"/>
      <c r="BF899" s="144"/>
      <c r="BG899" s="129"/>
      <c r="BH899" s="129"/>
      <c r="BI899" s="129"/>
      <c r="BJ899" s="129"/>
      <c r="BK899" s="129"/>
      <c r="BL899" s="129"/>
      <c r="BM899" s="129"/>
      <c r="BN899" s="129"/>
      <c r="BO899" s="129"/>
      <c r="BP899" s="129"/>
      <c r="BQ899" s="129"/>
      <c r="BR899" s="129"/>
      <c r="BS899" s="129"/>
      <c r="BT899" s="129"/>
      <c r="BU899" s="129"/>
      <c r="BV899" s="129"/>
      <c r="BW899" s="129"/>
      <c r="BX899" s="129"/>
      <c r="BY899" s="129"/>
      <c r="BZ899" s="129"/>
      <c r="CA899" s="129"/>
      <c r="CB899" s="129"/>
      <c r="CC899" s="129"/>
      <c r="CD899" s="129"/>
    </row>
    <row r="900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29"/>
      <c r="AM900" s="129"/>
      <c r="AN900" s="144"/>
      <c r="AO900" s="129"/>
      <c r="AP900" s="129"/>
      <c r="AQ900" s="129"/>
      <c r="AR900" s="129"/>
      <c r="AS900" s="129"/>
      <c r="AT900" s="129"/>
      <c r="AU900" s="129"/>
      <c r="AV900" s="129"/>
      <c r="AW900" s="129"/>
      <c r="AX900" s="129"/>
      <c r="AY900" s="129"/>
      <c r="AZ900" s="129"/>
      <c r="BA900" s="129"/>
      <c r="BB900" s="129"/>
      <c r="BC900" s="129"/>
      <c r="BD900" s="129"/>
      <c r="BE900" s="129"/>
      <c r="BF900" s="144"/>
      <c r="BG900" s="129"/>
      <c r="BH900" s="129"/>
      <c r="BI900" s="129"/>
      <c r="BJ900" s="129"/>
      <c r="BK900" s="129"/>
      <c r="BL900" s="129"/>
      <c r="BM900" s="129"/>
      <c r="BN900" s="129"/>
      <c r="BO900" s="129"/>
      <c r="BP900" s="129"/>
      <c r="BQ900" s="129"/>
      <c r="BR900" s="129"/>
      <c r="BS900" s="129"/>
      <c r="BT900" s="129"/>
      <c r="BU900" s="129"/>
      <c r="BV900" s="129"/>
      <c r="BW900" s="129"/>
      <c r="BX900" s="129"/>
      <c r="BY900" s="129"/>
      <c r="BZ900" s="129"/>
      <c r="CA900" s="129"/>
      <c r="CB900" s="129"/>
      <c r="CC900" s="129"/>
      <c r="CD900" s="129"/>
    </row>
    <row r="90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29"/>
      <c r="AM901" s="129"/>
      <c r="AN901" s="144"/>
      <c r="AO901" s="129"/>
      <c r="AP901" s="129"/>
      <c r="AQ901" s="129"/>
      <c r="AR901" s="129"/>
      <c r="AS901" s="129"/>
      <c r="AT901" s="129"/>
      <c r="AU901" s="129"/>
      <c r="AV901" s="129"/>
      <c r="AW901" s="129"/>
      <c r="AX901" s="129"/>
      <c r="AY901" s="129"/>
      <c r="AZ901" s="129"/>
      <c r="BA901" s="129"/>
      <c r="BB901" s="129"/>
      <c r="BC901" s="129"/>
      <c r="BD901" s="129"/>
      <c r="BE901" s="129"/>
      <c r="BF901" s="144"/>
      <c r="BG901" s="129"/>
      <c r="BH901" s="129"/>
      <c r="BI901" s="129"/>
      <c r="BJ901" s="129"/>
      <c r="BK901" s="129"/>
      <c r="BL901" s="129"/>
      <c r="BM901" s="129"/>
      <c r="BN901" s="129"/>
      <c r="BO901" s="129"/>
      <c r="BP901" s="129"/>
      <c r="BQ901" s="129"/>
      <c r="BR901" s="129"/>
      <c r="BS901" s="129"/>
      <c r="BT901" s="129"/>
      <c r="BU901" s="129"/>
      <c r="BV901" s="129"/>
      <c r="BW901" s="129"/>
      <c r="BX901" s="129"/>
      <c r="BY901" s="129"/>
      <c r="BZ901" s="129"/>
      <c r="CA901" s="129"/>
      <c r="CB901" s="129"/>
      <c r="CC901" s="129"/>
      <c r="CD901" s="129"/>
    </row>
    <row r="90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29"/>
      <c r="AM902" s="129"/>
      <c r="AN902" s="144"/>
      <c r="AO902" s="129"/>
      <c r="AP902" s="129"/>
      <c r="AQ902" s="129"/>
      <c r="AR902" s="129"/>
      <c r="AS902" s="129"/>
      <c r="AT902" s="129"/>
      <c r="AU902" s="129"/>
      <c r="AV902" s="129"/>
      <c r="AW902" s="129"/>
      <c r="AX902" s="129"/>
      <c r="AY902" s="129"/>
      <c r="AZ902" s="129"/>
      <c r="BA902" s="129"/>
      <c r="BB902" s="129"/>
      <c r="BC902" s="129"/>
      <c r="BD902" s="129"/>
      <c r="BE902" s="129"/>
      <c r="BF902" s="144"/>
      <c r="BG902" s="129"/>
      <c r="BH902" s="129"/>
      <c r="BI902" s="129"/>
      <c r="BJ902" s="129"/>
      <c r="BK902" s="129"/>
      <c r="BL902" s="129"/>
      <c r="BM902" s="129"/>
      <c r="BN902" s="129"/>
      <c r="BO902" s="129"/>
      <c r="BP902" s="129"/>
      <c r="BQ902" s="129"/>
      <c r="BR902" s="129"/>
      <c r="BS902" s="129"/>
      <c r="BT902" s="129"/>
      <c r="BU902" s="129"/>
      <c r="BV902" s="129"/>
      <c r="BW902" s="129"/>
      <c r="BX902" s="129"/>
      <c r="BY902" s="129"/>
      <c r="BZ902" s="129"/>
      <c r="CA902" s="129"/>
      <c r="CB902" s="129"/>
      <c r="CC902" s="129"/>
      <c r="CD902" s="129"/>
    </row>
    <row r="903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29"/>
      <c r="AM903" s="129"/>
      <c r="AN903" s="144"/>
      <c r="AO903" s="129"/>
      <c r="AP903" s="129"/>
      <c r="AQ903" s="129"/>
      <c r="AR903" s="129"/>
      <c r="AS903" s="129"/>
      <c r="AT903" s="129"/>
      <c r="AU903" s="129"/>
      <c r="AV903" s="129"/>
      <c r="AW903" s="129"/>
      <c r="AX903" s="129"/>
      <c r="AY903" s="129"/>
      <c r="AZ903" s="129"/>
      <c r="BA903" s="129"/>
      <c r="BB903" s="129"/>
      <c r="BC903" s="129"/>
      <c r="BD903" s="129"/>
      <c r="BE903" s="129"/>
      <c r="BF903" s="144"/>
      <c r="BG903" s="129"/>
      <c r="BH903" s="129"/>
      <c r="BI903" s="129"/>
      <c r="BJ903" s="129"/>
      <c r="BK903" s="129"/>
      <c r="BL903" s="129"/>
      <c r="BM903" s="129"/>
      <c r="BN903" s="129"/>
      <c r="BO903" s="129"/>
      <c r="BP903" s="129"/>
      <c r="BQ903" s="129"/>
      <c r="BR903" s="129"/>
      <c r="BS903" s="129"/>
      <c r="BT903" s="129"/>
      <c r="BU903" s="129"/>
      <c r="BV903" s="129"/>
      <c r="BW903" s="129"/>
      <c r="BX903" s="129"/>
      <c r="BY903" s="129"/>
      <c r="BZ903" s="129"/>
      <c r="CA903" s="129"/>
      <c r="CB903" s="129"/>
      <c r="CC903" s="129"/>
      <c r="CD903" s="129"/>
    </row>
    <row r="904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29"/>
      <c r="AM904" s="129"/>
      <c r="AN904" s="144"/>
      <c r="AO904" s="129"/>
      <c r="AP904" s="129"/>
      <c r="AQ904" s="129"/>
      <c r="AR904" s="129"/>
      <c r="AS904" s="129"/>
      <c r="AT904" s="129"/>
      <c r="AU904" s="129"/>
      <c r="AV904" s="129"/>
      <c r="AW904" s="129"/>
      <c r="AX904" s="129"/>
      <c r="AY904" s="129"/>
      <c r="AZ904" s="129"/>
      <c r="BA904" s="129"/>
      <c r="BB904" s="129"/>
      <c r="BC904" s="129"/>
      <c r="BD904" s="129"/>
      <c r="BE904" s="129"/>
      <c r="BF904" s="144"/>
      <c r="BG904" s="129"/>
      <c r="BH904" s="129"/>
      <c r="BI904" s="129"/>
      <c r="BJ904" s="129"/>
      <c r="BK904" s="129"/>
      <c r="BL904" s="129"/>
      <c r="BM904" s="129"/>
      <c r="BN904" s="129"/>
      <c r="BO904" s="129"/>
      <c r="BP904" s="129"/>
      <c r="BQ904" s="129"/>
      <c r="BR904" s="129"/>
      <c r="BS904" s="129"/>
      <c r="BT904" s="129"/>
      <c r="BU904" s="129"/>
      <c r="BV904" s="129"/>
      <c r="BW904" s="129"/>
      <c r="BX904" s="129"/>
      <c r="BY904" s="129"/>
      <c r="BZ904" s="129"/>
      <c r="CA904" s="129"/>
      <c r="CB904" s="129"/>
      <c r="CC904" s="129"/>
      <c r="CD904" s="129"/>
    </row>
    <row r="905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29"/>
      <c r="AM905" s="129"/>
      <c r="AN905" s="144"/>
      <c r="AO905" s="129"/>
      <c r="AP905" s="129"/>
      <c r="AQ905" s="129"/>
      <c r="AR905" s="129"/>
      <c r="AS905" s="129"/>
      <c r="AT905" s="129"/>
      <c r="AU905" s="129"/>
      <c r="AV905" s="129"/>
      <c r="AW905" s="129"/>
      <c r="AX905" s="129"/>
      <c r="AY905" s="129"/>
      <c r="AZ905" s="129"/>
      <c r="BA905" s="129"/>
      <c r="BB905" s="129"/>
      <c r="BC905" s="129"/>
      <c r="BD905" s="129"/>
      <c r="BE905" s="129"/>
      <c r="BF905" s="144"/>
      <c r="BG905" s="129"/>
      <c r="BH905" s="129"/>
      <c r="BI905" s="129"/>
      <c r="BJ905" s="129"/>
      <c r="BK905" s="129"/>
      <c r="BL905" s="129"/>
      <c r="BM905" s="129"/>
      <c r="BN905" s="129"/>
      <c r="BO905" s="129"/>
      <c r="BP905" s="129"/>
      <c r="BQ905" s="129"/>
      <c r="BR905" s="129"/>
      <c r="BS905" s="129"/>
      <c r="BT905" s="129"/>
      <c r="BU905" s="129"/>
      <c r="BV905" s="129"/>
      <c r="BW905" s="129"/>
      <c r="BX905" s="129"/>
      <c r="BY905" s="129"/>
      <c r="BZ905" s="129"/>
      <c r="CA905" s="129"/>
      <c r="CB905" s="129"/>
      <c r="CC905" s="129"/>
      <c r="CD905" s="129"/>
    </row>
    <row r="906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29"/>
      <c r="AM906" s="129"/>
      <c r="AN906" s="144"/>
      <c r="AO906" s="129"/>
      <c r="AP906" s="129"/>
      <c r="AQ906" s="129"/>
      <c r="AR906" s="129"/>
      <c r="AS906" s="129"/>
      <c r="AT906" s="129"/>
      <c r="AU906" s="129"/>
      <c r="AV906" s="129"/>
      <c r="AW906" s="129"/>
      <c r="AX906" s="129"/>
      <c r="AY906" s="129"/>
      <c r="AZ906" s="129"/>
      <c r="BA906" s="129"/>
      <c r="BB906" s="129"/>
      <c r="BC906" s="129"/>
      <c r="BD906" s="129"/>
      <c r="BE906" s="129"/>
      <c r="BF906" s="144"/>
      <c r="BG906" s="129"/>
      <c r="BH906" s="129"/>
      <c r="BI906" s="129"/>
      <c r="BJ906" s="129"/>
      <c r="BK906" s="129"/>
      <c r="BL906" s="129"/>
      <c r="BM906" s="129"/>
      <c r="BN906" s="129"/>
      <c r="BO906" s="129"/>
      <c r="BP906" s="129"/>
      <c r="BQ906" s="129"/>
      <c r="BR906" s="129"/>
      <c r="BS906" s="129"/>
      <c r="BT906" s="129"/>
      <c r="BU906" s="129"/>
      <c r="BV906" s="129"/>
      <c r="BW906" s="129"/>
      <c r="BX906" s="129"/>
      <c r="BY906" s="129"/>
      <c r="BZ906" s="129"/>
      <c r="CA906" s="129"/>
      <c r="CB906" s="129"/>
      <c r="CC906" s="129"/>
      <c r="CD906" s="129"/>
    </row>
    <row r="907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29"/>
      <c r="AM907" s="129"/>
      <c r="AN907" s="144"/>
      <c r="AO907" s="129"/>
      <c r="AP907" s="129"/>
      <c r="AQ907" s="129"/>
      <c r="AR907" s="129"/>
      <c r="AS907" s="129"/>
      <c r="AT907" s="129"/>
      <c r="AU907" s="129"/>
      <c r="AV907" s="129"/>
      <c r="AW907" s="129"/>
      <c r="AX907" s="129"/>
      <c r="AY907" s="129"/>
      <c r="AZ907" s="129"/>
      <c r="BA907" s="129"/>
      <c r="BB907" s="129"/>
      <c r="BC907" s="129"/>
      <c r="BD907" s="129"/>
      <c r="BE907" s="129"/>
      <c r="BF907" s="144"/>
      <c r="BG907" s="129"/>
      <c r="BH907" s="129"/>
      <c r="BI907" s="129"/>
      <c r="BJ907" s="129"/>
      <c r="BK907" s="129"/>
      <c r="BL907" s="129"/>
      <c r="BM907" s="129"/>
      <c r="BN907" s="129"/>
      <c r="BO907" s="129"/>
      <c r="BP907" s="129"/>
      <c r="BQ907" s="129"/>
      <c r="BR907" s="129"/>
      <c r="BS907" s="129"/>
      <c r="BT907" s="129"/>
      <c r="BU907" s="129"/>
      <c r="BV907" s="129"/>
      <c r="BW907" s="129"/>
      <c r="BX907" s="129"/>
      <c r="BY907" s="129"/>
      <c r="BZ907" s="129"/>
      <c r="CA907" s="129"/>
      <c r="CB907" s="129"/>
      <c r="CC907" s="129"/>
      <c r="CD907" s="129"/>
    </row>
    <row r="908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29"/>
      <c r="AM908" s="129"/>
      <c r="AN908" s="144"/>
      <c r="AO908" s="129"/>
      <c r="AP908" s="129"/>
      <c r="AQ908" s="129"/>
      <c r="AR908" s="129"/>
      <c r="AS908" s="129"/>
      <c r="AT908" s="129"/>
      <c r="AU908" s="129"/>
      <c r="AV908" s="129"/>
      <c r="AW908" s="129"/>
      <c r="AX908" s="129"/>
      <c r="AY908" s="129"/>
      <c r="AZ908" s="129"/>
      <c r="BA908" s="129"/>
      <c r="BB908" s="129"/>
      <c r="BC908" s="129"/>
      <c r="BD908" s="129"/>
      <c r="BE908" s="129"/>
      <c r="BF908" s="144"/>
      <c r="BG908" s="129"/>
      <c r="BH908" s="129"/>
      <c r="BI908" s="129"/>
      <c r="BJ908" s="129"/>
      <c r="BK908" s="129"/>
      <c r="BL908" s="129"/>
      <c r="BM908" s="129"/>
      <c r="BN908" s="129"/>
      <c r="BO908" s="129"/>
      <c r="BP908" s="129"/>
      <c r="BQ908" s="129"/>
      <c r="BR908" s="129"/>
      <c r="BS908" s="129"/>
      <c r="BT908" s="129"/>
      <c r="BU908" s="129"/>
      <c r="BV908" s="129"/>
      <c r="BW908" s="129"/>
      <c r="BX908" s="129"/>
      <c r="BY908" s="129"/>
      <c r="BZ908" s="129"/>
      <c r="CA908" s="129"/>
      <c r="CB908" s="129"/>
      <c r="CC908" s="129"/>
      <c r="CD908" s="129"/>
    </row>
    <row r="909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29"/>
      <c r="AM909" s="129"/>
      <c r="AN909" s="144"/>
      <c r="AO909" s="129"/>
      <c r="AP909" s="129"/>
      <c r="AQ909" s="129"/>
      <c r="AR909" s="129"/>
      <c r="AS909" s="129"/>
      <c r="AT909" s="129"/>
      <c r="AU909" s="129"/>
      <c r="AV909" s="129"/>
      <c r="AW909" s="129"/>
      <c r="AX909" s="129"/>
      <c r="AY909" s="129"/>
      <c r="AZ909" s="129"/>
      <c r="BA909" s="129"/>
      <c r="BB909" s="129"/>
      <c r="BC909" s="129"/>
      <c r="BD909" s="129"/>
      <c r="BE909" s="129"/>
      <c r="BF909" s="144"/>
      <c r="BG909" s="129"/>
      <c r="BH909" s="129"/>
      <c r="BI909" s="129"/>
      <c r="BJ909" s="129"/>
      <c r="BK909" s="129"/>
      <c r="BL909" s="129"/>
      <c r="BM909" s="129"/>
      <c r="BN909" s="129"/>
      <c r="BO909" s="129"/>
      <c r="BP909" s="129"/>
      <c r="BQ909" s="129"/>
      <c r="BR909" s="129"/>
      <c r="BS909" s="129"/>
      <c r="BT909" s="129"/>
      <c r="BU909" s="129"/>
      <c r="BV909" s="129"/>
      <c r="BW909" s="129"/>
      <c r="BX909" s="129"/>
      <c r="BY909" s="129"/>
      <c r="BZ909" s="129"/>
      <c r="CA909" s="129"/>
      <c r="CB909" s="129"/>
      <c r="CC909" s="129"/>
      <c r="CD909" s="129"/>
    </row>
    <row r="910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29"/>
      <c r="AM910" s="129"/>
      <c r="AN910" s="144"/>
      <c r="AO910" s="129"/>
      <c r="AP910" s="129"/>
      <c r="AQ910" s="129"/>
      <c r="AR910" s="129"/>
      <c r="AS910" s="129"/>
      <c r="AT910" s="129"/>
      <c r="AU910" s="129"/>
      <c r="AV910" s="129"/>
      <c r="AW910" s="129"/>
      <c r="AX910" s="129"/>
      <c r="AY910" s="129"/>
      <c r="AZ910" s="129"/>
      <c r="BA910" s="129"/>
      <c r="BB910" s="129"/>
      <c r="BC910" s="129"/>
      <c r="BD910" s="129"/>
      <c r="BE910" s="129"/>
      <c r="BF910" s="144"/>
      <c r="BG910" s="129"/>
      <c r="BH910" s="129"/>
      <c r="BI910" s="129"/>
      <c r="BJ910" s="129"/>
      <c r="BK910" s="129"/>
      <c r="BL910" s="129"/>
      <c r="BM910" s="129"/>
      <c r="BN910" s="129"/>
      <c r="BO910" s="129"/>
      <c r="BP910" s="129"/>
      <c r="BQ910" s="129"/>
      <c r="BR910" s="129"/>
      <c r="BS910" s="129"/>
      <c r="BT910" s="129"/>
      <c r="BU910" s="129"/>
      <c r="BV910" s="129"/>
      <c r="BW910" s="129"/>
      <c r="BX910" s="129"/>
      <c r="BY910" s="129"/>
      <c r="BZ910" s="129"/>
      <c r="CA910" s="129"/>
      <c r="CB910" s="129"/>
      <c r="CC910" s="129"/>
      <c r="CD910" s="129"/>
    </row>
    <row r="91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29"/>
      <c r="AM911" s="129"/>
      <c r="AN911" s="144"/>
      <c r="AO911" s="129"/>
      <c r="AP911" s="129"/>
      <c r="AQ911" s="129"/>
      <c r="AR911" s="129"/>
      <c r="AS911" s="129"/>
      <c r="AT911" s="129"/>
      <c r="AU911" s="129"/>
      <c r="AV911" s="129"/>
      <c r="AW911" s="129"/>
      <c r="AX911" s="129"/>
      <c r="AY911" s="129"/>
      <c r="AZ911" s="129"/>
      <c r="BA911" s="129"/>
      <c r="BB911" s="129"/>
      <c r="BC911" s="129"/>
      <c r="BD911" s="129"/>
      <c r="BE911" s="129"/>
      <c r="BF911" s="144"/>
      <c r="BG911" s="129"/>
      <c r="BH911" s="129"/>
      <c r="BI911" s="129"/>
      <c r="BJ911" s="129"/>
      <c r="BK911" s="129"/>
      <c r="BL911" s="129"/>
      <c r="BM911" s="129"/>
      <c r="BN911" s="129"/>
      <c r="BO911" s="129"/>
      <c r="BP911" s="129"/>
      <c r="BQ911" s="129"/>
      <c r="BR911" s="129"/>
      <c r="BS911" s="129"/>
      <c r="BT911" s="129"/>
      <c r="BU911" s="129"/>
      <c r="BV911" s="129"/>
      <c r="BW911" s="129"/>
      <c r="BX911" s="129"/>
      <c r="BY911" s="129"/>
      <c r="BZ911" s="129"/>
      <c r="CA911" s="129"/>
      <c r="CB911" s="129"/>
      <c r="CC911" s="129"/>
      <c r="CD911" s="129"/>
    </row>
    <row r="91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29"/>
      <c r="AM912" s="129"/>
      <c r="AN912" s="144"/>
      <c r="AO912" s="129"/>
      <c r="AP912" s="129"/>
      <c r="AQ912" s="129"/>
      <c r="AR912" s="129"/>
      <c r="AS912" s="129"/>
      <c r="AT912" s="129"/>
      <c r="AU912" s="129"/>
      <c r="AV912" s="129"/>
      <c r="AW912" s="129"/>
      <c r="AX912" s="129"/>
      <c r="AY912" s="129"/>
      <c r="AZ912" s="129"/>
      <c r="BA912" s="129"/>
      <c r="BB912" s="129"/>
      <c r="BC912" s="129"/>
      <c r="BD912" s="129"/>
      <c r="BE912" s="129"/>
      <c r="BF912" s="144"/>
      <c r="BG912" s="129"/>
      <c r="BH912" s="129"/>
      <c r="BI912" s="129"/>
      <c r="BJ912" s="129"/>
      <c r="BK912" s="129"/>
      <c r="BL912" s="129"/>
      <c r="BM912" s="129"/>
      <c r="BN912" s="129"/>
      <c r="BO912" s="129"/>
      <c r="BP912" s="129"/>
      <c r="BQ912" s="129"/>
      <c r="BR912" s="129"/>
      <c r="BS912" s="129"/>
      <c r="BT912" s="129"/>
      <c r="BU912" s="129"/>
      <c r="BV912" s="129"/>
      <c r="BW912" s="129"/>
      <c r="BX912" s="129"/>
      <c r="BY912" s="129"/>
      <c r="BZ912" s="129"/>
      <c r="CA912" s="129"/>
      <c r="CB912" s="129"/>
      <c r="CC912" s="129"/>
      <c r="CD912" s="129"/>
    </row>
    <row r="913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29"/>
      <c r="AM913" s="129"/>
      <c r="AN913" s="144"/>
      <c r="AO913" s="129"/>
      <c r="AP913" s="129"/>
      <c r="AQ913" s="129"/>
      <c r="AR913" s="129"/>
      <c r="AS913" s="129"/>
      <c r="AT913" s="129"/>
      <c r="AU913" s="129"/>
      <c r="AV913" s="129"/>
      <c r="AW913" s="129"/>
      <c r="AX913" s="129"/>
      <c r="AY913" s="129"/>
      <c r="AZ913" s="129"/>
      <c r="BA913" s="129"/>
      <c r="BB913" s="129"/>
      <c r="BC913" s="129"/>
      <c r="BD913" s="129"/>
      <c r="BE913" s="129"/>
      <c r="BF913" s="144"/>
      <c r="BG913" s="129"/>
      <c r="BH913" s="129"/>
      <c r="BI913" s="129"/>
      <c r="BJ913" s="129"/>
      <c r="BK913" s="129"/>
      <c r="BL913" s="129"/>
      <c r="BM913" s="129"/>
      <c r="BN913" s="129"/>
      <c r="BO913" s="129"/>
      <c r="BP913" s="129"/>
      <c r="BQ913" s="129"/>
      <c r="BR913" s="129"/>
      <c r="BS913" s="129"/>
      <c r="BT913" s="129"/>
      <c r="BU913" s="129"/>
      <c r="BV913" s="129"/>
      <c r="BW913" s="129"/>
      <c r="BX913" s="129"/>
      <c r="BY913" s="129"/>
      <c r="BZ913" s="129"/>
      <c r="CA913" s="129"/>
      <c r="CB913" s="129"/>
      <c r="CC913" s="129"/>
      <c r="CD913" s="129"/>
    </row>
    <row r="914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29"/>
      <c r="AM914" s="129"/>
      <c r="AN914" s="144"/>
      <c r="AO914" s="129"/>
      <c r="AP914" s="129"/>
      <c r="AQ914" s="129"/>
      <c r="AR914" s="129"/>
      <c r="AS914" s="129"/>
      <c r="AT914" s="129"/>
      <c r="AU914" s="129"/>
      <c r="AV914" s="129"/>
      <c r="AW914" s="129"/>
      <c r="AX914" s="129"/>
      <c r="AY914" s="129"/>
      <c r="AZ914" s="129"/>
      <c r="BA914" s="129"/>
      <c r="BB914" s="129"/>
      <c r="BC914" s="129"/>
      <c r="BD914" s="129"/>
      <c r="BE914" s="129"/>
      <c r="BF914" s="144"/>
      <c r="BG914" s="129"/>
      <c r="BH914" s="129"/>
      <c r="BI914" s="129"/>
      <c r="BJ914" s="129"/>
      <c r="BK914" s="129"/>
      <c r="BL914" s="129"/>
      <c r="BM914" s="129"/>
      <c r="BN914" s="129"/>
      <c r="BO914" s="129"/>
      <c r="BP914" s="129"/>
      <c r="BQ914" s="129"/>
      <c r="BR914" s="129"/>
      <c r="BS914" s="129"/>
      <c r="BT914" s="129"/>
      <c r="BU914" s="129"/>
      <c r="BV914" s="129"/>
      <c r="BW914" s="129"/>
      <c r="BX914" s="129"/>
      <c r="BY914" s="129"/>
      <c r="BZ914" s="129"/>
      <c r="CA914" s="129"/>
      <c r="CB914" s="129"/>
      <c r="CC914" s="129"/>
      <c r="CD914" s="129"/>
    </row>
    <row r="915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29"/>
      <c r="AM915" s="129"/>
      <c r="AN915" s="144"/>
      <c r="AO915" s="129"/>
      <c r="AP915" s="129"/>
      <c r="AQ915" s="129"/>
      <c r="AR915" s="129"/>
      <c r="AS915" s="129"/>
      <c r="AT915" s="129"/>
      <c r="AU915" s="129"/>
      <c r="AV915" s="129"/>
      <c r="AW915" s="129"/>
      <c r="AX915" s="129"/>
      <c r="AY915" s="129"/>
      <c r="AZ915" s="129"/>
      <c r="BA915" s="129"/>
      <c r="BB915" s="129"/>
      <c r="BC915" s="129"/>
      <c r="BD915" s="129"/>
      <c r="BE915" s="129"/>
      <c r="BF915" s="144"/>
      <c r="BG915" s="129"/>
      <c r="BH915" s="129"/>
      <c r="BI915" s="129"/>
      <c r="BJ915" s="129"/>
      <c r="BK915" s="129"/>
      <c r="BL915" s="129"/>
      <c r="BM915" s="129"/>
      <c r="BN915" s="129"/>
      <c r="BO915" s="129"/>
      <c r="BP915" s="129"/>
      <c r="BQ915" s="129"/>
      <c r="BR915" s="129"/>
      <c r="BS915" s="129"/>
      <c r="BT915" s="129"/>
      <c r="BU915" s="129"/>
      <c r="BV915" s="129"/>
      <c r="BW915" s="129"/>
      <c r="BX915" s="129"/>
      <c r="BY915" s="129"/>
      <c r="BZ915" s="129"/>
      <c r="CA915" s="129"/>
      <c r="CB915" s="129"/>
      <c r="CC915" s="129"/>
      <c r="CD915" s="129"/>
    </row>
    <row r="916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29"/>
      <c r="AM916" s="129"/>
      <c r="AN916" s="144"/>
      <c r="AO916" s="129"/>
      <c r="AP916" s="129"/>
      <c r="AQ916" s="129"/>
      <c r="AR916" s="129"/>
      <c r="AS916" s="129"/>
      <c r="AT916" s="129"/>
      <c r="AU916" s="129"/>
      <c r="AV916" s="129"/>
      <c r="AW916" s="129"/>
      <c r="AX916" s="129"/>
      <c r="AY916" s="129"/>
      <c r="AZ916" s="129"/>
      <c r="BA916" s="129"/>
      <c r="BB916" s="129"/>
      <c r="BC916" s="129"/>
      <c r="BD916" s="129"/>
      <c r="BE916" s="129"/>
      <c r="BF916" s="144"/>
      <c r="BG916" s="129"/>
      <c r="BH916" s="129"/>
      <c r="BI916" s="129"/>
      <c r="BJ916" s="129"/>
      <c r="BK916" s="129"/>
      <c r="BL916" s="129"/>
      <c r="BM916" s="129"/>
      <c r="BN916" s="129"/>
      <c r="BO916" s="129"/>
      <c r="BP916" s="129"/>
      <c r="BQ916" s="129"/>
      <c r="BR916" s="129"/>
      <c r="BS916" s="129"/>
      <c r="BT916" s="129"/>
      <c r="BU916" s="129"/>
      <c r="BV916" s="129"/>
      <c r="BW916" s="129"/>
      <c r="BX916" s="129"/>
      <c r="BY916" s="129"/>
      <c r="BZ916" s="129"/>
      <c r="CA916" s="129"/>
      <c r="CB916" s="129"/>
      <c r="CC916" s="129"/>
      <c r="CD916" s="129"/>
    </row>
    <row r="917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29"/>
      <c r="AM917" s="129"/>
      <c r="AN917" s="144"/>
      <c r="AO917" s="129"/>
      <c r="AP917" s="129"/>
      <c r="AQ917" s="129"/>
      <c r="AR917" s="129"/>
      <c r="AS917" s="129"/>
      <c r="AT917" s="129"/>
      <c r="AU917" s="129"/>
      <c r="AV917" s="129"/>
      <c r="AW917" s="129"/>
      <c r="AX917" s="129"/>
      <c r="AY917" s="129"/>
      <c r="AZ917" s="129"/>
      <c r="BA917" s="129"/>
      <c r="BB917" s="129"/>
      <c r="BC917" s="129"/>
      <c r="BD917" s="129"/>
      <c r="BE917" s="129"/>
      <c r="BF917" s="144"/>
      <c r="BG917" s="129"/>
      <c r="BH917" s="129"/>
      <c r="BI917" s="129"/>
      <c r="BJ917" s="129"/>
      <c r="BK917" s="129"/>
      <c r="BL917" s="129"/>
      <c r="BM917" s="129"/>
      <c r="BN917" s="129"/>
      <c r="BO917" s="129"/>
      <c r="BP917" s="129"/>
      <c r="BQ917" s="129"/>
      <c r="BR917" s="129"/>
      <c r="BS917" s="129"/>
      <c r="BT917" s="129"/>
      <c r="BU917" s="129"/>
      <c r="BV917" s="129"/>
      <c r="BW917" s="129"/>
      <c r="BX917" s="129"/>
      <c r="BY917" s="129"/>
      <c r="BZ917" s="129"/>
      <c r="CA917" s="129"/>
      <c r="CB917" s="129"/>
      <c r="CC917" s="129"/>
      <c r="CD917" s="129"/>
    </row>
    <row r="918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44"/>
      <c r="AO918" s="129"/>
      <c r="AP918" s="129"/>
      <c r="AQ918" s="129"/>
      <c r="AR918" s="129"/>
      <c r="AS918" s="129"/>
      <c r="AT918" s="129"/>
      <c r="AU918" s="129"/>
      <c r="AV918" s="129"/>
      <c r="AW918" s="129"/>
      <c r="AX918" s="129"/>
      <c r="AY918" s="129"/>
      <c r="AZ918" s="129"/>
      <c r="BA918" s="129"/>
      <c r="BB918" s="129"/>
      <c r="BC918" s="129"/>
      <c r="BD918" s="129"/>
      <c r="BE918" s="129"/>
      <c r="BF918" s="144"/>
      <c r="BG918" s="129"/>
      <c r="BH918" s="129"/>
      <c r="BI918" s="129"/>
      <c r="BJ918" s="129"/>
      <c r="BK918" s="129"/>
      <c r="BL918" s="129"/>
      <c r="BM918" s="129"/>
      <c r="BN918" s="129"/>
      <c r="BO918" s="129"/>
      <c r="BP918" s="129"/>
      <c r="BQ918" s="129"/>
      <c r="BR918" s="129"/>
      <c r="BS918" s="129"/>
      <c r="BT918" s="129"/>
      <c r="BU918" s="129"/>
      <c r="BV918" s="129"/>
      <c r="BW918" s="129"/>
      <c r="BX918" s="129"/>
      <c r="BY918" s="129"/>
      <c r="BZ918" s="129"/>
      <c r="CA918" s="129"/>
      <c r="CB918" s="129"/>
      <c r="CC918" s="129"/>
      <c r="CD918" s="129"/>
    </row>
    <row r="919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44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44"/>
      <c r="BG919" s="129"/>
      <c r="BH919" s="129"/>
      <c r="BI919" s="129"/>
      <c r="BJ919" s="129"/>
      <c r="BK919" s="129"/>
      <c r="BL919" s="129"/>
      <c r="BM919" s="129"/>
      <c r="BN919" s="129"/>
      <c r="BO919" s="129"/>
      <c r="BP919" s="129"/>
      <c r="BQ919" s="129"/>
      <c r="BR919" s="129"/>
      <c r="BS919" s="129"/>
      <c r="BT919" s="129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</row>
    <row r="920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29"/>
      <c r="AM920" s="129"/>
      <c r="AN920" s="144"/>
      <c r="AO920" s="129"/>
      <c r="AP920" s="129"/>
      <c r="AQ920" s="129"/>
      <c r="AR920" s="129"/>
      <c r="AS920" s="129"/>
      <c r="AT920" s="129"/>
      <c r="AU920" s="129"/>
      <c r="AV920" s="129"/>
      <c r="AW920" s="129"/>
      <c r="AX920" s="129"/>
      <c r="AY920" s="129"/>
      <c r="AZ920" s="129"/>
      <c r="BA920" s="129"/>
      <c r="BB920" s="129"/>
      <c r="BC920" s="129"/>
      <c r="BD920" s="129"/>
      <c r="BE920" s="129"/>
      <c r="BF920" s="144"/>
      <c r="BG920" s="129"/>
      <c r="BH920" s="129"/>
      <c r="BI920" s="129"/>
      <c r="BJ920" s="129"/>
      <c r="BK920" s="129"/>
      <c r="BL920" s="129"/>
      <c r="BM920" s="129"/>
      <c r="BN920" s="129"/>
      <c r="BO920" s="129"/>
      <c r="BP920" s="129"/>
      <c r="BQ920" s="129"/>
      <c r="BR920" s="129"/>
      <c r="BS920" s="129"/>
      <c r="BT920" s="129"/>
      <c r="BU920" s="129"/>
      <c r="BV920" s="129"/>
      <c r="BW920" s="129"/>
      <c r="BX920" s="129"/>
      <c r="BY920" s="129"/>
      <c r="BZ920" s="129"/>
      <c r="CA920" s="129"/>
      <c r="CB920" s="129"/>
      <c r="CC920" s="129"/>
      <c r="CD920" s="129"/>
    </row>
    <row r="92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29"/>
      <c r="AM921" s="129"/>
      <c r="AN921" s="144"/>
      <c r="AO921" s="129"/>
      <c r="AP921" s="129"/>
      <c r="AQ921" s="129"/>
      <c r="AR921" s="129"/>
      <c r="AS921" s="129"/>
      <c r="AT921" s="129"/>
      <c r="AU921" s="129"/>
      <c r="AV921" s="129"/>
      <c r="AW921" s="129"/>
      <c r="AX921" s="129"/>
      <c r="AY921" s="129"/>
      <c r="AZ921" s="129"/>
      <c r="BA921" s="129"/>
      <c r="BB921" s="129"/>
      <c r="BC921" s="129"/>
      <c r="BD921" s="129"/>
      <c r="BE921" s="129"/>
      <c r="BF921" s="144"/>
      <c r="BG921" s="129"/>
      <c r="BH921" s="129"/>
      <c r="BI921" s="129"/>
      <c r="BJ921" s="129"/>
      <c r="BK921" s="129"/>
      <c r="BL921" s="129"/>
      <c r="BM921" s="129"/>
      <c r="BN921" s="129"/>
      <c r="BO921" s="129"/>
      <c r="BP921" s="129"/>
      <c r="BQ921" s="129"/>
      <c r="BR921" s="129"/>
      <c r="BS921" s="129"/>
      <c r="BT921" s="129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</row>
    <row r="92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44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44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</row>
    <row r="923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44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44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</row>
    <row r="924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44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44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</row>
    <row r="925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44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44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</row>
    <row r="926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44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44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</row>
    <row r="927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44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44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</row>
    <row r="928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44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44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</row>
    <row r="929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44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44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</row>
    <row r="930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44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44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</row>
    <row r="93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44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44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</row>
    <row r="93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29"/>
      <c r="AM932" s="129"/>
      <c r="AN932" s="144"/>
      <c r="AO932" s="129"/>
      <c r="AP932" s="129"/>
      <c r="AQ932" s="129"/>
      <c r="AR932" s="129"/>
      <c r="AS932" s="129"/>
      <c r="AT932" s="129"/>
      <c r="AU932" s="129"/>
      <c r="AV932" s="129"/>
      <c r="AW932" s="129"/>
      <c r="AX932" s="129"/>
      <c r="AY932" s="129"/>
      <c r="AZ932" s="129"/>
      <c r="BA932" s="129"/>
      <c r="BB932" s="129"/>
      <c r="BC932" s="129"/>
      <c r="BD932" s="129"/>
      <c r="BE932" s="129"/>
      <c r="BF932" s="144"/>
      <c r="BG932" s="129"/>
      <c r="BH932" s="129"/>
      <c r="BI932" s="129"/>
      <c r="BJ932" s="129"/>
      <c r="BK932" s="129"/>
      <c r="BL932" s="129"/>
      <c r="BM932" s="129"/>
      <c r="BN932" s="129"/>
      <c r="BO932" s="129"/>
      <c r="BP932" s="129"/>
      <c r="BQ932" s="129"/>
      <c r="BR932" s="129"/>
      <c r="BS932" s="129"/>
      <c r="BT932" s="129"/>
      <c r="BU932" s="129"/>
      <c r="BV932" s="129"/>
      <c r="BW932" s="129"/>
      <c r="BX932" s="129"/>
      <c r="BY932" s="129"/>
      <c r="BZ932" s="129"/>
      <c r="CA932" s="129"/>
      <c r="CB932" s="129"/>
      <c r="CC932" s="129"/>
      <c r="CD932" s="129"/>
    </row>
    <row r="933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29"/>
      <c r="AM933" s="129"/>
      <c r="AN933" s="144"/>
      <c r="AO933" s="129"/>
      <c r="AP933" s="129"/>
      <c r="AQ933" s="129"/>
      <c r="AR933" s="129"/>
      <c r="AS933" s="129"/>
      <c r="AT933" s="129"/>
      <c r="AU933" s="129"/>
      <c r="AV933" s="129"/>
      <c r="AW933" s="129"/>
      <c r="AX933" s="129"/>
      <c r="AY933" s="129"/>
      <c r="AZ933" s="129"/>
      <c r="BA933" s="129"/>
      <c r="BB933" s="129"/>
      <c r="BC933" s="129"/>
      <c r="BD933" s="129"/>
      <c r="BE933" s="129"/>
      <c r="BF933" s="144"/>
      <c r="BG933" s="129"/>
      <c r="BH933" s="129"/>
      <c r="BI933" s="129"/>
      <c r="BJ933" s="129"/>
      <c r="BK933" s="129"/>
      <c r="BL933" s="129"/>
      <c r="BM933" s="129"/>
      <c r="BN933" s="129"/>
      <c r="BO933" s="129"/>
      <c r="BP933" s="129"/>
      <c r="BQ933" s="129"/>
      <c r="BR933" s="129"/>
      <c r="BS933" s="129"/>
      <c r="BT933" s="129"/>
      <c r="BU933" s="129"/>
      <c r="BV933" s="129"/>
      <c r="BW933" s="129"/>
      <c r="BX933" s="129"/>
      <c r="BY933" s="129"/>
      <c r="BZ933" s="129"/>
      <c r="CA933" s="129"/>
      <c r="CB933" s="129"/>
      <c r="CC933" s="129"/>
      <c r="CD933" s="129"/>
    </row>
    <row r="934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29"/>
      <c r="AM934" s="129"/>
      <c r="AN934" s="144"/>
      <c r="AO934" s="129"/>
      <c r="AP934" s="129"/>
      <c r="AQ934" s="129"/>
      <c r="AR934" s="129"/>
      <c r="AS934" s="129"/>
      <c r="AT934" s="129"/>
      <c r="AU934" s="129"/>
      <c r="AV934" s="129"/>
      <c r="AW934" s="129"/>
      <c r="AX934" s="129"/>
      <c r="AY934" s="129"/>
      <c r="AZ934" s="129"/>
      <c r="BA934" s="129"/>
      <c r="BB934" s="129"/>
      <c r="BC934" s="129"/>
      <c r="BD934" s="129"/>
      <c r="BE934" s="129"/>
      <c r="BF934" s="144"/>
      <c r="BG934" s="129"/>
      <c r="BH934" s="129"/>
      <c r="BI934" s="129"/>
      <c r="BJ934" s="129"/>
      <c r="BK934" s="129"/>
      <c r="BL934" s="129"/>
      <c r="BM934" s="129"/>
      <c r="BN934" s="129"/>
      <c r="BO934" s="129"/>
      <c r="BP934" s="129"/>
      <c r="BQ934" s="129"/>
      <c r="BR934" s="129"/>
      <c r="BS934" s="129"/>
      <c r="BT934" s="129"/>
      <c r="BU934" s="129"/>
      <c r="BV934" s="129"/>
      <c r="BW934" s="129"/>
      <c r="BX934" s="129"/>
      <c r="BY934" s="129"/>
      <c r="BZ934" s="129"/>
      <c r="CA934" s="129"/>
      <c r="CB934" s="129"/>
      <c r="CC934" s="129"/>
      <c r="CD934" s="129"/>
    </row>
    <row r="935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29"/>
      <c r="AM935" s="129"/>
      <c r="AN935" s="144"/>
      <c r="AO935" s="129"/>
      <c r="AP935" s="129"/>
      <c r="AQ935" s="129"/>
      <c r="AR935" s="129"/>
      <c r="AS935" s="129"/>
      <c r="AT935" s="129"/>
      <c r="AU935" s="129"/>
      <c r="AV935" s="129"/>
      <c r="AW935" s="129"/>
      <c r="AX935" s="129"/>
      <c r="AY935" s="129"/>
      <c r="AZ935" s="129"/>
      <c r="BA935" s="129"/>
      <c r="BB935" s="129"/>
      <c r="BC935" s="129"/>
      <c r="BD935" s="129"/>
      <c r="BE935" s="129"/>
      <c r="BF935" s="144"/>
      <c r="BG935" s="129"/>
      <c r="BH935" s="129"/>
      <c r="BI935" s="129"/>
      <c r="BJ935" s="129"/>
      <c r="BK935" s="129"/>
      <c r="BL935" s="129"/>
      <c r="BM935" s="129"/>
      <c r="BN935" s="129"/>
      <c r="BO935" s="129"/>
      <c r="BP935" s="129"/>
      <c r="BQ935" s="129"/>
      <c r="BR935" s="129"/>
      <c r="BS935" s="129"/>
      <c r="BT935" s="129"/>
      <c r="BU935" s="129"/>
      <c r="BV935" s="129"/>
      <c r="BW935" s="129"/>
      <c r="BX935" s="129"/>
      <c r="BY935" s="129"/>
      <c r="BZ935" s="129"/>
      <c r="CA935" s="129"/>
      <c r="CB935" s="129"/>
      <c r="CC935" s="129"/>
      <c r="CD935" s="129"/>
    </row>
    <row r="936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29"/>
      <c r="AM936" s="129"/>
      <c r="AN936" s="144"/>
      <c r="AO936" s="129"/>
      <c r="AP936" s="129"/>
      <c r="AQ936" s="129"/>
      <c r="AR936" s="129"/>
      <c r="AS936" s="129"/>
      <c r="AT936" s="129"/>
      <c r="AU936" s="129"/>
      <c r="AV936" s="129"/>
      <c r="AW936" s="129"/>
      <c r="AX936" s="129"/>
      <c r="AY936" s="129"/>
      <c r="AZ936" s="129"/>
      <c r="BA936" s="129"/>
      <c r="BB936" s="129"/>
      <c r="BC936" s="129"/>
      <c r="BD936" s="129"/>
      <c r="BE936" s="129"/>
      <c r="BF936" s="144"/>
      <c r="BG936" s="129"/>
      <c r="BH936" s="129"/>
      <c r="BI936" s="129"/>
      <c r="BJ936" s="129"/>
      <c r="BK936" s="129"/>
      <c r="BL936" s="129"/>
      <c r="BM936" s="129"/>
      <c r="BN936" s="129"/>
      <c r="BO936" s="129"/>
      <c r="BP936" s="129"/>
      <c r="BQ936" s="129"/>
      <c r="BR936" s="129"/>
      <c r="BS936" s="129"/>
      <c r="BT936" s="129"/>
      <c r="BU936" s="129"/>
      <c r="BV936" s="129"/>
      <c r="BW936" s="129"/>
      <c r="BX936" s="129"/>
      <c r="BY936" s="129"/>
      <c r="BZ936" s="129"/>
      <c r="CA936" s="129"/>
      <c r="CB936" s="129"/>
      <c r="CC936" s="129"/>
      <c r="CD936" s="129"/>
    </row>
    <row r="937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29"/>
      <c r="AM937" s="129"/>
      <c r="AN937" s="144"/>
      <c r="AO937" s="129"/>
      <c r="AP937" s="129"/>
      <c r="AQ937" s="129"/>
      <c r="AR937" s="129"/>
      <c r="AS937" s="129"/>
      <c r="AT937" s="129"/>
      <c r="AU937" s="129"/>
      <c r="AV937" s="129"/>
      <c r="AW937" s="129"/>
      <c r="AX937" s="129"/>
      <c r="AY937" s="129"/>
      <c r="AZ937" s="129"/>
      <c r="BA937" s="129"/>
      <c r="BB937" s="129"/>
      <c r="BC937" s="129"/>
      <c r="BD937" s="129"/>
      <c r="BE937" s="129"/>
      <c r="BF937" s="144"/>
      <c r="BG937" s="129"/>
      <c r="BH937" s="129"/>
      <c r="BI937" s="129"/>
      <c r="BJ937" s="129"/>
      <c r="BK937" s="129"/>
      <c r="BL937" s="129"/>
      <c r="BM937" s="129"/>
      <c r="BN937" s="129"/>
      <c r="BO937" s="129"/>
      <c r="BP937" s="129"/>
      <c r="BQ937" s="129"/>
      <c r="BR937" s="129"/>
      <c r="BS937" s="129"/>
      <c r="BT937" s="129"/>
      <c r="BU937" s="129"/>
      <c r="BV937" s="129"/>
      <c r="BW937" s="129"/>
      <c r="BX937" s="129"/>
      <c r="BY937" s="129"/>
      <c r="BZ937" s="129"/>
      <c r="CA937" s="129"/>
      <c r="CB937" s="129"/>
      <c r="CC937" s="129"/>
      <c r="CD937" s="129"/>
    </row>
    <row r="938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29"/>
      <c r="AM938" s="129"/>
      <c r="AN938" s="144"/>
      <c r="AO938" s="129"/>
      <c r="AP938" s="129"/>
      <c r="AQ938" s="129"/>
      <c r="AR938" s="129"/>
      <c r="AS938" s="129"/>
      <c r="AT938" s="129"/>
      <c r="AU938" s="129"/>
      <c r="AV938" s="129"/>
      <c r="AW938" s="129"/>
      <c r="AX938" s="129"/>
      <c r="AY938" s="129"/>
      <c r="AZ938" s="129"/>
      <c r="BA938" s="129"/>
      <c r="BB938" s="129"/>
      <c r="BC938" s="129"/>
      <c r="BD938" s="129"/>
      <c r="BE938" s="129"/>
      <c r="BF938" s="144"/>
      <c r="BG938" s="129"/>
      <c r="BH938" s="129"/>
      <c r="BI938" s="129"/>
      <c r="BJ938" s="129"/>
      <c r="BK938" s="129"/>
      <c r="BL938" s="129"/>
      <c r="BM938" s="129"/>
      <c r="BN938" s="129"/>
      <c r="BO938" s="129"/>
      <c r="BP938" s="129"/>
      <c r="BQ938" s="129"/>
      <c r="BR938" s="129"/>
      <c r="BS938" s="129"/>
      <c r="BT938" s="129"/>
      <c r="BU938" s="129"/>
      <c r="BV938" s="129"/>
      <c r="BW938" s="129"/>
      <c r="BX938" s="129"/>
      <c r="BY938" s="129"/>
      <c r="BZ938" s="129"/>
      <c r="CA938" s="129"/>
      <c r="CB938" s="129"/>
      <c r="CC938" s="129"/>
      <c r="CD938" s="129"/>
    </row>
    <row r="939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29"/>
      <c r="AM939" s="129"/>
      <c r="AN939" s="144"/>
      <c r="AO939" s="129"/>
      <c r="AP939" s="129"/>
      <c r="AQ939" s="129"/>
      <c r="AR939" s="129"/>
      <c r="AS939" s="129"/>
      <c r="AT939" s="129"/>
      <c r="AU939" s="129"/>
      <c r="AV939" s="129"/>
      <c r="AW939" s="129"/>
      <c r="AX939" s="129"/>
      <c r="AY939" s="129"/>
      <c r="AZ939" s="129"/>
      <c r="BA939" s="129"/>
      <c r="BB939" s="129"/>
      <c r="BC939" s="129"/>
      <c r="BD939" s="129"/>
      <c r="BE939" s="129"/>
      <c r="BF939" s="144"/>
      <c r="BG939" s="129"/>
      <c r="BH939" s="129"/>
      <c r="BI939" s="129"/>
      <c r="BJ939" s="129"/>
      <c r="BK939" s="129"/>
      <c r="BL939" s="129"/>
      <c r="BM939" s="129"/>
      <c r="BN939" s="129"/>
      <c r="BO939" s="129"/>
      <c r="BP939" s="129"/>
      <c r="BQ939" s="129"/>
      <c r="BR939" s="129"/>
      <c r="BS939" s="129"/>
      <c r="BT939" s="129"/>
      <c r="BU939" s="129"/>
      <c r="BV939" s="129"/>
      <c r="BW939" s="129"/>
      <c r="BX939" s="129"/>
      <c r="BY939" s="129"/>
      <c r="BZ939" s="129"/>
      <c r="CA939" s="129"/>
      <c r="CB939" s="129"/>
      <c r="CC939" s="129"/>
      <c r="CD939" s="129"/>
    </row>
    <row r="940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29"/>
      <c r="AM940" s="129"/>
      <c r="AN940" s="144"/>
      <c r="AO940" s="129"/>
      <c r="AP940" s="129"/>
      <c r="AQ940" s="129"/>
      <c r="AR940" s="129"/>
      <c r="AS940" s="129"/>
      <c r="AT940" s="129"/>
      <c r="AU940" s="129"/>
      <c r="AV940" s="129"/>
      <c r="AW940" s="129"/>
      <c r="AX940" s="129"/>
      <c r="AY940" s="129"/>
      <c r="AZ940" s="129"/>
      <c r="BA940" s="129"/>
      <c r="BB940" s="129"/>
      <c r="BC940" s="129"/>
      <c r="BD940" s="129"/>
      <c r="BE940" s="129"/>
      <c r="BF940" s="144"/>
      <c r="BG940" s="129"/>
      <c r="BH940" s="129"/>
      <c r="BI940" s="129"/>
      <c r="BJ940" s="129"/>
      <c r="BK940" s="129"/>
      <c r="BL940" s="129"/>
      <c r="BM940" s="129"/>
      <c r="BN940" s="129"/>
      <c r="BO940" s="129"/>
      <c r="BP940" s="129"/>
      <c r="BQ940" s="129"/>
      <c r="BR940" s="129"/>
      <c r="BS940" s="129"/>
      <c r="BT940" s="129"/>
      <c r="BU940" s="129"/>
      <c r="BV940" s="129"/>
      <c r="BW940" s="129"/>
      <c r="BX940" s="129"/>
      <c r="BY940" s="129"/>
      <c r="BZ940" s="129"/>
      <c r="CA940" s="129"/>
      <c r="CB940" s="129"/>
      <c r="CC940" s="129"/>
      <c r="CD940" s="129"/>
    </row>
    <row r="94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29"/>
      <c r="AM941" s="129"/>
      <c r="AN941" s="144"/>
      <c r="AO941" s="129"/>
      <c r="AP941" s="129"/>
      <c r="AQ941" s="129"/>
      <c r="AR941" s="129"/>
      <c r="AS941" s="129"/>
      <c r="AT941" s="129"/>
      <c r="AU941" s="129"/>
      <c r="AV941" s="129"/>
      <c r="AW941" s="129"/>
      <c r="AX941" s="129"/>
      <c r="AY941" s="129"/>
      <c r="AZ941" s="129"/>
      <c r="BA941" s="129"/>
      <c r="BB941" s="129"/>
      <c r="BC941" s="129"/>
      <c r="BD941" s="129"/>
      <c r="BE941" s="129"/>
      <c r="BF941" s="144"/>
      <c r="BG941" s="129"/>
      <c r="BH941" s="129"/>
      <c r="BI941" s="129"/>
      <c r="BJ941" s="129"/>
      <c r="BK941" s="129"/>
      <c r="BL941" s="129"/>
      <c r="BM941" s="129"/>
      <c r="BN941" s="129"/>
      <c r="BO941" s="129"/>
      <c r="BP941" s="129"/>
      <c r="BQ941" s="129"/>
      <c r="BR941" s="129"/>
      <c r="BS941" s="129"/>
      <c r="BT941" s="129"/>
      <c r="BU941" s="129"/>
      <c r="BV941" s="129"/>
      <c r="BW941" s="129"/>
      <c r="BX941" s="129"/>
      <c r="BY941" s="129"/>
      <c r="BZ941" s="129"/>
      <c r="CA941" s="129"/>
      <c r="CB941" s="129"/>
      <c r="CC941" s="129"/>
      <c r="CD941" s="129"/>
    </row>
    <row r="942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29"/>
      <c r="AM942" s="129"/>
      <c r="AN942" s="144"/>
      <c r="AO942" s="129"/>
      <c r="AP942" s="129"/>
      <c r="AQ942" s="129"/>
      <c r="AR942" s="129"/>
      <c r="AS942" s="129"/>
      <c r="AT942" s="129"/>
      <c r="AU942" s="129"/>
      <c r="AV942" s="129"/>
      <c r="AW942" s="129"/>
      <c r="AX942" s="129"/>
      <c r="AY942" s="129"/>
      <c r="AZ942" s="129"/>
      <c r="BA942" s="129"/>
      <c r="BB942" s="129"/>
      <c r="BC942" s="129"/>
      <c r="BD942" s="129"/>
      <c r="BE942" s="129"/>
      <c r="BF942" s="144"/>
      <c r="BG942" s="129"/>
      <c r="BH942" s="129"/>
      <c r="BI942" s="129"/>
      <c r="BJ942" s="129"/>
      <c r="BK942" s="129"/>
      <c r="BL942" s="129"/>
      <c r="BM942" s="129"/>
      <c r="BN942" s="129"/>
      <c r="BO942" s="129"/>
      <c r="BP942" s="129"/>
      <c r="BQ942" s="129"/>
      <c r="BR942" s="129"/>
      <c r="BS942" s="129"/>
      <c r="BT942" s="129"/>
      <c r="BU942" s="129"/>
      <c r="BV942" s="129"/>
      <c r="BW942" s="129"/>
      <c r="BX942" s="129"/>
      <c r="BY942" s="129"/>
      <c r="BZ942" s="129"/>
      <c r="CA942" s="129"/>
      <c r="CB942" s="129"/>
      <c r="CC942" s="129"/>
      <c r="CD942" s="129"/>
    </row>
    <row r="943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29"/>
      <c r="AM943" s="129"/>
      <c r="AN943" s="144"/>
      <c r="AO943" s="129"/>
      <c r="AP943" s="129"/>
      <c r="AQ943" s="129"/>
      <c r="AR943" s="129"/>
      <c r="AS943" s="129"/>
      <c r="AT943" s="129"/>
      <c r="AU943" s="129"/>
      <c r="AV943" s="129"/>
      <c r="AW943" s="129"/>
      <c r="AX943" s="129"/>
      <c r="AY943" s="129"/>
      <c r="AZ943" s="129"/>
      <c r="BA943" s="129"/>
      <c r="BB943" s="129"/>
      <c r="BC943" s="129"/>
      <c r="BD943" s="129"/>
      <c r="BE943" s="129"/>
      <c r="BF943" s="144"/>
      <c r="BG943" s="129"/>
      <c r="BH943" s="129"/>
      <c r="BI943" s="129"/>
      <c r="BJ943" s="129"/>
      <c r="BK943" s="129"/>
      <c r="BL943" s="129"/>
      <c r="BM943" s="129"/>
      <c r="BN943" s="129"/>
      <c r="BO943" s="129"/>
      <c r="BP943" s="129"/>
      <c r="BQ943" s="129"/>
      <c r="BR943" s="129"/>
      <c r="BS943" s="129"/>
      <c r="BT943" s="129"/>
      <c r="BU943" s="129"/>
      <c r="BV943" s="129"/>
      <c r="BW943" s="129"/>
      <c r="BX943" s="129"/>
      <c r="BY943" s="129"/>
      <c r="BZ943" s="129"/>
      <c r="CA943" s="129"/>
      <c r="CB943" s="129"/>
      <c r="CC943" s="129"/>
      <c r="CD943" s="129"/>
    </row>
    <row r="944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29"/>
      <c r="AM944" s="129"/>
      <c r="AN944" s="144"/>
      <c r="AO944" s="129"/>
      <c r="AP944" s="129"/>
      <c r="AQ944" s="129"/>
      <c r="AR944" s="129"/>
      <c r="AS944" s="129"/>
      <c r="AT944" s="129"/>
      <c r="AU944" s="129"/>
      <c r="AV944" s="129"/>
      <c r="AW944" s="129"/>
      <c r="AX944" s="129"/>
      <c r="AY944" s="129"/>
      <c r="AZ944" s="129"/>
      <c r="BA944" s="129"/>
      <c r="BB944" s="129"/>
      <c r="BC944" s="129"/>
      <c r="BD944" s="129"/>
      <c r="BE944" s="129"/>
      <c r="BF944" s="144"/>
      <c r="BG944" s="129"/>
      <c r="BH944" s="129"/>
      <c r="BI944" s="129"/>
      <c r="BJ944" s="129"/>
      <c r="BK944" s="129"/>
      <c r="BL944" s="129"/>
      <c r="BM944" s="129"/>
      <c r="BN944" s="129"/>
      <c r="BO944" s="129"/>
      <c r="BP944" s="129"/>
      <c r="BQ944" s="129"/>
      <c r="BR944" s="129"/>
      <c r="BS944" s="129"/>
      <c r="BT944" s="129"/>
      <c r="BU944" s="129"/>
      <c r="BV944" s="129"/>
      <c r="BW944" s="129"/>
      <c r="BX944" s="129"/>
      <c r="BY944" s="129"/>
      <c r="BZ944" s="129"/>
      <c r="CA944" s="129"/>
      <c r="CB944" s="129"/>
      <c r="CC944" s="129"/>
      <c r="CD944" s="129"/>
    </row>
    <row r="945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29"/>
      <c r="AM945" s="129"/>
      <c r="AN945" s="144"/>
      <c r="AO945" s="129"/>
      <c r="AP945" s="129"/>
      <c r="AQ945" s="129"/>
      <c r="AR945" s="129"/>
      <c r="AS945" s="129"/>
      <c r="AT945" s="129"/>
      <c r="AU945" s="129"/>
      <c r="AV945" s="129"/>
      <c r="AW945" s="129"/>
      <c r="AX945" s="129"/>
      <c r="AY945" s="129"/>
      <c r="AZ945" s="129"/>
      <c r="BA945" s="129"/>
      <c r="BB945" s="129"/>
      <c r="BC945" s="129"/>
      <c r="BD945" s="129"/>
      <c r="BE945" s="129"/>
      <c r="BF945" s="144"/>
      <c r="BG945" s="129"/>
      <c r="BH945" s="129"/>
      <c r="BI945" s="129"/>
      <c r="BJ945" s="129"/>
      <c r="BK945" s="129"/>
      <c r="BL945" s="129"/>
      <c r="BM945" s="129"/>
      <c r="BN945" s="129"/>
      <c r="BO945" s="129"/>
      <c r="BP945" s="129"/>
      <c r="BQ945" s="129"/>
      <c r="BR945" s="129"/>
      <c r="BS945" s="129"/>
      <c r="BT945" s="129"/>
      <c r="BU945" s="129"/>
      <c r="BV945" s="129"/>
      <c r="BW945" s="129"/>
      <c r="BX945" s="129"/>
      <c r="BY945" s="129"/>
      <c r="BZ945" s="129"/>
      <c r="CA945" s="129"/>
      <c r="CB945" s="129"/>
      <c r="CC945" s="129"/>
      <c r="CD945" s="129"/>
    </row>
    <row r="946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29"/>
      <c r="AM946" s="129"/>
      <c r="AN946" s="144"/>
      <c r="AO946" s="129"/>
      <c r="AP946" s="129"/>
      <c r="AQ946" s="129"/>
      <c r="AR946" s="129"/>
      <c r="AS946" s="129"/>
      <c r="AT946" s="129"/>
      <c r="AU946" s="129"/>
      <c r="AV946" s="129"/>
      <c r="AW946" s="129"/>
      <c r="AX946" s="129"/>
      <c r="AY946" s="129"/>
      <c r="AZ946" s="129"/>
      <c r="BA946" s="129"/>
      <c r="BB946" s="129"/>
      <c r="BC946" s="129"/>
      <c r="BD946" s="129"/>
      <c r="BE946" s="129"/>
      <c r="BF946" s="144"/>
      <c r="BG946" s="129"/>
      <c r="BH946" s="129"/>
      <c r="BI946" s="129"/>
      <c r="BJ946" s="129"/>
      <c r="BK946" s="129"/>
      <c r="BL946" s="129"/>
      <c r="BM946" s="129"/>
      <c r="BN946" s="129"/>
      <c r="BO946" s="129"/>
      <c r="BP946" s="129"/>
      <c r="BQ946" s="129"/>
      <c r="BR946" s="129"/>
      <c r="BS946" s="129"/>
      <c r="BT946" s="129"/>
      <c r="BU946" s="129"/>
      <c r="BV946" s="129"/>
      <c r="BW946" s="129"/>
      <c r="BX946" s="129"/>
      <c r="BY946" s="129"/>
      <c r="BZ946" s="129"/>
      <c r="CA946" s="129"/>
      <c r="CB946" s="129"/>
      <c r="CC946" s="129"/>
      <c r="CD946" s="129"/>
    </row>
    <row r="947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29"/>
      <c r="AM947" s="129"/>
      <c r="AN947" s="144"/>
      <c r="AO947" s="129"/>
      <c r="AP947" s="129"/>
      <c r="AQ947" s="129"/>
      <c r="AR947" s="129"/>
      <c r="AS947" s="129"/>
      <c r="AT947" s="129"/>
      <c r="AU947" s="129"/>
      <c r="AV947" s="129"/>
      <c r="AW947" s="129"/>
      <c r="AX947" s="129"/>
      <c r="AY947" s="129"/>
      <c r="AZ947" s="129"/>
      <c r="BA947" s="129"/>
      <c r="BB947" s="129"/>
      <c r="BC947" s="129"/>
      <c r="BD947" s="129"/>
      <c r="BE947" s="129"/>
      <c r="BF947" s="144"/>
      <c r="BG947" s="129"/>
      <c r="BH947" s="129"/>
      <c r="BI947" s="129"/>
      <c r="BJ947" s="129"/>
      <c r="BK947" s="129"/>
      <c r="BL947" s="129"/>
      <c r="BM947" s="129"/>
      <c r="BN947" s="129"/>
      <c r="BO947" s="129"/>
      <c r="BP947" s="129"/>
      <c r="BQ947" s="129"/>
      <c r="BR947" s="129"/>
      <c r="BS947" s="129"/>
      <c r="BT947" s="129"/>
      <c r="BU947" s="129"/>
      <c r="BV947" s="129"/>
      <c r="BW947" s="129"/>
      <c r="BX947" s="129"/>
      <c r="BY947" s="129"/>
      <c r="BZ947" s="129"/>
      <c r="CA947" s="129"/>
      <c r="CB947" s="129"/>
      <c r="CC947" s="129"/>
      <c r="CD947" s="129"/>
    </row>
    <row r="948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29"/>
      <c r="AM948" s="129"/>
      <c r="AN948" s="144"/>
      <c r="AO948" s="129"/>
      <c r="AP948" s="129"/>
      <c r="AQ948" s="129"/>
      <c r="AR948" s="129"/>
      <c r="AS948" s="129"/>
      <c r="AT948" s="129"/>
      <c r="AU948" s="129"/>
      <c r="AV948" s="129"/>
      <c r="AW948" s="129"/>
      <c r="AX948" s="129"/>
      <c r="AY948" s="129"/>
      <c r="AZ948" s="129"/>
      <c r="BA948" s="129"/>
      <c r="BB948" s="129"/>
      <c r="BC948" s="129"/>
      <c r="BD948" s="129"/>
      <c r="BE948" s="129"/>
      <c r="BF948" s="144"/>
      <c r="BG948" s="129"/>
      <c r="BH948" s="129"/>
      <c r="BI948" s="129"/>
      <c r="BJ948" s="129"/>
      <c r="BK948" s="129"/>
      <c r="BL948" s="129"/>
      <c r="BM948" s="129"/>
      <c r="BN948" s="129"/>
      <c r="BO948" s="129"/>
      <c r="BP948" s="129"/>
      <c r="BQ948" s="129"/>
      <c r="BR948" s="129"/>
      <c r="BS948" s="129"/>
      <c r="BT948" s="129"/>
      <c r="BU948" s="129"/>
      <c r="BV948" s="129"/>
      <c r="BW948" s="129"/>
      <c r="BX948" s="129"/>
      <c r="BY948" s="129"/>
      <c r="BZ948" s="129"/>
      <c r="CA948" s="129"/>
      <c r="CB948" s="129"/>
      <c r="CC948" s="129"/>
      <c r="CD948" s="129"/>
    </row>
    <row r="949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29"/>
      <c r="AM949" s="129"/>
      <c r="AN949" s="144"/>
      <c r="AO949" s="129"/>
      <c r="AP949" s="129"/>
      <c r="AQ949" s="129"/>
      <c r="AR949" s="129"/>
      <c r="AS949" s="129"/>
      <c r="AT949" s="129"/>
      <c r="AU949" s="129"/>
      <c r="AV949" s="129"/>
      <c r="AW949" s="129"/>
      <c r="AX949" s="129"/>
      <c r="AY949" s="129"/>
      <c r="AZ949" s="129"/>
      <c r="BA949" s="129"/>
      <c r="BB949" s="129"/>
      <c r="BC949" s="129"/>
      <c r="BD949" s="129"/>
      <c r="BE949" s="129"/>
      <c r="BF949" s="144"/>
      <c r="BG949" s="129"/>
      <c r="BH949" s="129"/>
      <c r="BI949" s="129"/>
      <c r="BJ949" s="129"/>
      <c r="BK949" s="129"/>
      <c r="BL949" s="129"/>
      <c r="BM949" s="129"/>
      <c r="BN949" s="129"/>
      <c r="BO949" s="129"/>
      <c r="BP949" s="129"/>
      <c r="BQ949" s="129"/>
      <c r="BR949" s="129"/>
      <c r="BS949" s="129"/>
      <c r="BT949" s="129"/>
      <c r="BU949" s="129"/>
      <c r="BV949" s="129"/>
      <c r="BW949" s="129"/>
      <c r="BX949" s="129"/>
      <c r="BY949" s="129"/>
      <c r="BZ949" s="129"/>
      <c r="CA949" s="129"/>
      <c r="CB949" s="129"/>
      <c r="CC949" s="129"/>
      <c r="CD949" s="129"/>
    </row>
    <row r="950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29"/>
      <c r="AM950" s="129"/>
      <c r="AN950" s="144"/>
      <c r="AO950" s="129"/>
      <c r="AP950" s="129"/>
      <c r="AQ950" s="129"/>
      <c r="AR950" s="129"/>
      <c r="AS950" s="129"/>
      <c r="AT950" s="129"/>
      <c r="AU950" s="129"/>
      <c r="AV950" s="129"/>
      <c r="AW950" s="129"/>
      <c r="AX950" s="129"/>
      <c r="AY950" s="129"/>
      <c r="AZ950" s="129"/>
      <c r="BA950" s="129"/>
      <c r="BB950" s="129"/>
      <c r="BC950" s="129"/>
      <c r="BD950" s="129"/>
      <c r="BE950" s="129"/>
      <c r="BF950" s="144"/>
      <c r="BG950" s="129"/>
      <c r="BH950" s="129"/>
      <c r="BI950" s="129"/>
      <c r="BJ950" s="129"/>
      <c r="BK950" s="129"/>
      <c r="BL950" s="129"/>
      <c r="BM950" s="129"/>
      <c r="BN950" s="129"/>
      <c r="BO950" s="129"/>
      <c r="BP950" s="129"/>
      <c r="BQ950" s="129"/>
      <c r="BR950" s="129"/>
      <c r="BS950" s="129"/>
      <c r="BT950" s="129"/>
      <c r="BU950" s="129"/>
      <c r="BV950" s="129"/>
      <c r="BW950" s="129"/>
      <c r="BX950" s="129"/>
      <c r="BY950" s="129"/>
      <c r="BZ950" s="129"/>
      <c r="CA950" s="129"/>
      <c r="CB950" s="129"/>
      <c r="CC950" s="129"/>
      <c r="CD950" s="129"/>
    </row>
    <row r="95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29"/>
      <c r="AM951" s="129"/>
      <c r="AN951" s="144"/>
      <c r="AO951" s="129"/>
      <c r="AP951" s="129"/>
      <c r="AQ951" s="129"/>
      <c r="AR951" s="129"/>
      <c r="AS951" s="129"/>
      <c r="AT951" s="129"/>
      <c r="AU951" s="129"/>
      <c r="AV951" s="129"/>
      <c r="AW951" s="129"/>
      <c r="AX951" s="129"/>
      <c r="AY951" s="129"/>
      <c r="AZ951" s="129"/>
      <c r="BA951" s="129"/>
      <c r="BB951" s="129"/>
      <c r="BC951" s="129"/>
      <c r="BD951" s="129"/>
      <c r="BE951" s="129"/>
      <c r="BF951" s="144"/>
      <c r="BG951" s="129"/>
      <c r="BH951" s="129"/>
      <c r="BI951" s="129"/>
      <c r="BJ951" s="129"/>
      <c r="BK951" s="129"/>
      <c r="BL951" s="129"/>
      <c r="BM951" s="129"/>
      <c r="BN951" s="129"/>
      <c r="BO951" s="129"/>
      <c r="BP951" s="129"/>
      <c r="BQ951" s="129"/>
      <c r="BR951" s="129"/>
      <c r="BS951" s="129"/>
      <c r="BT951" s="129"/>
      <c r="BU951" s="129"/>
      <c r="BV951" s="129"/>
      <c r="BW951" s="129"/>
      <c r="BX951" s="129"/>
      <c r="BY951" s="129"/>
      <c r="BZ951" s="129"/>
      <c r="CA951" s="129"/>
      <c r="CB951" s="129"/>
      <c r="CC951" s="129"/>
      <c r="CD951" s="129"/>
    </row>
    <row r="952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29"/>
      <c r="AM952" s="129"/>
      <c r="AN952" s="144"/>
      <c r="AO952" s="129"/>
      <c r="AP952" s="129"/>
      <c r="AQ952" s="129"/>
      <c r="AR952" s="129"/>
      <c r="AS952" s="129"/>
      <c r="AT952" s="129"/>
      <c r="AU952" s="129"/>
      <c r="AV952" s="129"/>
      <c r="AW952" s="129"/>
      <c r="AX952" s="129"/>
      <c r="AY952" s="129"/>
      <c r="AZ952" s="129"/>
      <c r="BA952" s="129"/>
      <c r="BB952" s="129"/>
      <c r="BC952" s="129"/>
      <c r="BD952" s="129"/>
      <c r="BE952" s="129"/>
      <c r="BF952" s="144"/>
      <c r="BG952" s="129"/>
      <c r="BH952" s="129"/>
      <c r="BI952" s="129"/>
      <c r="BJ952" s="129"/>
      <c r="BK952" s="129"/>
      <c r="BL952" s="129"/>
      <c r="BM952" s="129"/>
      <c r="BN952" s="129"/>
      <c r="BO952" s="129"/>
      <c r="BP952" s="129"/>
      <c r="BQ952" s="129"/>
      <c r="BR952" s="129"/>
      <c r="BS952" s="129"/>
      <c r="BT952" s="129"/>
      <c r="BU952" s="129"/>
      <c r="BV952" s="129"/>
      <c r="BW952" s="129"/>
      <c r="BX952" s="129"/>
      <c r="BY952" s="129"/>
      <c r="BZ952" s="129"/>
      <c r="CA952" s="129"/>
      <c r="CB952" s="129"/>
      <c r="CC952" s="129"/>
      <c r="CD952" s="129"/>
    </row>
    <row r="953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29"/>
      <c r="AM953" s="129"/>
      <c r="AN953" s="144"/>
      <c r="AO953" s="129"/>
      <c r="AP953" s="129"/>
      <c r="AQ953" s="129"/>
      <c r="AR953" s="129"/>
      <c r="AS953" s="129"/>
      <c r="AT953" s="129"/>
      <c r="AU953" s="129"/>
      <c r="AV953" s="129"/>
      <c r="AW953" s="129"/>
      <c r="AX953" s="129"/>
      <c r="AY953" s="129"/>
      <c r="AZ953" s="129"/>
      <c r="BA953" s="129"/>
      <c r="BB953" s="129"/>
      <c r="BC953" s="129"/>
      <c r="BD953" s="129"/>
      <c r="BE953" s="129"/>
      <c r="BF953" s="144"/>
      <c r="BG953" s="129"/>
      <c r="BH953" s="129"/>
      <c r="BI953" s="129"/>
      <c r="BJ953" s="129"/>
      <c r="BK953" s="129"/>
      <c r="BL953" s="129"/>
      <c r="BM953" s="129"/>
      <c r="BN953" s="129"/>
      <c r="BO953" s="129"/>
      <c r="BP953" s="129"/>
      <c r="BQ953" s="129"/>
      <c r="BR953" s="129"/>
      <c r="BS953" s="129"/>
      <c r="BT953" s="129"/>
      <c r="BU953" s="129"/>
      <c r="BV953" s="129"/>
      <c r="BW953" s="129"/>
      <c r="BX953" s="129"/>
      <c r="BY953" s="129"/>
      <c r="BZ953" s="129"/>
      <c r="CA953" s="129"/>
      <c r="CB953" s="129"/>
      <c r="CC953" s="129"/>
      <c r="CD953" s="129"/>
    </row>
    <row r="954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29"/>
      <c r="AM954" s="129"/>
      <c r="AN954" s="144"/>
      <c r="AO954" s="129"/>
      <c r="AP954" s="129"/>
      <c r="AQ954" s="129"/>
      <c r="AR954" s="129"/>
      <c r="AS954" s="129"/>
      <c r="AT954" s="129"/>
      <c r="AU954" s="129"/>
      <c r="AV954" s="129"/>
      <c r="AW954" s="129"/>
      <c r="AX954" s="129"/>
      <c r="AY954" s="129"/>
      <c r="AZ954" s="129"/>
      <c r="BA954" s="129"/>
      <c r="BB954" s="129"/>
      <c r="BC954" s="129"/>
      <c r="BD954" s="129"/>
      <c r="BE954" s="129"/>
      <c r="BF954" s="144"/>
      <c r="BG954" s="129"/>
      <c r="BH954" s="129"/>
      <c r="BI954" s="129"/>
      <c r="BJ954" s="129"/>
      <c r="BK954" s="129"/>
      <c r="BL954" s="129"/>
      <c r="BM954" s="129"/>
      <c r="BN954" s="129"/>
      <c r="BO954" s="129"/>
      <c r="BP954" s="129"/>
      <c r="BQ954" s="129"/>
      <c r="BR954" s="129"/>
      <c r="BS954" s="129"/>
      <c r="BT954" s="129"/>
      <c r="BU954" s="129"/>
      <c r="BV954" s="129"/>
      <c r="BW954" s="129"/>
      <c r="BX954" s="129"/>
      <c r="BY954" s="129"/>
      <c r="BZ954" s="129"/>
      <c r="CA954" s="129"/>
      <c r="CB954" s="129"/>
      <c r="CC954" s="129"/>
      <c r="CD954" s="129"/>
    </row>
    <row r="955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29"/>
      <c r="AM955" s="129"/>
      <c r="AN955" s="144"/>
      <c r="AO955" s="129"/>
      <c r="AP955" s="129"/>
      <c r="AQ955" s="129"/>
      <c r="AR955" s="129"/>
      <c r="AS955" s="129"/>
      <c r="AT955" s="129"/>
      <c r="AU955" s="129"/>
      <c r="AV955" s="129"/>
      <c r="AW955" s="129"/>
      <c r="AX955" s="129"/>
      <c r="AY955" s="129"/>
      <c r="AZ955" s="129"/>
      <c r="BA955" s="129"/>
      <c r="BB955" s="129"/>
      <c r="BC955" s="129"/>
      <c r="BD955" s="129"/>
      <c r="BE955" s="129"/>
      <c r="BF955" s="144"/>
      <c r="BG955" s="129"/>
      <c r="BH955" s="129"/>
      <c r="BI955" s="129"/>
      <c r="BJ955" s="129"/>
      <c r="BK955" s="129"/>
      <c r="BL955" s="129"/>
      <c r="BM955" s="129"/>
      <c r="BN955" s="129"/>
      <c r="BO955" s="129"/>
      <c r="BP955" s="129"/>
      <c r="BQ955" s="129"/>
      <c r="BR955" s="129"/>
      <c r="BS955" s="129"/>
      <c r="BT955" s="129"/>
      <c r="BU955" s="129"/>
      <c r="BV955" s="129"/>
      <c r="BW955" s="129"/>
      <c r="BX955" s="129"/>
      <c r="BY955" s="129"/>
      <c r="BZ955" s="129"/>
      <c r="CA955" s="129"/>
      <c r="CB955" s="129"/>
      <c r="CC955" s="129"/>
      <c r="CD955" s="129"/>
    </row>
    <row r="956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44"/>
      <c r="AO956" s="129"/>
      <c r="AP956" s="129"/>
      <c r="AQ956" s="129"/>
      <c r="AR956" s="129"/>
      <c r="AS956" s="129"/>
      <c r="AT956" s="129"/>
      <c r="AU956" s="129"/>
      <c r="AV956" s="129"/>
      <c r="AW956" s="129"/>
      <c r="AX956" s="129"/>
      <c r="AY956" s="129"/>
      <c r="AZ956" s="129"/>
      <c r="BA956" s="129"/>
      <c r="BB956" s="129"/>
      <c r="BC956" s="129"/>
      <c r="BD956" s="129"/>
      <c r="BE956" s="129"/>
      <c r="BF956" s="144"/>
      <c r="BG956" s="129"/>
      <c r="BH956" s="129"/>
      <c r="BI956" s="129"/>
      <c r="BJ956" s="129"/>
      <c r="BK956" s="129"/>
      <c r="BL956" s="129"/>
      <c r="BM956" s="129"/>
      <c r="BN956" s="129"/>
      <c r="BO956" s="129"/>
      <c r="BP956" s="129"/>
      <c r="BQ956" s="129"/>
      <c r="BR956" s="129"/>
      <c r="BS956" s="129"/>
      <c r="BT956" s="129"/>
      <c r="BU956" s="129"/>
      <c r="BV956" s="129"/>
      <c r="BW956" s="129"/>
      <c r="BX956" s="129"/>
      <c r="BY956" s="129"/>
      <c r="BZ956" s="129"/>
      <c r="CA956" s="129"/>
      <c r="CB956" s="129"/>
      <c r="CC956" s="129"/>
      <c r="CD956" s="129"/>
    </row>
    <row r="957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44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44"/>
      <c r="BG957" s="129"/>
      <c r="BH957" s="129"/>
      <c r="BI957" s="129"/>
      <c r="BJ957" s="129"/>
      <c r="BK957" s="129"/>
      <c r="BL957" s="129"/>
      <c r="BM957" s="129"/>
      <c r="BN957" s="129"/>
      <c r="BO957" s="129"/>
      <c r="BP957" s="129"/>
      <c r="BQ957" s="129"/>
      <c r="BR957" s="129"/>
      <c r="BS957" s="129"/>
      <c r="BT957" s="129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</row>
    <row r="958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29"/>
      <c r="AM958" s="129"/>
      <c r="AN958" s="144"/>
      <c r="AO958" s="129"/>
      <c r="AP958" s="129"/>
      <c r="AQ958" s="129"/>
      <c r="AR958" s="129"/>
      <c r="AS958" s="129"/>
      <c r="AT958" s="129"/>
      <c r="AU958" s="129"/>
      <c r="AV958" s="129"/>
      <c r="AW958" s="129"/>
      <c r="AX958" s="129"/>
      <c r="AY958" s="129"/>
      <c r="AZ958" s="129"/>
      <c r="BA958" s="129"/>
      <c r="BB958" s="129"/>
      <c r="BC958" s="129"/>
      <c r="BD958" s="129"/>
      <c r="BE958" s="129"/>
      <c r="BF958" s="144"/>
      <c r="BG958" s="129"/>
      <c r="BH958" s="129"/>
      <c r="BI958" s="129"/>
      <c r="BJ958" s="129"/>
      <c r="BK958" s="129"/>
      <c r="BL958" s="129"/>
      <c r="BM958" s="129"/>
      <c r="BN958" s="129"/>
      <c r="BO958" s="129"/>
      <c r="BP958" s="129"/>
      <c r="BQ958" s="129"/>
      <c r="BR958" s="129"/>
      <c r="BS958" s="129"/>
      <c r="BT958" s="129"/>
      <c r="BU958" s="129"/>
      <c r="BV958" s="129"/>
      <c r="BW958" s="129"/>
      <c r="BX958" s="129"/>
      <c r="BY958" s="129"/>
      <c r="BZ958" s="129"/>
      <c r="CA958" s="129"/>
      <c r="CB958" s="129"/>
      <c r="CC958" s="129"/>
      <c r="CD958" s="129"/>
    </row>
    <row r="959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29"/>
      <c r="AM959" s="129"/>
      <c r="AN959" s="144"/>
      <c r="AO959" s="129"/>
      <c r="AP959" s="129"/>
      <c r="AQ959" s="129"/>
      <c r="AR959" s="129"/>
      <c r="AS959" s="129"/>
      <c r="AT959" s="129"/>
      <c r="AU959" s="129"/>
      <c r="AV959" s="129"/>
      <c r="AW959" s="129"/>
      <c r="AX959" s="129"/>
      <c r="AY959" s="129"/>
      <c r="AZ959" s="129"/>
      <c r="BA959" s="129"/>
      <c r="BB959" s="129"/>
      <c r="BC959" s="129"/>
      <c r="BD959" s="129"/>
      <c r="BE959" s="129"/>
      <c r="BF959" s="144"/>
      <c r="BG959" s="129"/>
      <c r="BH959" s="129"/>
      <c r="BI959" s="129"/>
      <c r="BJ959" s="129"/>
      <c r="BK959" s="129"/>
      <c r="BL959" s="129"/>
      <c r="BM959" s="129"/>
      <c r="BN959" s="129"/>
      <c r="BO959" s="129"/>
      <c r="BP959" s="129"/>
      <c r="BQ959" s="129"/>
      <c r="BR959" s="129"/>
      <c r="BS959" s="129"/>
      <c r="BT959" s="12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</row>
    <row r="960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44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44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</row>
    <row r="96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44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44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</row>
    <row r="962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44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44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</row>
    <row r="963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44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44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</row>
    <row r="964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44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44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</row>
    <row r="965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44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44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</row>
    <row r="966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44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44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</row>
    <row r="967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44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44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</row>
    <row r="968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44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44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</row>
    <row r="969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44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44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</row>
    <row r="970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29"/>
      <c r="AM970" s="129"/>
      <c r="AN970" s="144"/>
      <c r="AO970" s="129"/>
      <c r="AP970" s="129"/>
      <c r="AQ970" s="129"/>
      <c r="AR970" s="129"/>
      <c r="AS970" s="129"/>
      <c r="AT970" s="129"/>
      <c r="AU970" s="129"/>
      <c r="AV970" s="129"/>
      <c r="AW970" s="129"/>
      <c r="AX970" s="129"/>
      <c r="AY970" s="129"/>
      <c r="AZ970" s="129"/>
      <c r="BA970" s="129"/>
      <c r="BB970" s="129"/>
      <c r="BC970" s="129"/>
      <c r="BD970" s="129"/>
      <c r="BE970" s="129"/>
      <c r="BF970" s="144"/>
      <c r="BG970" s="129"/>
      <c r="BH970" s="129"/>
      <c r="BI970" s="129"/>
      <c r="BJ970" s="129"/>
      <c r="BK970" s="129"/>
      <c r="BL970" s="129"/>
      <c r="BM970" s="129"/>
      <c r="BN970" s="129"/>
      <c r="BO970" s="129"/>
      <c r="BP970" s="129"/>
      <c r="BQ970" s="129"/>
      <c r="BR970" s="129"/>
      <c r="BS970" s="129"/>
      <c r="BT970" s="129"/>
      <c r="BU970" s="129"/>
      <c r="BV970" s="129"/>
      <c r="BW970" s="129"/>
      <c r="BX970" s="129"/>
      <c r="BY970" s="129"/>
      <c r="BZ970" s="129"/>
      <c r="CA970" s="129"/>
      <c r="CB970" s="129"/>
      <c r="CC970" s="129"/>
      <c r="CD970" s="129"/>
    </row>
    <row r="97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29"/>
      <c r="AM971" s="129"/>
      <c r="AN971" s="144"/>
      <c r="AO971" s="129"/>
      <c r="AP971" s="129"/>
      <c r="AQ971" s="129"/>
      <c r="AR971" s="129"/>
      <c r="AS971" s="129"/>
      <c r="AT971" s="129"/>
      <c r="AU971" s="129"/>
      <c r="AV971" s="129"/>
      <c r="AW971" s="129"/>
      <c r="AX971" s="129"/>
      <c r="AY971" s="129"/>
      <c r="AZ971" s="129"/>
      <c r="BA971" s="129"/>
      <c r="BB971" s="129"/>
      <c r="BC971" s="129"/>
      <c r="BD971" s="129"/>
      <c r="BE971" s="129"/>
      <c r="BF971" s="144"/>
      <c r="BG971" s="129"/>
      <c r="BH971" s="129"/>
      <c r="BI971" s="129"/>
      <c r="BJ971" s="129"/>
      <c r="BK971" s="129"/>
      <c r="BL971" s="129"/>
      <c r="BM971" s="129"/>
      <c r="BN971" s="129"/>
      <c r="BO971" s="129"/>
      <c r="BP971" s="129"/>
      <c r="BQ971" s="129"/>
      <c r="BR971" s="129"/>
      <c r="BS971" s="129"/>
      <c r="BT971" s="129"/>
      <c r="BU971" s="129"/>
      <c r="BV971" s="129"/>
      <c r="BW971" s="129"/>
      <c r="BX971" s="129"/>
      <c r="BY971" s="129"/>
      <c r="BZ971" s="129"/>
      <c r="CA971" s="129"/>
      <c r="CB971" s="129"/>
      <c r="CC971" s="129"/>
      <c r="CD971" s="129"/>
    </row>
    <row r="972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29"/>
      <c r="AM972" s="129"/>
      <c r="AN972" s="144"/>
      <c r="AO972" s="129"/>
      <c r="AP972" s="129"/>
      <c r="AQ972" s="129"/>
      <c r="AR972" s="129"/>
      <c r="AS972" s="129"/>
      <c r="AT972" s="129"/>
      <c r="AU972" s="129"/>
      <c r="AV972" s="129"/>
      <c r="AW972" s="129"/>
      <c r="AX972" s="129"/>
      <c r="AY972" s="129"/>
      <c r="AZ972" s="129"/>
      <c r="BA972" s="129"/>
      <c r="BB972" s="129"/>
      <c r="BC972" s="129"/>
      <c r="BD972" s="129"/>
      <c r="BE972" s="129"/>
      <c r="BF972" s="144"/>
      <c r="BG972" s="129"/>
      <c r="BH972" s="129"/>
      <c r="BI972" s="129"/>
      <c r="BJ972" s="129"/>
      <c r="BK972" s="129"/>
      <c r="BL972" s="129"/>
      <c r="BM972" s="129"/>
      <c r="BN972" s="129"/>
      <c r="BO972" s="129"/>
      <c r="BP972" s="129"/>
      <c r="BQ972" s="129"/>
      <c r="BR972" s="129"/>
      <c r="BS972" s="129"/>
      <c r="BT972" s="129"/>
      <c r="BU972" s="129"/>
      <c r="BV972" s="129"/>
      <c r="BW972" s="129"/>
      <c r="BX972" s="129"/>
      <c r="BY972" s="129"/>
      <c r="BZ972" s="129"/>
      <c r="CA972" s="129"/>
      <c r="CB972" s="129"/>
      <c r="CC972" s="129"/>
      <c r="CD972" s="129"/>
    </row>
    <row r="973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29"/>
      <c r="AM973" s="129"/>
      <c r="AN973" s="144"/>
      <c r="AO973" s="129"/>
      <c r="AP973" s="129"/>
      <c r="AQ973" s="129"/>
      <c r="AR973" s="129"/>
      <c r="AS973" s="129"/>
      <c r="AT973" s="129"/>
      <c r="AU973" s="129"/>
      <c r="AV973" s="129"/>
      <c r="AW973" s="129"/>
      <c r="AX973" s="129"/>
      <c r="AY973" s="129"/>
      <c r="AZ973" s="129"/>
      <c r="BA973" s="129"/>
      <c r="BB973" s="129"/>
      <c r="BC973" s="129"/>
      <c r="BD973" s="129"/>
      <c r="BE973" s="129"/>
      <c r="BF973" s="144"/>
      <c r="BG973" s="129"/>
      <c r="BH973" s="129"/>
      <c r="BI973" s="129"/>
      <c r="BJ973" s="129"/>
      <c r="BK973" s="129"/>
      <c r="BL973" s="129"/>
      <c r="BM973" s="129"/>
      <c r="BN973" s="129"/>
      <c r="BO973" s="129"/>
      <c r="BP973" s="129"/>
      <c r="BQ973" s="129"/>
      <c r="BR973" s="129"/>
      <c r="BS973" s="129"/>
      <c r="BT973" s="129"/>
      <c r="BU973" s="129"/>
      <c r="BV973" s="129"/>
      <c r="BW973" s="129"/>
      <c r="BX973" s="129"/>
      <c r="BY973" s="129"/>
      <c r="BZ973" s="129"/>
      <c r="CA973" s="129"/>
      <c r="CB973" s="129"/>
      <c r="CC973" s="129"/>
      <c r="CD973" s="129"/>
    </row>
    <row r="974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29"/>
      <c r="AM974" s="129"/>
      <c r="AN974" s="144"/>
      <c r="AO974" s="129"/>
      <c r="AP974" s="129"/>
      <c r="AQ974" s="129"/>
      <c r="AR974" s="129"/>
      <c r="AS974" s="129"/>
      <c r="AT974" s="129"/>
      <c r="AU974" s="129"/>
      <c r="AV974" s="129"/>
      <c r="AW974" s="129"/>
      <c r="AX974" s="129"/>
      <c r="AY974" s="129"/>
      <c r="AZ974" s="129"/>
      <c r="BA974" s="129"/>
      <c r="BB974" s="129"/>
      <c r="BC974" s="129"/>
      <c r="BD974" s="129"/>
      <c r="BE974" s="129"/>
      <c r="BF974" s="144"/>
      <c r="BG974" s="129"/>
      <c r="BH974" s="129"/>
      <c r="BI974" s="129"/>
      <c r="BJ974" s="129"/>
      <c r="BK974" s="129"/>
      <c r="BL974" s="129"/>
      <c r="BM974" s="129"/>
      <c r="BN974" s="129"/>
      <c r="BO974" s="129"/>
      <c r="BP974" s="129"/>
      <c r="BQ974" s="129"/>
      <c r="BR974" s="129"/>
      <c r="BS974" s="129"/>
      <c r="BT974" s="129"/>
      <c r="BU974" s="129"/>
      <c r="BV974" s="129"/>
      <c r="BW974" s="129"/>
      <c r="BX974" s="129"/>
      <c r="BY974" s="129"/>
      <c r="BZ974" s="129"/>
      <c r="CA974" s="129"/>
      <c r="CB974" s="129"/>
      <c r="CC974" s="129"/>
      <c r="CD974" s="129"/>
    </row>
    <row r="975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29"/>
      <c r="AM975" s="129"/>
      <c r="AN975" s="144"/>
      <c r="AO975" s="129"/>
      <c r="AP975" s="129"/>
      <c r="AQ975" s="129"/>
      <c r="AR975" s="129"/>
      <c r="AS975" s="129"/>
      <c r="AT975" s="129"/>
      <c r="AU975" s="129"/>
      <c r="AV975" s="129"/>
      <c r="AW975" s="129"/>
      <c r="AX975" s="129"/>
      <c r="AY975" s="129"/>
      <c r="AZ975" s="129"/>
      <c r="BA975" s="129"/>
      <c r="BB975" s="129"/>
      <c r="BC975" s="129"/>
      <c r="BD975" s="129"/>
      <c r="BE975" s="129"/>
      <c r="BF975" s="144"/>
      <c r="BG975" s="129"/>
      <c r="BH975" s="129"/>
      <c r="BI975" s="129"/>
      <c r="BJ975" s="129"/>
      <c r="BK975" s="129"/>
      <c r="BL975" s="129"/>
      <c r="BM975" s="129"/>
      <c r="BN975" s="129"/>
      <c r="BO975" s="129"/>
      <c r="BP975" s="129"/>
      <c r="BQ975" s="129"/>
      <c r="BR975" s="129"/>
      <c r="BS975" s="129"/>
      <c r="BT975" s="129"/>
      <c r="BU975" s="129"/>
      <c r="BV975" s="129"/>
      <c r="BW975" s="129"/>
      <c r="BX975" s="129"/>
      <c r="BY975" s="129"/>
      <c r="BZ975" s="129"/>
      <c r="CA975" s="129"/>
      <c r="CB975" s="129"/>
      <c r="CC975" s="129"/>
      <c r="CD975" s="129"/>
    </row>
    <row r="976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29"/>
      <c r="AM976" s="129"/>
      <c r="AN976" s="144"/>
      <c r="AO976" s="129"/>
      <c r="AP976" s="129"/>
      <c r="AQ976" s="129"/>
      <c r="AR976" s="129"/>
      <c r="AS976" s="129"/>
      <c r="AT976" s="129"/>
      <c r="AU976" s="129"/>
      <c r="AV976" s="129"/>
      <c r="AW976" s="129"/>
      <c r="AX976" s="129"/>
      <c r="AY976" s="129"/>
      <c r="AZ976" s="129"/>
      <c r="BA976" s="129"/>
      <c r="BB976" s="129"/>
      <c r="BC976" s="129"/>
      <c r="BD976" s="129"/>
      <c r="BE976" s="129"/>
      <c r="BF976" s="144"/>
      <c r="BG976" s="129"/>
      <c r="BH976" s="129"/>
      <c r="BI976" s="129"/>
      <c r="BJ976" s="129"/>
      <c r="BK976" s="129"/>
      <c r="BL976" s="129"/>
      <c r="BM976" s="129"/>
      <c r="BN976" s="129"/>
      <c r="BO976" s="129"/>
      <c r="BP976" s="129"/>
      <c r="BQ976" s="129"/>
      <c r="BR976" s="129"/>
      <c r="BS976" s="129"/>
      <c r="BT976" s="129"/>
      <c r="BU976" s="129"/>
      <c r="BV976" s="129"/>
      <c r="BW976" s="129"/>
      <c r="BX976" s="129"/>
      <c r="BY976" s="129"/>
      <c r="BZ976" s="129"/>
      <c r="CA976" s="129"/>
      <c r="CB976" s="129"/>
      <c r="CC976" s="129"/>
      <c r="CD976" s="129"/>
    </row>
    <row r="977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29"/>
      <c r="AM977" s="129"/>
      <c r="AN977" s="144"/>
      <c r="AO977" s="129"/>
      <c r="AP977" s="129"/>
      <c r="AQ977" s="129"/>
      <c r="AR977" s="129"/>
      <c r="AS977" s="129"/>
      <c r="AT977" s="129"/>
      <c r="AU977" s="129"/>
      <c r="AV977" s="129"/>
      <c r="AW977" s="129"/>
      <c r="AX977" s="129"/>
      <c r="AY977" s="129"/>
      <c r="AZ977" s="129"/>
      <c r="BA977" s="129"/>
      <c r="BB977" s="129"/>
      <c r="BC977" s="129"/>
      <c r="BD977" s="129"/>
      <c r="BE977" s="129"/>
      <c r="BF977" s="144"/>
      <c r="BG977" s="129"/>
      <c r="BH977" s="129"/>
      <c r="BI977" s="129"/>
      <c r="BJ977" s="129"/>
      <c r="BK977" s="129"/>
      <c r="BL977" s="129"/>
      <c r="BM977" s="129"/>
      <c r="BN977" s="129"/>
      <c r="BO977" s="129"/>
      <c r="BP977" s="129"/>
      <c r="BQ977" s="129"/>
      <c r="BR977" s="129"/>
      <c r="BS977" s="129"/>
      <c r="BT977" s="129"/>
      <c r="BU977" s="129"/>
      <c r="BV977" s="129"/>
      <c r="BW977" s="129"/>
      <c r="BX977" s="129"/>
      <c r="BY977" s="129"/>
      <c r="BZ977" s="129"/>
      <c r="CA977" s="129"/>
      <c r="CB977" s="129"/>
      <c r="CC977" s="129"/>
      <c r="CD977" s="129"/>
    </row>
    <row r="978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29"/>
      <c r="AM978" s="129"/>
      <c r="AN978" s="144"/>
      <c r="AO978" s="129"/>
      <c r="AP978" s="129"/>
      <c r="AQ978" s="129"/>
      <c r="AR978" s="129"/>
      <c r="AS978" s="129"/>
      <c r="AT978" s="129"/>
      <c r="AU978" s="129"/>
      <c r="AV978" s="129"/>
      <c r="AW978" s="129"/>
      <c r="AX978" s="129"/>
      <c r="AY978" s="129"/>
      <c r="AZ978" s="129"/>
      <c r="BA978" s="129"/>
      <c r="BB978" s="129"/>
      <c r="BC978" s="129"/>
      <c r="BD978" s="129"/>
      <c r="BE978" s="129"/>
      <c r="BF978" s="144"/>
      <c r="BG978" s="129"/>
      <c r="BH978" s="129"/>
      <c r="BI978" s="129"/>
      <c r="BJ978" s="129"/>
      <c r="BK978" s="129"/>
      <c r="BL978" s="129"/>
      <c r="BM978" s="129"/>
      <c r="BN978" s="129"/>
      <c r="BO978" s="129"/>
      <c r="BP978" s="129"/>
      <c r="BQ978" s="129"/>
      <c r="BR978" s="129"/>
      <c r="BS978" s="129"/>
      <c r="BT978" s="129"/>
      <c r="BU978" s="129"/>
      <c r="BV978" s="129"/>
      <c r="BW978" s="129"/>
      <c r="BX978" s="129"/>
      <c r="BY978" s="129"/>
      <c r="BZ978" s="129"/>
      <c r="CA978" s="129"/>
      <c r="CB978" s="129"/>
      <c r="CC978" s="129"/>
      <c r="CD978" s="129"/>
    </row>
    <row r="979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29"/>
      <c r="AM979" s="129"/>
      <c r="AN979" s="144"/>
      <c r="AO979" s="129"/>
      <c r="AP979" s="129"/>
      <c r="AQ979" s="129"/>
      <c r="AR979" s="129"/>
      <c r="AS979" s="129"/>
      <c r="AT979" s="129"/>
      <c r="AU979" s="129"/>
      <c r="AV979" s="129"/>
      <c r="AW979" s="129"/>
      <c r="AX979" s="129"/>
      <c r="AY979" s="129"/>
      <c r="AZ979" s="129"/>
      <c r="BA979" s="129"/>
      <c r="BB979" s="129"/>
      <c r="BC979" s="129"/>
      <c r="BD979" s="129"/>
      <c r="BE979" s="129"/>
      <c r="BF979" s="144"/>
      <c r="BG979" s="129"/>
      <c r="BH979" s="129"/>
      <c r="BI979" s="129"/>
      <c r="BJ979" s="129"/>
      <c r="BK979" s="129"/>
      <c r="BL979" s="129"/>
      <c r="BM979" s="129"/>
      <c r="BN979" s="129"/>
      <c r="BO979" s="129"/>
      <c r="BP979" s="129"/>
      <c r="BQ979" s="129"/>
      <c r="BR979" s="129"/>
      <c r="BS979" s="129"/>
      <c r="BT979" s="129"/>
      <c r="BU979" s="129"/>
      <c r="BV979" s="129"/>
      <c r="BW979" s="129"/>
      <c r="BX979" s="129"/>
      <c r="BY979" s="129"/>
      <c r="BZ979" s="129"/>
      <c r="CA979" s="129"/>
      <c r="CB979" s="129"/>
      <c r="CC979" s="129"/>
      <c r="CD979" s="129"/>
    </row>
    <row r="980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29"/>
      <c r="AM980" s="129"/>
      <c r="AN980" s="144"/>
      <c r="AO980" s="129"/>
      <c r="AP980" s="129"/>
      <c r="AQ980" s="129"/>
      <c r="AR980" s="129"/>
      <c r="AS980" s="129"/>
      <c r="AT980" s="129"/>
      <c r="AU980" s="129"/>
      <c r="AV980" s="129"/>
      <c r="AW980" s="129"/>
      <c r="AX980" s="129"/>
      <c r="AY980" s="129"/>
      <c r="AZ980" s="129"/>
      <c r="BA980" s="129"/>
      <c r="BB980" s="129"/>
      <c r="BC980" s="129"/>
      <c r="BD980" s="129"/>
      <c r="BE980" s="129"/>
      <c r="BF980" s="144"/>
      <c r="BG980" s="129"/>
      <c r="BH980" s="129"/>
      <c r="BI980" s="129"/>
      <c r="BJ980" s="129"/>
      <c r="BK980" s="129"/>
      <c r="BL980" s="129"/>
      <c r="BM980" s="129"/>
      <c r="BN980" s="129"/>
      <c r="BO980" s="129"/>
      <c r="BP980" s="129"/>
      <c r="BQ980" s="129"/>
      <c r="BR980" s="129"/>
      <c r="BS980" s="129"/>
      <c r="BT980" s="129"/>
      <c r="BU980" s="129"/>
      <c r="BV980" s="129"/>
      <c r="BW980" s="129"/>
      <c r="BX980" s="129"/>
      <c r="BY980" s="129"/>
      <c r="BZ980" s="129"/>
      <c r="CA980" s="129"/>
      <c r="CB980" s="129"/>
      <c r="CC980" s="129"/>
      <c r="CD980" s="129"/>
    </row>
    <row r="98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29"/>
      <c r="AM981" s="129"/>
      <c r="AN981" s="144"/>
      <c r="AO981" s="129"/>
      <c r="AP981" s="129"/>
      <c r="AQ981" s="129"/>
      <c r="AR981" s="129"/>
      <c r="AS981" s="129"/>
      <c r="AT981" s="129"/>
      <c r="AU981" s="129"/>
      <c r="AV981" s="129"/>
      <c r="AW981" s="129"/>
      <c r="AX981" s="129"/>
      <c r="AY981" s="129"/>
      <c r="AZ981" s="129"/>
      <c r="BA981" s="129"/>
      <c r="BB981" s="129"/>
      <c r="BC981" s="129"/>
      <c r="BD981" s="129"/>
      <c r="BE981" s="129"/>
      <c r="BF981" s="144"/>
      <c r="BG981" s="129"/>
      <c r="BH981" s="129"/>
      <c r="BI981" s="129"/>
      <c r="BJ981" s="129"/>
      <c r="BK981" s="129"/>
      <c r="BL981" s="129"/>
      <c r="BM981" s="129"/>
      <c r="BN981" s="129"/>
      <c r="BO981" s="129"/>
      <c r="BP981" s="129"/>
      <c r="BQ981" s="129"/>
      <c r="BR981" s="129"/>
      <c r="BS981" s="129"/>
      <c r="BT981" s="129"/>
      <c r="BU981" s="129"/>
      <c r="BV981" s="129"/>
      <c r="BW981" s="129"/>
      <c r="BX981" s="129"/>
      <c r="BY981" s="129"/>
      <c r="BZ981" s="129"/>
      <c r="CA981" s="129"/>
      <c r="CB981" s="129"/>
      <c r="CC981" s="129"/>
      <c r="CD981" s="129"/>
    </row>
    <row r="982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29"/>
      <c r="AM982" s="129"/>
      <c r="AN982" s="144"/>
      <c r="AO982" s="129"/>
      <c r="AP982" s="129"/>
      <c r="AQ982" s="129"/>
      <c r="AR982" s="129"/>
      <c r="AS982" s="129"/>
      <c r="AT982" s="129"/>
      <c r="AU982" s="129"/>
      <c r="AV982" s="129"/>
      <c r="AW982" s="129"/>
      <c r="AX982" s="129"/>
      <c r="AY982" s="129"/>
      <c r="AZ982" s="129"/>
      <c r="BA982" s="129"/>
      <c r="BB982" s="129"/>
      <c r="BC982" s="129"/>
      <c r="BD982" s="129"/>
      <c r="BE982" s="129"/>
      <c r="BF982" s="144"/>
      <c r="BG982" s="129"/>
      <c r="BH982" s="129"/>
      <c r="BI982" s="129"/>
      <c r="BJ982" s="129"/>
      <c r="BK982" s="129"/>
      <c r="BL982" s="129"/>
      <c r="BM982" s="129"/>
      <c r="BN982" s="129"/>
      <c r="BO982" s="129"/>
      <c r="BP982" s="129"/>
      <c r="BQ982" s="129"/>
      <c r="BR982" s="129"/>
      <c r="BS982" s="129"/>
      <c r="BT982" s="129"/>
      <c r="BU982" s="129"/>
      <c r="BV982" s="129"/>
      <c r="BW982" s="129"/>
      <c r="BX982" s="129"/>
      <c r="BY982" s="129"/>
      <c r="BZ982" s="129"/>
      <c r="CA982" s="129"/>
      <c r="CB982" s="129"/>
      <c r="CC982" s="129"/>
      <c r="CD982" s="129"/>
    </row>
    <row r="983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29"/>
      <c r="AM983" s="129"/>
      <c r="AN983" s="144"/>
      <c r="AO983" s="129"/>
      <c r="AP983" s="129"/>
      <c r="AQ983" s="129"/>
      <c r="AR983" s="129"/>
      <c r="AS983" s="129"/>
      <c r="AT983" s="129"/>
      <c r="AU983" s="129"/>
      <c r="AV983" s="129"/>
      <c r="AW983" s="129"/>
      <c r="AX983" s="129"/>
      <c r="AY983" s="129"/>
      <c r="AZ983" s="129"/>
      <c r="BA983" s="129"/>
      <c r="BB983" s="129"/>
      <c r="BC983" s="129"/>
      <c r="BD983" s="129"/>
      <c r="BE983" s="129"/>
      <c r="BF983" s="144"/>
      <c r="BG983" s="129"/>
      <c r="BH983" s="129"/>
      <c r="BI983" s="129"/>
      <c r="BJ983" s="129"/>
      <c r="BK983" s="129"/>
      <c r="BL983" s="129"/>
      <c r="BM983" s="129"/>
      <c r="BN983" s="129"/>
      <c r="BO983" s="129"/>
      <c r="BP983" s="129"/>
      <c r="BQ983" s="129"/>
      <c r="BR983" s="129"/>
      <c r="BS983" s="129"/>
      <c r="BT983" s="129"/>
      <c r="BU983" s="129"/>
      <c r="BV983" s="129"/>
      <c r="BW983" s="129"/>
      <c r="BX983" s="129"/>
      <c r="BY983" s="129"/>
      <c r="BZ983" s="129"/>
      <c r="CA983" s="129"/>
      <c r="CB983" s="129"/>
      <c r="CC983" s="129"/>
      <c r="CD983" s="129"/>
    </row>
    <row r="984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29"/>
      <c r="AM984" s="129"/>
      <c r="AN984" s="144"/>
      <c r="AO984" s="129"/>
      <c r="AP984" s="129"/>
      <c r="AQ984" s="129"/>
      <c r="AR984" s="129"/>
      <c r="AS984" s="129"/>
      <c r="AT984" s="129"/>
      <c r="AU984" s="129"/>
      <c r="AV984" s="129"/>
      <c r="AW984" s="129"/>
      <c r="AX984" s="129"/>
      <c r="AY984" s="129"/>
      <c r="AZ984" s="129"/>
      <c r="BA984" s="129"/>
      <c r="BB984" s="129"/>
      <c r="BC984" s="129"/>
      <c r="BD984" s="129"/>
      <c r="BE984" s="129"/>
      <c r="BF984" s="144"/>
      <c r="BG984" s="129"/>
      <c r="BH984" s="129"/>
      <c r="BI984" s="129"/>
      <c r="BJ984" s="129"/>
      <c r="BK984" s="129"/>
      <c r="BL984" s="129"/>
      <c r="BM984" s="129"/>
      <c r="BN984" s="129"/>
      <c r="BO984" s="129"/>
      <c r="BP984" s="129"/>
      <c r="BQ984" s="129"/>
      <c r="BR984" s="129"/>
      <c r="BS984" s="129"/>
      <c r="BT984" s="129"/>
      <c r="BU984" s="129"/>
      <c r="BV984" s="129"/>
      <c r="BW984" s="129"/>
      <c r="BX984" s="129"/>
      <c r="BY984" s="129"/>
      <c r="BZ984" s="129"/>
      <c r="CA984" s="129"/>
      <c r="CB984" s="129"/>
      <c r="CC984" s="129"/>
      <c r="CD984" s="129"/>
    </row>
    <row r="985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29"/>
      <c r="AM985" s="129"/>
      <c r="AN985" s="144"/>
      <c r="AO985" s="129"/>
      <c r="AP985" s="129"/>
      <c r="AQ985" s="129"/>
      <c r="AR985" s="129"/>
      <c r="AS985" s="129"/>
      <c r="AT985" s="129"/>
      <c r="AU985" s="129"/>
      <c r="AV985" s="129"/>
      <c r="AW985" s="129"/>
      <c r="AX985" s="129"/>
      <c r="AY985" s="129"/>
      <c r="AZ985" s="129"/>
      <c r="BA985" s="129"/>
      <c r="BB985" s="129"/>
      <c r="BC985" s="129"/>
      <c r="BD985" s="129"/>
      <c r="BE985" s="129"/>
      <c r="BF985" s="144"/>
      <c r="BG985" s="129"/>
      <c r="BH985" s="129"/>
      <c r="BI985" s="129"/>
      <c r="BJ985" s="129"/>
      <c r="BK985" s="129"/>
      <c r="BL985" s="129"/>
      <c r="BM985" s="129"/>
      <c r="BN985" s="129"/>
      <c r="BO985" s="129"/>
      <c r="BP985" s="129"/>
      <c r="BQ985" s="129"/>
      <c r="BR985" s="129"/>
      <c r="BS985" s="129"/>
      <c r="BT985" s="129"/>
      <c r="BU985" s="129"/>
      <c r="BV985" s="129"/>
      <c r="BW985" s="129"/>
      <c r="BX985" s="129"/>
      <c r="BY985" s="129"/>
      <c r="BZ985" s="129"/>
      <c r="CA985" s="129"/>
      <c r="CB985" s="129"/>
      <c r="CC985" s="129"/>
      <c r="CD985" s="129"/>
    </row>
    <row r="986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29"/>
      <c r="AM986" s="129"/>
      <c r="AN986" s="144"/>
      <c r="AO986" s="129"/>
      <c r="AP986" s="129"/>
      <c r="AQ986" s="129"/>
      <c r="AR986" s="129"/>
      <c r="AS986" s="129"/>
      <c r="AT986" s="129"/>
      <c r="AU986" s="129"/>
      <c r="AV986" s="129"/>
      <c r="AW986" s="129"/>
      <c r="AX986" s="129"/>
      <c r="AY986" s="129"/>
      <c r="AZ986" s="129"/>
      <c r="BA986" s="129"/>
      <c r="BB986" s="129"/>
      <c r="BC986" s="129"/>
      <c r="BD986" s="129"/>
      <c r="BE986" s="129"/>
      <c r="BF986" s="144"/>
      <c r="BG986" s="129"/>
      <c r="BH986" s="129"/>
      <c r="BI986" s="129"/>
      <c r="BJ986" s="129"/>
      <c r="BK986" s="129"/>
      <c r="BL986" s="129"/>
      <c r="BM986" s="129"/>
      <c r="BN986" s="129"/>
      <c r="BO986" s="129"/>
      <c r="BP986" s="129"/>
      <c r="BQ986" s="129"/>
      <c r="BR986" s="129"/>
      <c r="BS986" s="129"/>
      <c r="BT986" s="129"/>
      <c r="BU986" s="129"/>
      <c r="BV986" s="129"/>
      <c r="BW986" s="129"/>
      <c r="BX986" s="129"/>
      <c r="BY986" s="129"/>
      <c r="BZ986" s="129"/>
      <c r="CA986" s="129"/>
      <c r="CB986" s="129"/>
      <c r="CC986" s="129"/>
      <c r="CD986" s="129"/>
    </row>
    <row r="987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29"/>
      <c r="AM987" s="129"/>
      <c r="AN987" s="144"/>
      <c r="AO987" s="129"/>
      <c r="AP987" s="129"/>
      <c r="AQ987" s="129"/>
      <c r="AR987" s="129"/>
      <c r="AS987" s="129"/>
      <c r="AT987" s="129"/>
      <c r="AU987" s="129"/>
      <c r="AV987" s="129"/>
      <c r="AW987" s="129"/>
      <c r="AX987" s="129"/>
      <c r="AY987" s="129"/>
      <c r="AZ987" s="129"/>
      <c r="BA987" s="129"/>
      <c r="BB987" s="129"/>
      <c r="BC987" s="129"/>
      <c r="BD987" s="129"/>
      <c r="BE987" s="129"/>
      <c r="BF987" s="144"/>
      <c r="BG987" s="129"/>
      <c r="BH987" s="129"/>
      <c r="BI987" s="129"/>
      <c r="BJ987" s="129"/>
      <c r="BK987" s="129"/>
      <c r="BL987" s="129"/>
      <c r="BM987" s="129"/>
      <c r="BN987" s="129"/>
      <c r="BO987" s="129"/>
      <c r="BP987" s="129"/>
      <c r="BQ987" s="129"/>
      <c r="BR987" s="129"/>
      <c r="BS987" s="129"/>
      <c r="BT987" s="129"/>
      <c r="BU987" s="129"/>
      <c r="BV987" s="129"/>
      <c r="BW987" s="129"/>
      <c r="BX987" s="129"/>
      <c r="BY987" s="129"/>
      <c r="BZ987" s="129"/>
      <c r="CA987" s="129"/>
      <c r="CB987" s="129"/>
      <c r="CC987" s="129"/>
      <c r="CD987" s="129"/>
    </row>
    <row r="988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29"/>
      <c r="AM988" s="129"/>
      <c r="AN988" s="144"/>
      <c r="AO988" s="129"/>
      <c r="AP988" s="129"/>
      <c r="AQ988" s="129"/>
      <c r="AR988" s="129"/>
      <c r="AS988" s="129"/>
      <c r="AT988" s="129"/>
      <c r="AU988" s="129"/>
      <c r="AV988" s="129"/>
      <c r="AW988" s="129"/>
      <c r="AX988" s="129"/>
      <c r="AY988" s="129"/>
      <c r="AZ988" s="129"/>
      <c r="BA988" s="129"/>
      <c r="BB988" s="129"/>
      <c r="BC988" s="129"/>
      <c r="BD988" s="129"/>
      <c r="BE988" s="129"/>
      <c r="BF988" s="144"/>
      <c r="BG988" s="129"/>
      <c r="BH988" s="129"/>
      <c r="BI988" s="129"/>
      <c r="BJ988" s="129"/>
      <c r="BK988" s="129"/>
      <c r="BL988" s="129"/>
      <c r="BM988" s="129"/>
      <c r="BN988" s="129"/>
      <c r="BO988" s="129"/>
      <c r="BP988" s="129"/>
      <c r="BQ988" s="129"/>
      <c r="BR988" s="129"/>
      <c r="BS988" s="129"/>
      <c r="BT988" s="129"/>
      <c r="BU988" s="129"/>
      <c r="BV988" s="129"/>
      <c r="BW988" s="129"/>
      <c r="BX988" s="129"/>
      <c r="BY988" s="129"/>
      <c r="BZ988" s="129"/>
      <c r="CA988" s="129"/>
      <c r="CB988" s="129"/>
      <c r="CC988" s="129"/>
      <c r="CD988" s="129"/>
    </row>
    <row r="989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29"/>
      <c r="AM989" s="129"/>
      <c r="AN989" s="144"/>
      <c r="AO989" s="129"/>
      <c r="AP989" s="129"/>
      <c r="AQ989" s="129"/>
      <c r="AR989" s="129"/>
      <c r="AS989" s="129"/>
      <c r="AT989" s="129"/>
      <c r="AU989" s="129"/>
      <c r="AV989" s="129"/>
      <c r="AW989" s="129"/>
      <c r="AX989" s="129"/>
      <c r="AY989" s="129"/>
      <c r="AZ989" s="129"/>
      <c r="BA989" s="129"/>
      <c r="BB989" s="129"/>
      <c r="BC989" s="129"/>
      <c r="BD989" s="129"/>
      <c r="BE989" s="129"/>
      <c r="BF989" s="144"/>
      <c r="BG989" s="129"/>
      <c r="BH989" s="129"/>
      <c r="BI989" s="129"/>
      <c r="BJ989" s="129"/>
      <c r="BK989" s="129"/>
      <c r="BL989" s="129"/>
      <c r="BM989" s="129"/>
      <c r="BN989" s="129"/>
      <c r="BO989" s="129"/>
      <c r="BP989" s="129"/>
      <c r="BQ989" s="129"/>
      <c r="BR989" s="129"/>
      <c r="BS989" s="129"/>
      <c r="BT989" s="129"/>
      <c r="BU989" s="129"/>
      <c r="BV989" s="129"/>
      <c r="BW989" s="129"/>
      <c r="BX989" s="129"/>
      <c r="BY989" s="129"/>
      <c r="BZ989" s="129"/>
      <c r="CA989" s="129"/>
      <c r="CB989" s="129"/>
      <c r="CC989" s="129"/>
      <c r="CD989" s="129"/>
    </row>
    <row r="990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29"/>
      <c r="AM990" s="129"/>
      <c r="AN990" s="144"/>
      <c r="AO990" s="129"/>
      <c r="AP990" s="129"/>
      <c r="AQ990" s="129"/>
      <c r="AR990" s="129"/>
      <c r="AS990" s="129"/>
      <c r="AT990" s="129"/>
      <c r="AU990" s="129"/>
      <c r="AV990" s="129"/>
      <c r="AW990" s="129"/>
      <c r="AX990" s="129"/>
      <c r="AY990" s="129"/>
      <c r="AZ990" s="129"/>
      <c r="BA990" s="129"/>
      <c r="BB990" s="129"/>
      <c r="BC990" s="129"/>
      <c r="BD990" s="129"/>
      <c r="BE990" s="129"/>
      <c r="BF990" s="144"/>
      <c r="BG990" s="129"/>
      <c r="BH990" s="129"/>
      <c r="BI990" s="129"/>
      <c r="BJ990" s="129"/>
      <c r="BK990" s="129"/>
      <c r="BL990" s="129"/>
      <c r="BM990" s="129"/>
      <c r="BN990" s="129"/>
      <c r="BO990" s="129"/>
      <c r="BP990" s="129"/>
      <c r="BQ990" s="129"/>
      <c r="BR990" s="129"/>
      <c r="BS990" s="129"/>
      <c r="BT990" s="129"/>
      <c r="BU990" s="129"/>
      <c r="BV990" s="129"/>
      <c r="BW990" s="129"/>
      <c r="BX990" s="129"/>
      <c r="BY990" s="129"/>
      <c r="BZ990" s="129"/>
      <c r="CA990" s="129"/>
      <c r="CB990" s="129"/>
      <c r="CC990" s="129"/>
      <c r="CD990" s="129"/>
    </row>
    <row r="99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29"/>
      <c r="AM991" s="129"/>
      <c r="AN991" s="144"/>
      <c r="AO991" s="129"/>
      <c r="AP991" s="129"/>
      <c r="AQ991" s="129"/>
      <c r="AR991" s="129"/>
      <c r="AS991" s="129"/>
      <c r="AT991" s="129"/>
      <c r="AU991" s="129"/>
      <c r="AV991" s="129"/>
      <c r="AW991" s="129"/>
      <c r="AX991" s="129"/>
      <c r="AY991" s="129"/>
      <c r="AZ991" s="129"/>
      <c r="BA991" s="129"/>
      <c r="BB991" s="129"/>
      <c r="BC991" s="129"/>
      <c r="BD991" s="129"/>
      <c r="BE991" s="129"/>
      <c r="BF991" s="144"/>
      <c r="BG991" s="129"/>
      <c r="BH991" s="129"/>
      <c r="BI991" s="129"/>
      <c r="BJ991" s="129"/>
      <c r="BK991" s="129"/>
      <c r="BL991" s="129"/>
      <c r="BM991" s="129"/>
      <c r="BN991" s="129"/>
      <c r="BO991" s="129"/>
      <c r="BP991" s="129"/>
      <c r="BQ991" s="129"/>
      <c r="BR991" s="129"/>
      <c r="BS991" s="129"/>
      <c r="BT991" s="129"/>
      <c r="BU991" s="129"/>
      <c r="BV991" s="129"/>
      <c r="BW991" s="129"/>
      <c r="BX991" s="129"/>
      <c r="BY991" s="129"/>
      <c r="BZ991" s="129"/>
      <c r="CA991" s="129"/>
      <c r="CB991" s="129"/>
      <c r="CC991" s="129"/>
      <c r="CD991" s="129"/>
    </row>
    <row r="992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29"/>
      <c r="AM992" s="129"/>
      <c r="AN992" s="144"/>
      <c r="AO992" s="129"/>
      <c r="AP992" s="129"/>
      <c r="AQ992" s="129"/>
      <c r="AR992" s="129"/>
      <c r="AS992" s="129"/>
      <c r="AT992" s="129"/>
      <c r="AU992" s="129"/>
      <c r="AV992" s="129"/>
      <c r="AW992" s="129"/>
      <c r="AX992" s="129"/>
      <c r="AY992" s="129"/>
      <c r="AZ992" s="129"/>
      <c r="BA992" s="129"/>
      <c r="BB992" s="129"/>
      <c r="BC992" s="129"/>
      <c r="BD992" s="129"/>
      <c r="BE992" s="129"/>
      <c r="BF992" s="144"/>
      <c r="BG992" s="129"/>
      <c r="BH992" s="129"/>
      <c r="BI992" s="129"/>
      <c r="BJ992" s="129"/>
      <c r="BK992" s="129"/>
      <c r="BL992" s="129"/>
      <c r="BM992" s="129"/>
      <c r="BN992" s="129"/>
      <c r="BO992" s="129"/>
      <c r="BP992" s="129"/>
      <c r="BQ992" s="129"/>
      <c r="BR992" s="129"/>
      <c r="BS992" s="129"/>
      <c r="BT992" s="129"/>
      <c r="BU992" s="129"/>
      <c r="BV992" s="129"/>
      <c r="BW992" s="129"/>
      <c r="BX992" s="129"/>
      <c r="BY992" s="129"/>
      <c r="BZ992" s="129"/>
      <c r="CA992" s="129"/>
      <c r="CB992" s="129"/>
      <c r="CC992" s="129"/>
      <c r="CD992" s="129"/>
    </row>
    <row r="993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29"/>
      <c r="AM993" s="129"/>
      <c r="AN993" s="144"/>
      <c r="AO993" s="129"/>
      <c r="AP993" s="129"/>
      <c r="AQ993" s="129"/>
      <c r="AR993" s="129"/>
      <c r="AS993" s="129"/>
      <c r="AT993" s="129"/>
      <c r="AU993" s="129"/>
      <c r="AV993" s="129"/>
      <c r="AW993" s="129"/>
      <c r="AX993" s="129"/>
      <c r="AY993" s="129"/>
      <c r="AZ993" s="129"/>
      <c r="BA993" s="129"/>
      <c r="BB993" s="129"/>
      <c r="BC993" s="129"/>
      <c r="BD993" s="129"/>
      <c r="BE993" s="129"/>
      <c r="BF993" s="144"/>
      <c r="BG993" s="129"/>
      <c r="BH993" s="129"/>
      <c r="BI993" s="129"/>
      <c r="BJ993" s="129"/>
      <c r="BK993" s="129"/>
      <c r="BL993" s="129"/>
      <c r="BM993" s="129"/>
      <c r="BN993" s="129"/>
      <c r="BO993" s="129"/>
      <c r="BP993" s="129"/>
      <c r="BQ993" s="129"/>
      <c r="BR993" s="129"/>
      <c r="BS993" s="129"/>
      <c r="BT993" s="129"/>
      <c r="BU993" s="129"/>
      <c r="BV993" s="129"/>
      <c r="BW993" s="129"/>
      <c r="BX993" s="129"/>
      <c r="BY993" s="129"/>
      <c r="BZ993" s="129"/>
      <c r="CA993" s="129"/>
      <c r="CB993" s="129"/>
      <c r="CC993" s="129"/>
      <c r="CD993" s="129"/>
    </row>
    <row r="994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44"/>
      <c r="AO994" s="129"/>
      <c r="AP994" s="129"/>
      <c r="AQ994" s="129"/>
      <c r="AR994" s="129"/>
      <c r="AS994" s="129"/>
      <c r="AT994" s="129"/>
      <c r="AU994" s="129"/>
      <c r="AV994" s="129"/>
      <c r="AW994" s="129"/>
      <c r="AX994" s="129"/>
      <c r="AY994" s="129"/>
      <c r="AZ994" s="129"/>
      <c r="BA994" s="129"/>
      <c r="BB994" s="129"/>
      <c r="BC994" s="129"/>
      <c r="BD994" s="129"/>
      <c r="BE994" s="129"/>
      <c r="BF994" s="144"/>
      <c r="BG994" s="129"/>
      <c r="BH994" s="129"/>
      <c r="BI994" s="129"/>
      <c r="BJ994" s="129"/>
      <c r="BK994" s="129"/>
      <c r="BL994" s="129"/>
      <c r="BM994" s="129"/>
      <c r="BN994" s="129"/>
      <c r="BO994" s="129"/>
      <c r="BP994" s="129"/>
      <c r="BQ994" s="129"/>
      <c r="BR994" s="129"/>
      <c r="BS994" s="129"/>
      <c r="BT994" s="129"/>
      <c r="BU994" s="129"/>
      <c r="BV994" s="129"/>
      <c r="BW994" s="129"/>
      <c r="BX994" s="129"/>
      <c r="BY994" s="129"/>
      <c r="BZ994" s="129"/>
      <c r="CA994" s="129"/>
      <c r="CB994" s="129"/>
      <c r="CC994" s="129"/>
      <c r="CD994" s="129"/>
    </row>
    <row r="995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44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44"/>
      <c r="BG995" s="129"/>
      <c r="BH995" s="129"/>
      <c r="BI995" s="129"/>
      <c r="BJ995" s="129"/>
      <c r="BK995" s="129"/>
      <c r="BL995" s="129"/>
      <c r="BM995" s="129"/>
      <c r="BN995" s="129"/>
      <c r="BO995" s="129"/>
      <c r="BP995" s="129"/>
      <c r="BQ995" s="129"/>
      <c r="BR995" s="129"/>
      <c r="BS995" s="129"/>
      <c r="BT995" s="129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</row>
    <row r="996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29"/>
      <c r="AM996" s="129"/>
      <c r="AN996" s="144"/>
      <c r="AO996" s="129"/>
      <c r="AP996" s="129"/>
      <c r="AQ996" s="129"/>
      <c r="AR996" s="129"/>
      <c r="AS996" s="129"/>
      <c r="AT996" s="129"/>
      <c r="AU996" s="129"/>
      <c r="AV996" s="129"/>
      <c r="AW996" s="129"/>
      <c r="AX996" s="129"/>
      <c r="AY996" s="129"/>
      <c r="AZ996" s="129"/>
      <c r="BA996" s="129"/>
      <c r="BB996" s="129"/>
      <c r="BC996" s="129"/>
      <c r="BD996" s="129"/>
      <c r="BE996" s="129"/>
      <c r="BF996" s="144"/>
      <c r="BG996" s="129"/>
      <c r="BH996" s="129"/>
      <c r="BI996" s="129"/>
      <c r="BJ996" s="129"/>
      <c r="BK996" s="129"/>
      <c r="BL996" s="129"/>
      <c r="BM996" s="129"/>
      <c r="BN996" s="129"/>
      <c r="BO996" s="129"/>
      <c r="BP996" s="129"/>
      <c r="BQ996" s="129"/>
      <c r="BR996" s="129"/>
      <c r="BS996" s="129"/>
      <c r="BT996" s="129"/>
      <c r="BU996" s="129"/>
      <c r="BV996" s="129"/>
      <c r="BW996" s="129"/>
      <c r="BX996" s="129"/>
      <c r="BY996" s="129"/>
      <c r="BZ996" s="129"/>
      <c r="CA996" s="129"/>
      <c r="CB996" s="129"/>
      <c r="CC996" s="129"/>
      <c r="CD996" s="129"/>
    </row>
    <row r="997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29"/>
      <c r="AM997" s="129"/>
      <c r="AN997" s="144"/>
      <c r="AO997" s="129"/>
      <c r="AP997" s="129"/>
      <c r="AQ997" s="129"/>
      <c r="AR997" s="129"/>
      <c r="AS997" s="129"/>
      <c r="AT997" s="129"/>
      <c r="AU997" s="129"/>
      <c r="AV997" s="129"/>
      <c r="AW997" s="129"/>
      <c r="AX997" s="129"/>
      <c r="AY997" s="129"/>
      <c r="AZ997" s="129"/>
      <c r="BA997" s="129"/>
      <c r="BB997" s="129"/>
      <c r="BC997" s="129"/>
      <c r="BD997" s="129"/>
      <c r="BE997" s="129"/>
      <c r="BF997" s="144"/>
      <c r="BG997" s="129"/>
      <c r="BH997" s="129"/>
      <c r="BI997" s="129"/>
      <c r="BJ997" s="129"/>
      <c r="BK997" s="129"/>
      <c r="BL997" s="129"/>
      <c r="BM997" s="129"/>
      <c r="BN997" s="129"/>
      <c r="BO997" s="129"/>
      <c r="BP997" s="129"/>
      <c r="BQ997" s="129"/>
      <c r="BR997" s="129"/>
      <c r="BS997" s="129"/>
      <c r="BT997" s="129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</row>
    <row r="998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44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44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</row>
    <row r="999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44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44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</row>
    <row r="1000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44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44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3.71"/>
    <col customWidth="1" min="3" max="3" width="32.29"/>
    <col customWidth="1" min="4" max="4" width="16.86"/>
    <col customWidth="1" min="5" max="5" width="14.0"/>
    <col customWidth="1" min="6" max="6" width="22.43"/>
    <col customWidth="1" min="7" max="7" width="16.43"/>
    <col customWidth="1" min="8" max="8" width="16.14"/>
    <col customWidth="1" min="9" max="9" width="12.14"/>
    <col customWidth="1" min="10" max="10" width="19.0"/>
    <col customWidth="1" min="11" max="11" width="12.14"/>
    <col customWidth="1" min="12" max="12" width="6.71"/>
    <col customWidth="1" min="13" max="13" width="8.86"/>
    <col customWidth="1" min="14" max="14" width="26.86"/>
    <col customWidth="1" min="15" max="15" width="11.14"/>
    <col customWidth="1" min="16" max="16" width="30.14"/>
    <col customWidth="1" min="17" max="17" width="65.57"/>
    <col customWidth="1" min="18" max="18" width="13.29"/>
    <col customWidth="1" min="19" max="19" width="15.57"/>
    <col customWidth="1" min="20" max="20" width="29.86"/>
    <col customWidth="1" min="21" max="21" width="27.0"/>
    <col customWidth="1" min="22" max="23" width="12.57"/>
  </cols>
  <sheetData>
    <row r="1" ht="12.0" customHeight="1">
      <c r="A1" s="145" t="s">
        <v>240</v>
      </c>
      <c r="B1" s="146" t="s">
        <v>161</v>
      </c>
      <c r="C1" s="146" t="s">
        <v>159</v>
      </c>
      <c r="D1" s="146" t="s">
        <v>157</v>
      </c>
      <c r="E1" s="146" t="s">
        <v>158</v>
      </c>
      <c r="F1" s="146" t="s">
        <v>160</v>
      </c>
      <c r="G1" s="146" t="s">
        <v>163</v>
      </c>
      <c r="H1" s="146" t="s">
        <v>164</v>
      </c>
      <c r="I1" s="146" t="s">
        <v>241</v>
      </c>
      <c r="J1" s="146" t="s">
        <v>171</v>
      </c>
      <c r="K1" s="146" t="s">
        <v>174</v>
      </c>
      <c r="L1" s="146" t="s">
        <v>175</v>
      </c>
      <c r="M1" s="146" t="s">
        <v>176</v>
      </c>
      <c r="N1" s="146" t="s">
        <v>177</v>
      </c>
      <c r="O1" s="146" t="s">
        <v>178</v>
      </c>
      <c r="P1" s="146" t="s">
        <v>179</v>
      </c>
      <c r="Q1" s="146" t="s">
        <v>180</v>
      </c>
      <c r="R1" s="146" t="s">
        <v>208</v>
      </c>
      <c r="S1" s="147" t="s">
        <v>210</v>
      </c>
      <c r="T1" s="146" t="s">
        <v>242</v>
      </c>
      <c r="U1" s="146" t="s">
        <v>215</v>
      </c>
      <c r="V1" s="148" t="s">
        <v>216</v>
      </c>
      <c r="W1" s="148" t="s">
        <v>217</v>
      </c>
      <c r="X1" s="129"/>
      <c r="Y1" s="129"/>
      <c r="Z1" s="129"/>
    </row>
    <row r="2" ht="12.0" customHeight="1">
      <c r="A2" s="149">
        <v>45345.0</v>
      </c>
      <c r="B2" s="150" t="s">
        <v>243</v>
      </c>
      <c r="C2" s="150" t="s">
        <v>244</v>
      </c>
      <c r="D2" s="150" t="s">
        <v>219</v>
      </c>
      <c r="E2" s="125"/>
      <c r="F2" s="150" t="s">
        <v>223</v>
      </c>
      <c r="G2" s="150" t="s">
        <v>223</v>
      </c>
      <c r="H2" s="150" t="s">
        <v>223</v>
      </c>
      <c r="I2" s="150" t="s">
        <v>223</v>
      </c>
      <c r="J2" s="150" t="s">
        <v>223</v>
      </c>
      <c r="K2" s="150" t="s">
        <v>245</v>
      </c>
      <c r="L2" s="150" t="s">
        <v>226</v>
      </c>
      <c r="M2" s="150" t="s">
        <v>246</v>
      </c>
      <c r="N2" s="150" t="s">
        <v>247</v>
      </c>
      <c r="O2" s="150" t="s">
        <v>248</v>
      </c>
      <c r="P2" s="150" t="s">
        <v>249</v>
      </c>
      <c r="Q2" s="150" t="s">
        <v>250</v>
      </c>
      <c r="R2" s="150" t="s">
        <v>251</v>
      </c>
      <c r="S2" s="151">
        <v>500.04</v>
      </c>
      <c r="T2" s="149">
        <v>45484.0</v>
      </c>
      <c r="U2" s="150" t="s">
        <v>223</v>
      </c>
      <c r="V2" s="152" t="s">
        <v>252</v>
      </c>
      <c r="W2" s="152">
        <v>45484.0</v>
      </c>
      <c r="X2" s="129"/>
      <c r="Y2" s="129"/>
      <c r="Z2" s="129"/>
    </row>
    <row r="3" ht="12.0" customHeight="1">
      <c r="A3" s="153">
        <v>45014.0</v>
      </c>
      <c r="B3" s="154" t="s">
        <v>253</v>
      </c>
      <c r="C3" s="154" t="s">
        <v>254</v>
      </c>
      <c r="D3" s="150" t="s">
        <v>219</v>
      </c>
      <c r="E3" s="154"/>
      <c r="F3" s="154" t="s">
        <v>223</v>
      </c>
      <c r="G3" s="154" t="s">
        <v>223</v>
      </c>
      <c r="H3" s="154" t="s">
        <v>223</v>
      </c>
      <c r="I3" s="154" t="s">
        <v>223</v>
      </c>
      <c r="J3" s="154" t="s">
        <v>223</v>
      </c>
      <c r="K3" s="154" t="s">
        <v>245</v>
      </c>
      <c r="L3" s="154" t="s">
        <v>226</v>
      </c>
      <c r="M3" s="154" t="s">
        <v>227</v>
      </c>
      <c r="N3" s="154" t="s">
        <v>255</v>
      </c>
      <c r="O3" s="150" t="s">
        <v>248</v>
      </c>
      <c r="P3" s="154" t="s">
        <v>256</v>
      </c>
      <c r="Q3" s="154" t="s">
        <v>257</v>
      </c>
      <c r="R3" s="154" t="s">
        <v>251</v>
      </c>
      <c r="S3" s="155">
        <v>3300.0</v>
      </c>
      <c r="T3" s="153">
        <v>45594.0</v>
      </c>
      <c r="U3" s="154" t="s">
        <v>223</v>
      </c>
      <c r="V3" s="156" t="s">
        <v>252</v>
      </c>
      <c r="W3" s="157">
        <v>45594.0</v>
      </c>
      <c r="X3" s="129"/>
      <c r="Y3" s="129"/>
      <c r="Z3" s="129"/>
    </row>
    <row r="4" ht="12.0" customHeight="1">
      <c r="A4" s="126" t="s">
        <v>258</v>
      </c>
      <c r="B4" s="154" t="s">
        <v>259</v>
      </c>
      <c r="C4" s="118" t="s">
        <v>260</v>
      </c>
      <c r="D4" s="150" t="s">
        <v>219</v>
      </c>
      <c r="E4" s="150"/>
      <c r="F4" s="150" t="s">
        <v>223</v>
      </c>
      <c r="G4" s="150" t="s">
        <v>223</v>
      </c>
      <c r="H4" s="150" t="s">
        <v>223</v>
      </c>
      <c r="I4" s="150" t="s">
        <v>223</v>
      </c>
      <c r="J4" s="150" t="s">
        <v>223</v>
      </c>
      <c r="K4" s="154" t="s">
        <v>245</v>
      </c>
      <c r="L4" s="154" t="s">
        <v>226</v>
      </c>
      <c r="M4" s="154" t="s">
        <v>261</v>
      </c>
      <c r="N4" s="150" t="s">
        <v>262</v>
      </c>
      <c r="O4" s="150" t="s">
        <v>248</v>
      </c>
      <c r="P4" s="150" t="s">
        <v>263</v>
      </c>
      <c r="Q4" s="154" t="s">
        <v>264</v>
      </c>
      <c r="R4" s="150" t="s">
        <v>233</v>
      </c>
      <c r="S4" s="151">
        <v>0.0</v>
      </c>
      <c r="T4" s="149">
        <v>45901.0</v>
      </c>
      <c r="U4" s="150" t="s">
        <v>265</v>
      </c>
      <c r="V4" s="152" t="s">
        <v>223</v>
      </c>
      <c r="W4" s="152">
        <v>45901.0</v>
      </c>
      <c r="X4" s="129"/>
      <c r="Y4" s="129"/>
      <c r="Z4" s="129"/>
    </row>
    <row r="5" ht="12.0" customHeight="1">
      <c r="A5" s="153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5"/>
      <c r="T5" s="154"/>
      <c r="U5" s="154"/>
      <c r="V5" s="156"/>
      <c r="W5" s="157"/>
      <c r="X5" s="129"/>
      <c r="Y5" s="129"/>
      <c r="Z5" s="129"/>
    </row>
    <row r="6" ht="12.0" customHeight="1">
      <c r="A6" s="152"/>
      <c r="B6" s="152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9"/>
      <c r="T6" s="160"/>
      <c r="U6" s="158"/>
      <c r="V6" s="152"/>
      <c r="W6" s="152"/>
      <c r="X6" s="129"/>
      <c r="Y6" s="129"/>
      <c r="Z6" s="129"/>
    </row>
    <row r="7" ht="12.0" customHeight="1">
      <c r="A7" s="157"/>
      <c r="B7" s="157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61"/>
      <c r="T7" s="162"/>
      <c r="U7" s="156"/>
      <c r="V7" s="156"/>
      <c r="W7" s="157"/>
      <c r="X7" s="129"/>
      <c r="Y7" s="129"/>
      <c r="Z7" s="129"/>
    </row>
    <row r="8" ht="12.0" customHeight="1">
      <c r="A8" s="152"/>
      <c r="B8" s="152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9"/>
      <c r="T8" s="160"/>
      <c r="U8" s="158"/>
      <c r="V8" s="158"/>
      <c r="W8" s="152"/>
      <c r="X8" s="129"/>
      <c r="Y8" s="129"/>
      <c r="Z8" s="129"/>
    </row>
    <row r="9" ht="12.0" customHeight="1">
      <c r="A9" s="157"/>
      <c r="B9" s="157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61"/>
      <c r="T9" s="162"/>
      <c r="U9" s="156"/>
      <c r="V9" s="156"/>
      <c r="W9" s="157"/>
      <c r="X9" s="129"/>
      <c r="Y9" s="129"/>
      <c r="Z9" s="129"/>
    </row>
    <row r="10" ht="12.0" customHeight="1">
      <c r="A10" s="152"/>
      <c r="B10" s="152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9"/>
      <c r="T10" s="160"/>
      <c r="U10" s="158"/>
      <c r="V10" s="158"/>
      <c r="W10" s="152"/>
      <c r="X10" s="129"/>
      <c r="Y10" s="129"/>
      <c r="Z10" s="129"/>
    </row>
    <row r="11" ht="12.0" customHeight="1">
      <c r="A11" s="157"/>
      <c r="B11" s="157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61"/>
      <c r="T11" s="162"/>
      <c r="U11" s="156"/>
      <c r="V11" s="156"/>
      <c r="W11" s="157"/>
      <c r="X11" s="129"/>
      <c r="Y11" s="129"/>
      <c r="Z11" s="129"/>
    </row>
    <row r="12" ht="12.0" customHeight="1">
      <c r="A12" s="152"/>
      <c r="B12" s="152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9"/>
      <c r="T12" s="160"/>
      <c r="U12" s="158"/>
      <c r="V12" s="158"/>
      <c r="W12" s="152"/>
      <c r="X12" s="129"/>
      <c r="Y12" s="129"/>
      <c r="Z12" s="129"/>
    </row>
    <row r="13" ht="12.0" customHeight="1">
      <c r="A13" s="157"/>
      <c r="B13" s="157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61"/>
      <c r="T13" s="162"/>
      <c r="U13" s="156"/>
      <c r="V13" s="156"/>
      <c r="W13" s="157"/>
      <c r="X13" s="129"/>
      <c r="Y13" s="129"/>
      <c r="Z13" s="129"/>
    </row>
    <row r="14" ht="12.0" customHeight="1">
      <c r="A14" s="152"/>
      <c r="B14" s="152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9"/>
      <c r="T14" s="160"/>
      <c r="U14" s="158"/>
      <c r="V14" s="158"/>
      <c r="W14" s="152"/>
      <c r="X14" s="129"/>
      <c r="Y14" s="129"/>
      <c r="Z14" s="129"/>
    </row>
    <row r="15" ht="12.0" customHeight="1">
      <c r="A15" s="157"/>
      <c r="B15" s="157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61"/>
      <c r="T15" s="162"/>
      <c r="U15" s="156"/>
      <c r="V15" s="156"/>
      <c r="W15" s="157"/>
      <c r="X15" s="129"/>
      <c r="Y15" s="129"/>
      <c r="Z15" s="129"/>
    </row>
    <row r="16" ht="12.0" customHeight="1">
      <c r="A16" s="152"/>
      <c r="B16" s="152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9"/>
      <c r="T16" s="160"/>
      <c r="U16" s="158"/>
      <c r="V16" s="158"/>
      <c r="W16" s="152"/>
      <c r="X16" s="129"/>
      <c r="Y16" s="129"/>
      <c r="Z16" s="129"/>
    </row>
    <row r="17" ht="12.0" customHeight="1">
      <c r="A17" s="157"/>
      <c r="B17" s="157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61"/>
      <c r="T17" s="162"/>
      <c r="U17" s="156"/>
      <c r="V17" s="156"/>
      <c r="W17" s="157"/>
      <c r="X17" s="129"/>
      <c r="Y17" s="129"/>
      <c r="Z17" s="129"/>
    </row>
    <row r="18" ht="12.0" customHeight="1">
      <c r="A18" s="152"/>
      <c r="B18" s="152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9"/>
      <c r="T18" s="160"/>
      <c r="U18" s="158"/>
      <c r="V18" s="158"/>
      <c r="W18" s="152"/>
      <c r="X18" s="129"/>
      <c r="Y18" s="129"/>
      <c r="Z18" s="129"/>
    </row>
    <row r="19" ht="12.0" customHeight="1">
      <c r="A19" s="157"/>
      <c r="B19" s="157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61"/>
      <c r="T19" s="162"/>
      <c r="U19" s="156"/>
      <c r="V19" s="156"/>
      <c r="W19" s="157"/>
      <c r="X19" s="129"/>
      <c r="Y19" s="129"/>
      <c r="Z19" s="129"/>
    </row>
    <row r="20" ht="12.0" customHeight="1">
      <c r="A20" s="152"/>
      <c r="B20" s="152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9"/>
      <c r="T20" s="160"/>
      <c r="U20" s="158"/>
      <c r="V20" s="158"/>
      <c r="W20" s="152"/>
      <c r="X20" s="129"/>
      <c r="Y20" s="129"/>
      <c r="Z20" s="129"/>
    </row>
    <row r="21" ht="12.0" customHeight="1">
      <c r="A21" s="157"/>
      <c r="B21" s="157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61"/>
      <c r="T21" s="162"/>
      <c r="U21" s="156"/>
      <c r="V21" s="156"/>
      <c r="W21" s="157"/>
      <c r="X21" s="129"/>
      <c r="Y21" s="129"/>
      <c r="Z21" s="129"/>
    </row>
    <row r="22" ht="12.0" customHeight="1">
      <c r="A22" s="152"/>
      <c r="B22" s="152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9"/>
      <c r="T22" s="160"/>
      <c r="U22" s="158"/>
      <c r="V22" s="158"/>
      <c r="W22" s="152"/>
      <c r="X22" s="129"/>
      <c r="Y22" s="129"/>
      <c r="Z22" s="129"/>
    </row>
    <row r="23" ht="12.0" customHeight="1">
      <c r="A23" s="157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61"/>
      <c r="T23" s="156"/>
      <c r="U23" s="156"/>
      <c r="V23" s="156"/>
      <c r="W23" s="156"/>
      <c r="X23" s="129"/>
      <c r="Y23" s="129"/>
      <c r="Z23" s="129"/>
    </row>
    <row r="24" ht="12.0" customHeight="1">
      <c r="A24" s="152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9"/>
      <c r="T24" s="158"/>
      <c r="U24" s="158"/>
      <c r="V24" s="158"/>
      <c r="W24" s="152"/>
      <c r="X24" s="129"/>
      <c r="Y24" s="129"/>
      <c r="Z24" s="129"/>
    </row>
    <row r="25" ht="12.0" customHeight="1">
      <c r="A25" s="157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61"/>
      <c r="T25" s="156"/>
      <c r="U25" s="156"/>
      <c r="V25" s="156"/>
      <c r="W25" s="157"/>
      <c r="X25" s="129"/>
      <c r="Y25" s="129"/>
      <c r="Z25" s="129"/>
    </row>
    <row r="26" ht="12.0" customHeight="1">
      <c r="A26" s="163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5"/>
      <c r="T26" s="164"/>
      <c r="U26" s="164"/>
      <c r="V26" s="164"/>
      <c r="W26" s="164"/>
      <c r="X26" s="129"/>
      <c r="Y26" s="129"/>
      <c r="Z26" s="129"/>
    </row>
    <row r="27" ht="12.0" customHeight="1">
      <c r="A27" s="163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5"/>
      <c r="T27" s="164"/>
      <c r="U27" s="164"/>
      <c r="V27" s="164"/>
      <c r="W27" s="164"/>
      <c r="X27" s="129"/>
      <c r="Y27" s="129"/>
      <c r="Z27" s="129"/>
    </row>
    <row r="28" ht="12.0" customHeight="1">
      <c r="A28" s="166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8"/>
      <c r="T28" s="167"/>
      <c r="U28" s="167"/>
      <c r="V28" s="167"/>
      <c r="W28" s="167"/>
      <c r="X28" s="129"/>
      <c r="Y28" s="129"/>
      <c r="Z28" s="129"/>
    </row>
    <row r="29" ht="12.0" customHeight="1">
      <c r="A29" s="166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8"/>
      <c r="T29" s="167"/>
      <c r="U29" s="167"/>
      <c r="V29" s="167"/>
      <c r="W29" s="167"/>
      <c r="X29" s="129"/>
      <c r="Y29" s="129"/>
      <c r="Z29" s="129"/>
    </row>
    <row r="30" ht="12.0" customHeight="1">
      <c r="A30" s="169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70"/>
      <c r="T30" s="116"/>
      <c r="U30" s="116"/>
      <c r="V30" s="129"/>
      <c r="W30" s="169"/>
      <c r="X30" s="129"/>
      <c r="Y30" s="129"/>
      <c r="Z30" s="129"/>
    </row>
    <row r="31" ht="12.0" customHeight="1">
      <c r="A31" s="169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70"/>
      <c r="T31" s="116"/>
      <c r="U31" s="116"/>
      <c r="V31" s="129"/>
      <c r="W31" s="169"/>
      <c r="X31" s="129"/>
      <c r="Y31" s="129"/>
      <c r="Z31" s="129"/>
    </row>
    <row r="32" ht="12.0" customHeight="1">
      <c r="A32" s="169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70"/>
      <c r="T32" s="116"/>
      <c r="U32" s="116"/>
      <c r="V32" s="129"/>
      <c r="W32" s="169"/>
      <c r="X32" s="129"/>
      <c r="Y32" s="129"/>
      <c r="Z32" s="129"/>
    </row>
    <row r="33" ht="12.0" customHeight="1">
      <c r="A33" s="169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70"/>
      <c r="T33" s="116"/>
      <c r="U33" s="116"/>
      <c r="V33" s="129"/>
      <c r="W33" s="169"/>
      <c r="X33" s="129"/>
      <c r="Y33" s="129"/>
      <c r="Z33" s="129"/>
    </row>
    <row r="34" ht="12.0" customHeight="1">
      <c r="A34" s="169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70"/>
      <c r="T34" s="116"/>
      <c r="U34" s="116"/>
      <c r="V34" s="129"/>
      <c r="W34" s="169"/>
      <c r="X34" s="129"/>
      <c r="Y34" s="129"/>
      <c r="Z34" s="129"/>
    </row>
    <row r="35" ht="12.0" customHeight="1">
      <c r="A35" s="169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70"/>
      <c r="T35" s="116"/>
      <c r="U35" s="116"/>
      <c r="V35" s="129"/>
      <c r="W35" s="169"/>
      <c r="X35" s="129"/>
      <c r="Y35" s="129"/>
      <c r="Z35" s="129"/>
    </row>
    <row r="36" ht="12.0" customHeight="1">
      <c r="A36" s="169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70"/>
      <c r="T36" s="116"/>
      <c r="U36" s="116"/>
      <c r="V36" s="129"/>
      <c r="W36" s="169"/>
      <c r="X36" s="129"/>
      <c r="Y36" s="129"/>
      <c r="Z36" s="129"/>
    </row>
    <row r="37" ht="12.0" customHeight="1">
      <c r="A37" s="169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70"/>
      <c r="T37" s="116"/>
      <c r="U37" s="116"/>
      <c r="V37" s="129"/>
      <c r="W37" s="169"/>
      <c r="X37" s="129"/>
      <c r="Y37" s="129"/>
      <c r="Z37" s="129"/>
    </row>
    <row r="38" ht="12.0" customHeight="1">
      <c r="A38" s="169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70"/>
      <c r="T38" s="116"/>
      <c r="U38" s="116"/>
      <c r="V38" s="129"/>
      <c r="W38" s="169"/>
      <c r="X38" s="129"/>
      <c r="Y38" s="129"/>
      <c r="Z38" s="129"/>
    </row>
    <row r="39" ht="12.0" customHeight="1">
      <c r="A39" s="169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70"/>
      <c r="T39" s="116"/>
      <c r="U39" s="116"/>
      <c r="V39" s="129"/>
      <c r="W39" s="169"/>
      <c r="X39" s="129"/>
      <c r="Y39" s="129"/>
      <c r="Z39" s="129"/>
    </row>
    <row r="40" ht="12.0" customHeight="1">
      <c r="A40" s="169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70"/>
      <c r="T40" s="116"/>
      <c r="U40" s="116"/>
      <c r="V40" s="129"/>
      <c r="W40" s="169"/>
      <c r="X40" s="129"/>
      <c r="Y40" s="129"/>
      <c r="Z40" s="129"/>
    </row>
    <row r="41" ht="12.0" customHeight="1">
      <c r="A41" s="169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70"/>
      <c r="T41" s="116"/>
      <c r="U41" s="116"/>
      <c r="V41" s="129"/>
      <c r="W41" s="169"/>
      <c r="X41" s="129"/>
      <c r="Y41" s="129"/>
      <c r="Z41" s="129"/>
    </row>
    <row r="42" ht="12.0" customHeight="1">
      <c r="A42" s="169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70"/>
      <c r="T42" s="116"/>
      <c r="U42" s="116"/>
      <c r="V42" s="129"/>
      <c r="W42" s="169"/>
      <c r="X42" s="129"/>
      <c r="Y42" s="129"/>
      <c r="Z42" s="129"/>
    </row>
    <row r="43" ht="12.0" customHeight="1">
      <c r="A43" s="169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70"/>
      <c r="T43" s="116"/>
      <c r="U43" s="116"/>
      <c r="V43" s="129"/>
      <c r="W43" s="169"/>
      <c r="X43" s="129"/>
      <c r="Y43" s="129"/>
      <c r="Z43" s="129"/>
    </row>
    <row r="44" ht="12.0" customHeight="1">
      <c r="A44" s="169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70"/>
      <c r="T44" s="116"/>
      <c r="U44" s="116"/>
      <c r="V44" s="129"/>
      <c r="W44" s="169"/>
      <c r="X44" s="129"/>
      <c r="Y44" s="129"/>
      <c r="Z44" s="129"/>
    </row>
    <row r="45" ht="12.0" customHeight="1">
      <c r="A45" s="169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70"/>
      <c r="T45" s="116"/>
      <c r="U45" s="116"/>
      <c r="V45" s="129"/>
      <c r="W45" s="169"/>
      <c r="X45" s="129"/>
      <c r="Y45" s="129"/>
      <c r="Z45" s="129"/>
    </row>
    <row r="46" ht="12.0" customHeight="1">
      <c r="A46" s="169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70"/>
      <c r="T46" s="116"/>
      <c r="U46" s="116"/>
      <c r="V46" s="129"/>
      <c r="W46" s="169"/>
      <c r="X46" s="129"/>
      <c r="Y46" s="129"/>
      <c r="Z46" s="129"/>
    </row>
    <row r="47" ht="12.0" customHeight="1">
      <c r="A47" s="169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70"/>
      <c r="T47" s="116"/>
      <c r="U47" s="116"/>
      <c r="V47" s="129"/>
      <c r="W47" s="169"/>
      <c r="X47" s="129"/>
      <c r="Y47" s="129"/>
      <c r="Z47" s="129"/>
    </row>
    <row r="48" ht="12.0" customHeight="1">
      <c r="A48" s="169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70"/>
      <c r="T48" s="116"/>
      <c r="U48" s="116"/>
      <c r="V48" s="129"/>
      <c r="W48" s="169"/>
      <c r="X48" s="129"/>
      <c r="Y48" s="129"/>
      <c r="Z48" s="129"/>
    </row>
    <row r="49" ht="12.0" customHeight="1">
      <c r="A49" s="169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70"/>
      <c r="T49" s="116"/>
      <c r="U49" s="116"/>
      <c r="V49" s="129"/>
      <c r="W49" s="169"/>
      <c r="X49" s="129"/>
      <c r="Y49" s="129"/>
      <c r="Z49" s="129"/>
    </row>
    <row r="50" ht="12.0" customHeight="1">
      <c r="A50" s="169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70"/>
      <c r="T50" s="116"/>
      <c r="U50" s="116"/>
      <c r="V50" s="129"/>
      <c r="W50" s="169"/>
      <c r="X50" s="129"/>
      <c r="Y50" s="129"/>
      <c r="Z50" s="129"/>
    </row>
    <row r="51" ht="12.0" customHeight="1">
      <c r="A51" s="169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70"/>
      <c r="T51" s="116"/>
      <c r="U51" s="116"/>
      <c r="V51" s="129"/>
      <c r="W51" s="169"/>
      <c r="X51" s="129"/>
      <c r="Y51" s="129"/>
      <c r="Z51" s="129"/>
    </row>
    <row r="52" ht="12.0" customHeight="1">
      <c r="A52" s="169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70"/>
      <c r="T52" s="116"/>
      <c r="U52" s="116"/>
      <c r="V52" s="129"/>
      <c r="W52" s="169"/>
      <c r="X52" s="129"/>
      <c r="Y52" s="129"/>
      <c r="Z52" s="129"/>
    </row>
    <row r="53" ht="12.0" customHeight="1">
      <c r="A53" s="169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70"/>
      <c r="T53" s="116"/>
      <c r="U53" s="116"/>
      <c r="V53" s="129"/>
      <c r="W53" s="169"/>
      <c r="X53" s="129"/>
      <c r="Y53" s="129"/>
      <c r="Z53" s="129"/>
    </row>
    <row r="54" ht="12.0" customHeight="1">
      <c r="A54" s="169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70"/>
      <c r="T54" s="116"/>
      <c r="U54" s="116"/>
      <c r="V54" s="129"/>
      <c r="W54" s="169"/>
      <c r="X54" s="129"/>
      <c r="Y54" s="129"/>
      <c r="Z54" s="129"/>
    </row>
    <row r="55" ht="12.0" customHeight="1">
      <c r="A55" s="169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70"/>
      <c r="T55" s="116"/>
      <c r="U55" s="116"/>
      <c r="V55" s="129"/>
      <c r="W55" s="169"/>
      <c r="X55" s="129"/>
      <c r="Y55" s="129"/>
      <c r="Z55" s="129"/>
    </row>
    <row r="56" ht="12.0" customHeight="1">
      <c r="A56" s="169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70"/>
      <c r="T56" s="116"/>
      <c r="U56" s="116"/>
      <c r="V56" s="129"/>
      <c r="W56" s="169"/>
      <c r="X56" s="129"/>
      <c r="Y56" s="129"/>
      <c r="Z56" s="129"/>
    </row>
    <row r="57" ht="12.0" customHeight="1">
      <c r="A57" s="169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70"/>
      <c r="T57" s="116"/>
      <c r="U57" s="116"/>
      <c r="V57" s="129"/>
      <c r="W57" s="169"/>
      <c r="X57" s="129"/>
      <c r="Y57" s="129"/>
      <c r="Z57" s="129"/>
    </row>
    <row r="58" ht="12.0" customHeight="1">
      <c r="A58" s="169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70"/>
      <c r="T58" s="116"/>
      <c r="U58" s="116"/>
      <c r="V58" s="129"/>
      <c r="W58" s="169"/>
      <c r="X58" s="129"/>
      <c r="Y58" s="129"/>
      <c r="Z58" s="129"/>
    </row>
    <row r="59" ht="12.0" customHeight="1">
      <c r="A59" s="169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70"/>
      <c r="T59" s="116"/>
      <c r="U59" s="116"/>
      <c r="V59" s="129"/>
      <c r="W59" s="169"/>
      <c r="X59" s="129"/>
      <c r="Y59" s="129"/>
      <c r="Z59" s="129"/>
    </row>
    <row r="60" ht="12.0" customHeight="1">
      <c r="A60" s="169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70"/>
      <c r="T60" s="116"/>
      <c r="U60" s="116"/>
      <c r="V60" s="129"/>
      <c r="W60" s="169"/>
      <c r="X60" s="129"/>
      <c r="Y60" s="129"/>
      <c r="Z60" s="129"/>
    </row>
    <row r="61" ht="12.0" customHeight="1">
      <c r="A61" s="169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70"/>
      <c r="T61" s="116"/>
      <c r="U61" s="116"/>
      <c r="V61" s="129"/>
      <c r="W61" s="169"/>
      <c r="X61" s="129"/>
      <c r="Y61" s="129"/>
      <c r="Z61" s="129"/>
    </row>
    <row r="62" ht="12.0" customHeight="1">
      <c r="A62" s="169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70"/>
      <c r="T62" s="116"/>
      <c r="U62" s="116"/>
      <c r="V62" s="129"/>
      <c r="W62" s="169"/>
      <c r="X62" s="129"/>
      <c r="Y62" s="129"/>
      <c r="Z62" s="129"/>
    </row>
    <row r="63" ht="12.0" customHeight="1">
      <c r="A63" s="169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70"/>
      <c r="T63" s="116"/>
      <c r="U63" s="116"/>
      <c r="V63" s="129"/>
      <c r="W63" s="169"/>
      <c r="X63" s="129"/>
      <c r="Y63" s="129"/>
      <c r="Z63" s="129"/>
    </row>
    <row r="64" ht="12.0" customHeight="1">
      <c r="A64" s="169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70"/>
      <c r="T64" s="116"/>
      <c r="U64" s="116"/>
      <c r="V64" s="129"/>
      <c r="W64" s="169"/>
      <c r="X64" s="129"/>
      <c r="Y64" s="129"/>
      <c r="Z64" s="129"/>
    </row>
    <row r="65" ht="12.0" customHeight="1">
      <c r="A65" s="169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70"/>
      <c r="T65" s="116"/>
      <c r="U65" s="116"/>
      <c r="V65" s="129"/>
      <c r="W65" s="169"/>
      <c r="X65" s="129"/>
      <c r="Y65" s="129"/>
      <c r="Z65" s="129"/>
    </row>
    <row r="66" ht="12.0" customHeight="1">
      <c r="A66" s="169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70"/>
      <c r="T66" s="116"/>
      <c r="U66" s="116"/>
      <c r="V66" s="129"/>
      <c r="W66" s="169"/>
      <c r="X66" s="129"/>
      <c r="Y66" s="129"/>
      <c r="Z66" s="129"/>
    </row>
    <row r="67" ht="12.0" customHeight="1">
      <c r="A67" s="169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70"/>
      <c r="T67" s="116"/>
      <c r="U67" s="116"/>
      <c r="V67" s="129"/>
      <c r="W67" s="169"/>
      <c r="X67" s="129"/>
      <c r="Y67" s="129"/>
      <c r="Z67" s="129"/>
    </row>
    <row r="68" ht="12.0" customHeight="1">
      <c r="A68" s="169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70"/>
      <c r="T68" s="116"/>
      <c r="U68" s="116"/>
      <c r="V68" s="129"/>
      <c r="W68" s="169"/>
      <c r="X68" s="129"/>
      <c r="Y68" s="129"/>
      <c r="Z68" s="129"/>
    </row>
    <row r="69" ht="12.0" customHeight="1">
      <c r="A69" s="169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70"/>
      <c r="T69" s="116"/>
      <c r="U69" s="116"/>
      <c r="V69" s="129"/>
      <c r="W69" s="169"/>
      <c r="X69" s="129"/>
      <c r="Y69" s="129"/>
      <c r="Z69" s="129"/>
    </row>
    <row r="70" ht="12.0" customHeight="1">
      <c r="A70" s="169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70"/>
      <c r="T70" s="116"/>
      <c r="U70" s="116"/>
      <c r="V70" s="129"/>
      <c r="W70" s="169"/>
      <c r="X70" s="129"/>
      <c r="Y70" s="129"/>
      <c r="Z70" s="129"/>
    </row>
    <row r="71" ht="12.0" customHeight="1">
      <c r="A71" s="169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70"/>
      <c r="T71" s="116"/>
      <c r="U71" s="116"/>
      <c r="V71" s="129"/>
      <c r="W71" s="169"/>
      <c r="X71" s="129"/>
      <c r="Y71" s="129"/>
      <c r="Z71" s="129"/>
    </row>
    <row r="72" ht="12.0" customHeight="1">
      <c r="A72" s="169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70"/>
      <c r="T72" s="116"/>
      <c r="U72" s="116"/>
      <c r="V72" s="129"/>
      <c r="W72" s="169"/>
      <c r="X72" s="129"/>
      <c r="Y72" s="129"/>
      <c r="Z72" s="129"/>
    </row>
    <row r="73" ht="12.0" customHeight="1">
      <c r="A73" s="169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70"/>
      <c r="T73" s="116"/>
      <c r="U73" s="116"/>
      <c r="V73" s="129"/>
      <c r="W73" s="169"/>
      <c r="X73" s="129"/>
      <c r="Y73" s="129"/>
      <c r="Z73" s="129"/>
    </row>
    <row r="74" ht="12.0" customHeight="1">
      <c r="A74" s="169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70"/>
      <c r="T74" s="116"/>
      <c r="U74" s="116"/>
      <c r="V74" s="129"/>
      <c r="W74" s="169"/>
      <c r="X74" s="129"/>
      <c r="Y74" s="129"/>
      <c r="Z74" s="129"/>
    </row>
    <row r="75" ht="12.0" customHeight="1">
      <c r="A75" s="169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70"/>
      <c r="T75" s="116"/>
      <c r="U75" s="116"/>
      <c r="V75" s="129"/>
      <c r="W75" s="169"/>
      <c r="X75" s="129"/>
      <c r="Y75" s="129"/>
      <c r="Z75" s="129"/>
    </row>
    <row r="76" ht="12.0" customHeight="1">
      <c r="A76" s="169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70"/>
      <c r="T76" s="116"/>
      <c r="U76" s="116"/>
      <c r="V76" s="129"/>
      <c r="W76" s="169"/>
      <c r="X76" s="129"/>
      <c r="Y76" s="129"/>
      <c r="Z76" s="129"/>
    </row>
    <row r="77" ht="12.0" customHeight="1">
      <c r="A77" s="169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70"/>
      <c r="T77" s="116"/>
      <c r="U77" s="116"/>
      <c r="V77" s="129"/>
      <c r="W77" s="169"/>
      <c r="X77" s="129"/>
      <c r="Y77" s="129"/>
      <c r="Z77" s="129"/>
    </row>
    <row r="78" ht="12.0" customHeight="1">
      <c r="A78" s="169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70"/>
      <c r="T78" s="116"/>
      <c r="U78" s="116"/>
      <c r="V78" s="129"/>
      <c r="W78" s="169"/>
      <c r="X78" s="129"/>
      <c r="Y78" s="129"/>
      <c r="Z78" s="129"/>
    </row>
    <row r="79" ht="12.0" customHeight="1">
      <c r="A79" s="169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70"/>
      <c r="T79" s="116"/>
      <c r="U79" s="116"/>
      <c r="V79" s="129"/>
      <c r="W79" s="169"/>
      <c r="X79" s="129"/>
      <c r="Y79" s="129"/>
      <c r="Z79" s="129"/>
    </row>
    <row r="80" ht="12.0" customHeight="1">
      <c r="A80" s="169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70"/>
      <c r="T80" s="116"/>
      <c r="U80" s="116"/>
      <c r="V80" s="129"/>
      <c r="W80" s="169"/>
      <c r="X80" s="129"/>
      <c r="Y80" s="129"/>
      <c r="Z80" s="129"/>
    </row>
    <row r="81" ht="12.0" customHeight="1">
      <c r="A81" s="169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70"/>
      <c r="T81" s="116"/>
      <c r="U81" s="116"/>
      <c r="V81" s="129"/>
      <c r="W81" s="169"/>
      <c r="X81" s="129"/>
      <c r="Y81" s="129"/>
      <c r="Z81" s="129"/>
    </row>
    <row r="82" ht="12.0" customHeight="1">
      <c r="A82" s="169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70"/>
      <c r="T82" s="116"/>
      <c r="U82" s="116"/>
      <c r="V82" s="129"/>
      <c r="W82" s="169"/>
      <c r="X82" s="129"/>
      <c r="Y82" s="129"/>
      <c r="Z82" s="129"/>
    </row>
    <row r="83" ht="12.0" customHeight="1">
      <c r="A83" s="169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70"/>
      <c r="T83" s="116"/>
      <c r="U83" s="116"/>
      <c r="V83" s="129"/>
      <c r="W83" s="169"/>
      <c r="X83" s="129"/>
      <c r="Y83" s="129"/>
      <c r="Z83" s="129"/>
    </row>
    <row r="84" ht="12.0" customHeight="1">
      <c r="A84" s="169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70"/>
      <c r="T84" s="116"/>
      <c r="U84" s="116"/>
      <c r="V84" s="129"/>
      <c r="W84" s="169"/>
      <c r="X84" s="129"/>
      <c r="Y84" s="129"/>
      <c r="Z84" s="129"/>
    </row>
    <row r="85" ht="12.0" customHeight="1">
      <c r="A85" s="169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70"/>
      <c r="T85" s="116"/>
      <c r="U85" s="116"/>
      <c r="V85" s="129"/>
      <c r="W85" s="169"/>
      <c r="X85" s="129"/>
      <c r="Y85" s="129"/>
      <c r="Z85" s="129"/>
    </row>
    <row r="86" ht="12.0" customHeight="1">
      <c r="A86" s="169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70"/>
      <c r="T86" s="116"/>
      <c r="U86" s="116"/>
      <c r="V86" s="129"/>
      <c r="W86" s="169"/>
      <c r="X86" s="129"/>
      <c r="Y86" s="129"/>
      <c r="Z86" s="129"/>
    </row>
    <row r="87" ht="12.0" customHeight="1">
      <c r="A87" s="169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70"/>
      <c r="T87" s="116"/>
      <c r="U87" s="116"/>
      <c r="V87" s="129"/>
      <c r="W87" s="169"/>
      <c r="X87" s="129"/>
      <c r="Y87" s="129"/>
      <c r="Z87" s="129"/>
    </row>
    <row r="88" ht="12.0" customHeight="1">
      <c r="A88" s="169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70"/>
      <c r="T88" s="116"/>
      <c r="U88" s="116"/>
      <c r="V88" s="129"/>
      <c r="W88" s="169"/>
      <c r="X88" s="129"/>
      <c r="Y88" s="129"/>
      <c r="Z88" s="129"/>
    </row>
    <row r="89" ht="12.0" customHeight="1">
      <c r="A89" s="169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70"/>
      <c r="T89" s="116"/>
      <c r="U89" s="116"/>
      <c r="V89" s="129"/>
      <c r="W89" s="169"/>
      <c r="X89" s="129"/>
      <c r="Y89" s="129"/>
      <c r="Z89" s="129"/>
    </row>
    <row r="90" ht="12.0" customHeight="1">
      <c r="A90" s="169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70"/>
      <c r="T90" s="116"/>
      <c r="U90" s="116"/>
      <c r="V90" s="129"/>
      <c r="W90" s="169"/>
      <c r="X90" s="129"/>
      <c r="Y90" s="129"/>
      <c r="Z90" s="129"/>
    </row>
    <row r="91" ht="12.0" customHeight="1">
      <c r="A91" s="169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70"/>
      <c r="T91" s="116"/>
      <c r="U91" s="116"/>
      <c r="V91" s="129"/>
      <c r="W91" s="169"/>
      <c r="X91" s="129"/>
      <c r="Y91" s="129"/>
      <c r="Z91" s="129"/>
    </row>
    <row r="92" ht="12.0" customHeight="1">
      <c r="A92" s="169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70"/>
      <c r="T92" s="116"/>
      <c r="U92" s="116"/>
      <c r="V92" s="129"/>
      <c r="W92" s="169"/>
      <c r="X92" s="129"/>
      <c r="Y92" s="129"/>
      <c r="Z92" s="129"/>
    </row>
    <row r="93" ht="12.0" customHeight="1">
      <c r="A93" s="169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70"/>
      <c r="T93" s="116"/>
      <c r="U93" s="116"/>
      <c r="V93" s="129"/>
      <c r="W93" s="169"/>
      <c r="X93" s="129"/>
      <c r="Y93" s="129"/>
      <c r="Z93" s="129"/>
    </row>
    <row r="94" ht="12.0" customHeight="1">
      <c r="A94" s="169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70"/>
      <c r="T94" s="116"/>
      <c r="U94" s="116"/>
      <c r="V94" s="129"/>
      <c r="W94" s="169"/>
      <c r="X94" s="129"/>
      <c r="Y94" s="129"/>
      <c r="Z94" s="129"/>
    </row>
    <row r="95" ht="12.0" customHeight="1">
      <c r="A95" s="169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70"/>
      <c r="T95" s="116"/>
      <c r="U95" s="116"/>
      <c r="V95" s="129"/>
      <c r="W95" s="169"/>
      <c r="X95" s="129"/>
      <c r="Y95" s="129"/>
      <c r="Z95" s="129"/>
    </row>
    <row r="96" ht="12.0" customHeight="1">
      <c r="A96" s="169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70"/>
      <c r="T96" s="116"/>
      <c r="U96" s="116"/>
      <c r="V96" s="129"/>
      <c r="W96" s="169"/>
      <c r="X96" s="129"/>
      <c r="Y96" s="129"/>
      <c r="Z96" s="129"/>
    </row>
    <row r="97" ht="12.0" customHeight="1">
      <c r="A97" s="169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70"/>
      <c r="T97" s="116"/>
      <c r="U97" s="116"/>
      <c r="V97" s="129"/>
      <c r="W97" s="169"/>
      <c r="X97" s="129"/>
      <c r="Y97" s="129"/>
      <c r="Z97" s="129"/>
    </row>
    <row r="98" ht="12.0" customHeight="1">
      <c r="A98" s="169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70"/>
      <c r="T98" s="116"/>
      <c r="U98" s="116"/>
      <c r="V98" s="129"/>
      <c r="W98" s="169"/>
      <c r="X98" s="129"/>
      <c r="Y98" s="129"/>
      <c r="Z98" s="129"/>
    </row>
    <row r="99" ht="12.0" customHeight="1">
      <c r="A99" s="169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70"/>
      <c r="T99" s="116"/>
      <c r="U99" s="116"/>
      <c r="V99" s="129"/>
      <c r="W99" s="169"/>
      <c r="X99" s="129"/>
      <c r="Y99" s="129"/>
      <c r="Z99" s="129"/>
    </row>
    <row r="100" ht="12.0" customHeight="1">
      <c r="A100" s="169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70"/>
      <c r="T100" s="116"/>
      <c r="U100" s="116"/>
      <c r="V100" s="129"/>
      <c r="W100" s="169"/>
      <c r="X100" s="129"/>
      <c r="Y100" s="129"/>
      <c r="Z100" s="129"/>
    </row>
    <row r="101" ht="12.0" customHeight="1">
      <c r="A101" s="169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70"/>
      <c r="T101" s="116"/>
      <c r="U101" s="116"/>
      <c r="V101" s="129"/>
      <c r="W101" s="169"/>
      <c r="X101" s="129"/>
      <c r="Y101" s="129"/>
      <c r="Z101" s="129"/>
    </row>
    <row r="102" ht="12.0" customHeight="1">
      <c r="A102" s="169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70"/>
      <c r="T102" s="116"/>
      <c r="U102" s="116"/>
      <c r="V102" s="129"/>
      <c r="W102" s="169"/>
      <c r="X102" s="129"/>
      <c r="Y102" s="129"/>
      <c r="Z102" s="129"/>
    </row>
    <row r="103" ht="12.0" customHeight="1">
      <c r="A103" s="169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70"/>
      <c r="T103" s="116"/>
      <c r="U103" s="116"/>
      <c r="V103" s="129"/>
      <c r="W103" s="169"/>
      <c r="X103" s="129"/>
      <c r="Y103" s="129"/>
      <c r="Z103" s="129"/>
    </row>
    <row r="104" ht="12.0" customHeight="1">
      <c r="A104" s="169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70"/>
      <c r="T104" s="116"/>
      <c r="U104" s="116"/>
      <c r="V104" s="129"/>
      <c r="W104" s="169"/>
      <c r="X104" s="129"/>
      <c r="Y104" s="129"/>
      <c r="Z104" s="129"/>
    </row>
    <row r="105" ht="12.0" customHeight="1">
      <c r="A105" s="169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70"/>
      <c r="T105" s="116"/>
      <c r="U105" s="116"/>
      <c r="V105" s="129"/>
      <c r="W105" s="169"/>
      <c r="X105" s="129"/>
      <c r="Y105" s="129"/>
      <c r="Z105" s="129"/>
    </row>
    <row r="106" ht="12.0" customHeight="1">
      <c r="A106" s="169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70"/>
      <c r="T106" s="116"/>
      <c r="U106" s="116"/>
      <c r="V106" s="129"/>
      <c r="W106" s="169"/>
      <c r="X106" s="129"/>
      <c r="Y106" s="129"/>
      <c r="Z106" s="129"/>
    </row>
    <row r="107" ht="12.0" customHeight="1">
      <c r="A107" s="169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70"/>
      <c r="T107" s="116"/>
      <c r="U107" s="116"/>
      <c r="V107" s="129"/>
      <c r="W107" s="169"/>
      <c r="X107" s="129"/>
      <c r="Y107" s="129"/>
      <c r="Z107" s="129"/>
    </row>
    <row r="108" ht="12.0" customHeight="1">
      <c r="A108" s="169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70"/>
      <c r="T108" s="116"/>
      <c r="U108" s="116"/>
      <c r="V108" s="129"/>
      <c r="W108" s="169"/>
      <c r="X108" s="129"/>
      <c r="Y108" s="129"/>
      <c r="Z108" s="129"/>
    </row>
    <row r="109" ht="12.0" customHeight="1">
      <c r="A109" s="169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70"/>
      <c r="T109" s="116"/>
      <c r="U109" s="116"/>
      <c r="V109" s="129"/>
      <c r="W109" s="169"/>
      <c r="X109" s="129"/>
      <c r="Y109" s="129"/>
      <c r="Z109" s="129"/>
    </row>
    <row r="110" ht="12.0" customHeight="1">
      <c r="A110" s="169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70"/>
      <c r="T110" s="116"/>
      <c r="U110" s="116"/>
      <c r="V110" s="129"/>
      <c r="W110" s="169"/>
      <c r="X110" s="129"/>
      <c r="Y110" s="129"/>
      <c r="Z110" s="129"/>
    </row>
    <row r="111" ht="12.0" customHeight="1">
      <c r="A111" s="169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70"/>
      <c r="T111" s="116"/>
      <c r="U111" s="116"/>
      <c r="V111" s="129"/>
      <c r="W111" s="169"/>
      <c r="X111" s="129"/>
      <c r="Y111" s="129"/>
      <c r="Z111" s="129"/>
    </row>
    <row r="112" ht="12.0" customHeight="1">
      <c r="A112" s="169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70"/>
      <c r="T112" s="116"/>
      <c r="U112" s="116"/>
      <c r="V112" s="129"/>
      <c r="W112" s="169"/>
      <c r="X112" s="129"/>
      <c r="Y112" s="129"/>
      <c r="Z112" s="129"/>
    </row>
    <row r="113" ht="12.0" customHeight="1">
      <c r="A113" s="169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70"/>
      <c r="T113" s="116"/>
      <c r="U113" s="116"/>
      <c r="V113" s="129"/>
      <c r="W113" s="169"/>
      <c r="X113" s="129"/>
      <c r="Y113" s="129"/>
      <c r="Z113" s="129"/>
    </row>
    <row r="114" ht="12.0" customHeight="1">
      <c r="A114" s="169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70"/>
      <c r="T114" s="116"/>
      <c r="U114" s="116"/>
      <c r="V114" s="129"/>
      <c r="W114" s="169"/>
      <c r="X114" s="129"/>
      <c r="Y114" s="129"/>
      <c r="Z114" s="129"/>
    </row>
    <row r="115" ht="12.0" customHeight="1">
      <c r="A115" s="169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70"/>
      <c r="T115" s="116"/>
      <c r="U115" s="116"/>
      <c r="V115" s="129"/>
      <c r="W115" s="169"/>
      <c r="X115" s="129"/>
      <c r="Y115" s="129"/>
      <c r="Z115" s="129"/>
    </row>
    <row r="116" ht="12.0" customHeight="1">
      <c r="A116" s="169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70"/>
      <c r="T116" s="116"/>
      <c r="U116" s="116"/>
      <c r="V116" s="129"/>
      <c r="W116" s="169"/>
      <c r="X116" s="129"/>
      <c r="Y116" s="129"/>
      <c r="Z116" s="129"/>
    </row>
    <row r="117" ht="12.0" customHeight="1">
      <c r="A117" s="169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70"/>
      <c r="T117" s="116"/>
      <c r="U117" s="116"/>
      <c r="V117" s="129"/>
      <c r="W117" s="169"/>
      <c r="X117" s="129"/>
      <c r="Y117" s="129"/>
      <c r="Z117" s="129"/>
    </row>
    <row r="118" ht="12.0" customHeight="1">
      <c r="A118" s="169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70"/>
      <c r="T118" s="116"/>
      <c r="U118" s="116"/>
      <c r="V118" s="129"/>
      <c r="W118" s="169"/>
      <c r="X118" s="129"/>
      <c r="Y118" s="129"/>
      <c r="Z118" s="129"/>
    </row>
    <row r="119" ht="12.0" customHeight="1">
      <c r="A119" s="169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70"/>
      <c r="T119" s="116"/>
      <c r="U119" s="116"/>
      <c r="V119" s="129"/>
      <c r="W119" s="169"/>
      <c r="X119" s="129"/>
      <c r="Y119" s="129"/>
      <c r="Z119" s="129"/>
    </row>
    <row r="120" ht="12.0" customHeight="1">
      <c r="A120" s="169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70"/>
      <c r="T120" s="116"/>
      <c r="U120" s="116"/>
      <c r="V120" s="129"/>
      <c r="W120" s="169"/>
      <c r="X120" s="129"/>
      <c r="Y120" s="129"/>
      <c r="Z120" s="129"/>
    </row>
    <row r="121" ht="12.0" customHeight="1">
      <c r="A121" s="169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70"/>
      <c r="T121" s="116"/>
      <c r="U121" s="116"/>
      <c r="V121" s="129"/>
      <c r="W121" s="169"/>
      <c r="X121" s="129"/>
      <c r="Y121" s="129"/>
      <c r="Z121" s="129"/>
    </row>
    <row r="122" ht="12.0" customHeight="1">
      <c r="A122" s="169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70"/>
      <c r="T122" s="116"/>
      <c r="U122" s="116"/>
      <c r="V122" s="129"/>
      <c r="W122" s="169"/>
      <c r="X122" s="129"/>
      <c r="Y122" s="129"/>
      <c r="Z122" s="129"/>
    </row>
    <row r="123" ht="12.0" customHeight="1">
      <c r="A123" s="169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70"/>
      <c r="T123" s="116"/>
      <c r="U123" s="116"/>
      <c r="V123" s="129"/>
      <c r="W123" s="169"/>
      <c r="X123" s="129"/>
      <c r="Y123" s="129"/>
      <c r="Z123" s="129"/>
    </row>
    <row r="124" ht="12.0" customHeight="1">
      <c r="A124" s="169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70"/>
      <c r="T124" s="116"/>
      <c r="U124" s="116"/>
      <c r="V124" s="129"/>
      <c r="W124" s="169"/>
      <c r="X124" s="129"/>
      <c r="Y124" s="129"/>
      <c r="Z124" s="129"/>
    </row>
    <row r="125" ht="12.0" customHeight="1">
      <c r="A125" s="169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70"/>
      <c r="T125" s="116"/>
      <c r="U125" s="116"/>
      <c r="V125" s="129"/>
      <c r="W125" s="169"/>
      <c r="X125" s="129"/>
      <c r="Y125" s="129"/>
      <c r="Z125" s="129"/>
    </row>
    <row r="126" ht="12.0" customHeight="1">
      <c r="A126" s="169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70"/>
      <c r="T126" s="116"/>
      <c r="U126" s="116"/>
      <c r="V126" s="129"/>
      <c r="W126" s="169"/>
      <c r="X126" s="129"/>
      <c r="Y126" s="129"/>
      <c r="Z126" s="129"/>
    </row>
    <row r="127" ht="12.0" customHeight="1">
      <c r="A127" s="169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70"/>
      <c r="T127" s="116"/>
      <c r="U127" s="116"/>
      <c r="V127" s="129"/>
      <c r="W127" s="169"/>
      <c r="X127" s="129"/>
      <c r="Y127" s="129"/>
      <c r="Z127" s="129"/>
    </row>
    <row r="128" ht="12.0" customHeight="1">
      <c r="A128" s="169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70"/>
      <c r="T128" s="116"/>
      <c r="U128" s="116"/>
      <c r="V128" s="129"/>
      <c r="W128" s="169"/>
      <c r="X128" s="129"/>
      <c r="Y128" s="129"/>
      <c r="Z128" s="129"/>
    </row>
    <row r="129" ht="12.0" customHeight="1">
      <c r="A129" s="169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70"/>
      <c r="T129" s="116"/>
      <c r="U129" s="116"/>
      <c r="V129" s="129"/>
      <c r="W129" s="169"/>
      <c r="X129" s="129"/>
      <c r="Y129" s="129"/>
      <c r="Z129" s="129"/>
    </row>
    <row r="130" ht="12.0" customHeight="1">
      <c r="A130" s="169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70"/>
      <c r="T130" s="116"/>
      <c r="U130" s="116"/>
      <c r="V130" s="129"/>
      <c r="W130" s="169"/>
      <c r="X130" s="129"/>
      <c r="Y130" s="129"/>
      <c r="Z130" s="129"/>
    </row>
    <row r="131" ht="12.0" customHeight="1">
      <c r="A131" s="169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70"/>
      <c r="T131" s="116"/>
      <c r="U131" s="116"/>
      <c r="V131" s="129"/>
      <c r="W131" s="169"/>
      <c r="X131" s="129"/>
      <c r="Y131" s="129"/>
      <c r="Z131" s="129"/>
    </row>
    <row r="132" ht="12.0" customHeight="1">
      <c r="A132" s="169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70"/>
      <c r="T132" s="116"/>
      <c r="U132" s="116"/>
      <c r="V132" s="129"/>
      <c r="W132" s="169"/>
      <c r="X132" s="129"/>
      <c r="Y132" s="129"/>
      <c r="Z132" s="129"/>
    </row>
    <row r="133" ht="12.0" customHeight="1">
      <c r="A133" s="169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70"/>
      <c r="T133" s="116"/>
      <c r="U133" s="116"/>
      <c r="V133" s="129"/>
      <c r="W133" s="169"/>
      <c r="X133" s="129"/>
      <c r="Y133" s="129"/>
      <c r="Z133" s="129"/>
    </row>
    <row r="134" ht="12.0" customHeight="1">
      <c r="A134" s="169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70"/>
      <c r="T134" s="116"/>
      <c r="U134" s="116"/>
      <c r="V134" s="129"/>
      <c r="W134" s="169"/>
      <c r="X134" s="129"/>
      <c r="Y134" s="129"/>
      <c r="Z134" s="129"/>
    </row>
    <row r="135" ht="12.0" customHeight="1">
      <c r="A135" s="169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70"/>
      <c r="T135" s="116"/>
      <c r="U135" s="116"/>
      <c r="V135" s="129"/>
      <c r="W135" s="169"/>
      <c r="X135" s="129"/>
      <c r="Y135" s="129"/>
      <c r="Z135" s="129"/>
    </row>
    <row r="136" ht="12.0" customHeight="1">
      <c r="A136" s="169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70"/>
      <c r="T136" s="116"/>
      <c r="U136" s="116"/>
      <c r="V136" s="129"/>
      <c r="W136" s="169"/>
      <c r="X136" s="129"/>
      <c r="Y136" s="129"/>
      <c r="Z136" s="129"/>
    </row>
    <row r="137" ht="12.0" customHeight="1">
      <c r="A137" s="169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70"/>
      <c r="T137" s="116"/>
      <c r="U137" s="116"/>
      <c r="V137" s="129"/>
      <c r="W137" s="169"/>
      <c r="X137" s="129"/>
      <c r="Y137" s="129"/>
      <c r="Z137" s="129"/>
    </row>
    <row r="138" ht="12.0" customHeight="1">
      <c r="A138" s="169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70"/>
      <c r="T138" s="116"/>
      <c r="U138" s="116"/>
      <c r="V138" s="129"/>
      <c r="W138" s="169"/>
      <c r="X138" s="129"/>
      <c r="Y138" s="129"/>
      <c r="Z138" s="129"/>
    </row>
    <row r="139" ht="12.0" customHeight="1">
      <c r="A139" s="169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70"/>
      <c r="T139" s="116"/>
      <c r="U139" s="116"/>
      <c r="V139" s="129"/>
      <c r="W139" s="169"/>
      <c r="X139" s="129"/>
      <c r="Y139" s="129"/>
      <c r="Z139" s="129"/>
    </row>
    <row r="140" ht="12.0" customHeight="1">
      <c r="A140" s="169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70"/>
      <c r="T140" s="116"/>
      <c r="U140" s="116"/>
      <c r="V140" s="129"/>
      <c r="W140" s="169"/>
      <c r="X140" s="129"/>
      <c r="Y140" s="129"/>
      <c r="Z140" s="129"/>
    </row>
    <row r="141" ht="12.0" customHeight="1">
      <c r="A141" s="169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70"/>
      <c r="T141" s="116"/>
      <c r="U141" s="116"/>
      <c r="V141" s="129"/>
      <c r="W141" s="169"/>
      <c r="X141" s="129"/>
      <c r="Y141" s="129"/>
      <c r="Z141" s="129"/>
    </row>
    <row r="142" ht="12.0" customHeight="1">
      <c r="A142" s="169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70"/>
      <c r="T142" s="116"/>
      <c r="U142" s="116"/>
      <c r="V142" s="129"/>
      <c r="W142" s="169"/>
      <c r="X142" s="129"/>
      <c r="Y142" s="129"/>
      <c r="Z142" s="129"/>
    </row>
    <row r="143" ht="12.0" customHeight="1">
      <c r="A143" s="169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70"/>
      <c r="T143" s="116"/>
      <c r="U143" s="116"/>
      <c r="V143" s="129"/>
      <c r="W143" s="169"/>
      <c r="X143" s="129"/>
      <c r="Y143" s="129"/>
      <c r="Z143" s="129"/>
    </row>
    <row r="144" ht="12.0" customHeight="1">
      <c r="A144" s="169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70"/>
      <c r="T144" s="116"/>
      <c r="U144" s="116"/>
      <c r="V144" s="129"/>
      <c r="W144" s="169"/>
      <c r="X144" s="129"/>
      <c r="Y144" s="129"/>
      <c r="Z144" s="129"/>
    </row>
    <row r="145" ht="12.0" customHeight="1">
      <c r="A145" s="169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70"/>
      <c r="T145" s="116"/>
      <c r="U145" s="116"/>
      <c r="V145" s="129"/>
      <c r="W145" s="169"/>
      <c r="X145" s="129"/>
      <c r="Y145" s="129"/>
      <c r="Z145" s="129"/>
    </row>
    <row r="146" ht="12.0" customHeight="1">
      <c r="A146" s="169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70"/>
      <c r="T146" s="116"/>
      <c r="U146" s="116"/>
      <c r="V146" s="129"/>
      <c r="W146" s="169"/>
      <c r="X146" s="129"/>
      <c r="Y146" s="129"/>
      <c r="Z146" s="129"/>
    </row>
    <row r="147" ht="12.0" customHeight="1">
      <c r="A147" s="169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70"/>
      <c r="T147" s="116"/>
      <c r="U147" s="116"/>
      <c r="V147" s="129"/>
      <c r="W147" s="169"/>
      <c r="X147" s="129"/>
      <c r="Y147" s="129"/>
      <c r="Z147" s="129"/>
    </row>
    <row r="148" ht="12.0" customHeight="1">
      <c r="A148" s="169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70"/>
      <c r="T148" s="116"/>
      <c r="U148" s="116"/>
      <c r="V148" s="129"/>
      <c r="W148" s="169"/>
      <c r="X148" s="129"/>
      <c r="Y148" s="129"/>
      <c r="Z148" s="129"/>
    </row>
    <row r="149" ht="12.0" customHeight="1">
      <c r="A149" s="169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70"/>
      <c r="T149" s="116"/>
      <c r="U149" s="116"/>
      <c r="V149" s="129"/>
      <c r="W149" s="169"/>
      <c r="X149" s="129"/>
      <c r="Y149" s="129"/>
      <c r="Z149" s="129"/>
    </row>
    <row r="150" ht="12.0" customHeight="1">
      <c r="A150" s="169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70"/>
      <c r="T150" s="116"/>
      <c r="U150" s="116"/>
      <c r="V150" s="129"/>
      <c r="W150" s="169"/>
      <c r="X150" s="129"/>
      <c r="Y150" s="129"/>
      <c r="Z150" s="129"/>
    </row>
    <row r="151" ht="12.0" customHeight="1">
      <c r="A151" s="169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70"/>
      <c r="T151" s="116"/>
      <c r="U151" s="116"/>
      <c r="V151" s="129"/>
      <c r="W151" s="169"/>
      <c r="X151" s="129"/>
      <c r="Y151" s="129"/>
      <c r="Z151" s="129"/>
    </row>
    <row r="152" ht="12.0" customHeight="1">
      <c r="A152" s="169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70"/>
      <c r="T152" s="116"/>
      <c r="U152" s="116"/>
      <c r="V152" s="129"/>
      <c r="W152" s="169"/>
      <c r="X152" s="129"/>
      <c r="Y152" s="129"/>
      <c r="Z152" s="129"/>
    </row>
    <row r="153" ht="12.0" customHeight="1">
      <c r="A153" s="169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70"/>
      <c r="T153" s="116"/>
      <c r="U153" s="116"/>
      <c r="V153" s="129"/>
      <c r="W153" s="169"/>
      <c r="X153" s="129"/>
      <c r="Y153" s="129"/>
      <c r="Z153" s="129"/>
    </row>
    <row r="154" ht="12.0" customHeight="1">
      <c r="A154" s="169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70"/>
      <c r="T154" s="116"/>
      <c r="U154" s="116"/>
      <c r="V154" s="129"/>
      <c r="W154" s="169"/>
      <c r="X154" s="129"/>
      <c r="Y154" s="129"/>
      <c r="Z154" s="129"/>
    </row>
    <row r="155" ht="12.0" customHeight="1">
      <c r="A155" s="169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70"/>
      <c r="T155" s="116"/>
      <c r="U155" s="116"/>
      <c r="V155" s="129"/>
      <c r="W155" s="169"/>
      <c r="X155" s="129"/>
      <c r="Y155" s="129"/>
      <c r="Z155" s="129"/>
    </row>
    <row r="156" ht="12.0" customHeight="1">
      <c r="A156" s="169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70"/>
      <c r="T156" s="116"/>
      <c r="U156" s="116"/>
      <c r="V156" s="129"/>
      <c r="W156" s="169"/>
      <c r="X156" s="129"/>
      <c r="Y156" s="129"/>
      <c r="Z156" s="129"/>
    </row>
    <row r="157" ht="12.0" customHeight="1">
      <c r="A157" s="169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70"/>
      <c r="T157" s="116"/>
      <c r="U157" s="116"/>
      <c r="V157" s="129"/>
      <c r="W157" s="169"/>
      <c r="X157" s="129"/>
      <c r="Y157" s="129"/>
      <c r="Z157" s="129"/>
    </row>
    <row r="158" ht="12.0" customHeight="1">
      <c r="A158" s="169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70"/>
      <c r="T158" s="116"/>
      <c r="U158" s="116"/>
      <c r="V158" s="129"/>
      <c r="W158" s="169"/>
      <c r="X158" s="129"/>
      <c r="Y158" s="129"/>
      <c r="Z158" s="129"/>
    </row>
    <row r="159" ht="12.0" customHeight="1">
      <c r="A159" s="169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70"/>
      <c r="T159" s="116"/>
      <c r="U159" s="116"/>
      <c r="V159" s="129"/>
      <c r="W159" s="169"/>
      <c r="X159" s="129"/>
      <c r="Y159" s="129"/>
      <c r="Z159" s="129"/>
    </row>
    <row r="160" ht="12.0" customHeight="1">
      <c r="A160" s="169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70"/>
      <c r="T160" s="116"/>
      <c r="U160" s="116"/>
      <c r="V160" s="129"/>
      <c r="W160" s="169"/>
      <c r="X160" s="129"/>
      <c r="Y160" s="129"/>
      <c r="Z160" s="129"/>
    </row>
    <row r="161" ht="12.0" customHeight="1">
      <c r="A161" s="169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70"/>
      <c r="T161" s="116"/>
      <c r="U161" s="116"/>
      <c r="V161" s="129"/>
      <c r="W161" s="169"/>
      <c r="X161" s="129"/>
      <c r="Y161" s="129"/>
      <c r="Z161" s="129"/>
    </row>
    <row r="162" ht="12.0" customHeight="1">
      <c r="A162" s="169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70"/>
      <c r="T162" s="116"/>
      <c r="U162" s="116"/>
      <c r="V162" s="129"/>
      <c r="W162" s="169"/>
      <c r="X162" s="129"/>
      <c r="Y162" s="129"/>
      <c r="Z162" s="129"/>
    </row>
    <row r="163" ht="12.0" customHeight="1">
      <c r="A163" s="169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70"/>
      <c r="T163" s="116"/>
      <c r="U163" s="116"/>
      <c r="V163" s="129"/>
      <c r="W163" s="169"/>
      <c r="X163" s="129"/>
      <c r="Y163" s="129"/>
      <c r="Z163" s="129"/>
    </row>
    <row r="164" ht="12.0" customHeight="1">
      <c r="A164" s="169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70"/>
      <c r="T164" s="116"/>
      <c r="U164" s="116"/>
      <c r="V164" s="129"/>
      <c r="W164" s="169"/>
      <c r="X164" s="129"/>
      <c r="Y164" s="129"/>
      <c r="Z164" s="129"/>
    </row>
    <row r="165" ht="12.0" customHeight="1">
      <c r="A165" s="169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70"/>
      <c r="T165" s="116"/>
      <c r="U165" s="116"/>
      <c r="V165" s="129"/>
      <c r="W165" s="169"/>
      <c r="X165" s="129"/>
      <c r="Y165" s="129"/>
      <c r="Z165" s="129"/>
    </row>
    <row r="166" ht="12.0" customHeight="1">
      <c r="A166" s="169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70"/>
      <c r="T166" s="116"/>
      <c r="U166" s="116"/>
      <c r="V166" s="129"/>
      <c r="W166" s="169"/>
      <c r="X166" s="129"/>
      <c r="Y166" s="129"/>
      <c r="Z166" s="129"/>
    </row>
    <row r="167" ht="12.0" customHeight="1">
      <c r="A167" s="169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70"/>
      <c r="T167" s="116"/>
      <c r="U167" s="116"/>
      <c r="V167" s="129"/>
      <c r="W167" s="169"/>
      <c r="X167" s="129"/>
      <c r="Y167" s="129"/>
      <c r="Z167" s="129"/>
    </row>
    <row r="168" ht="12.0" customHeight="1">
      <c r="A168" s="169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70"/>
      <c r="T168" s="116"/>
      <c r="U168" s="116"/>
      <c r="V168" s="129"/>
      <c r="W168" s="169"/>
      <c r="X168" s="129"/>
      <c r="Y168" s="129"/>
      <c r="Z168" s="129"/>
    </row>
    <row r="169" ht="12.0" customHeight="1">
      <c r="A169" s="169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70"/>
      <c r="T169" s="116"/>
      <c r="U169" s="116"/>
      <c r="V169" s="129"/>
      <c r="W169" s="169"/>
      <c r="X169" s="129"/>
      <c r="Y169" s="129"/>
      <c r="Z169" s="129"/>
    </row>
    <row r="170" ht="12.0" customHeight="1">
      <c r="A170" s="169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70"/>
      <c r="T170" s="116"/>
      <c r="U170" s="116"/>
      <c r="V170" s="129"/>
      <c r="W170" s="169"/>
      <c r="X170" s="129"/>
      <c r="Y170" s="129"/>
      <c r="Z170" s="129"/>
    </row>
    <row r="171" ht="12.0" customHeight="1">
      <c r="A171" s="169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70"/>
      <c r="T171" s="116"/>
      <c r="U171" s="116"/>
      <c r="V171" s="129"/>
      <c r="W171" s="169"/>
      <c r="X171" s="129"/>
      <c r="Y171" s="129"/>
      <c r="Z171" s="129"/>
    </row>
    <row r="172" ht="12.0" customHeight="1">
      <c r="A172" s="169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70"/>
      <c r="T172" s="116"/>
      <c r="U172" s="116"/>
      <c r="V172" s="129"/>
      <c r="W172" s="169"/>
      <c r="X172" s="129"/>
      <c r="Y172" s="129"/>
      <c r="Z172" s="129"/>
    </row>
    <row r="173" ht="12.0" customHeight="1">
      <c r="A173" s="169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70"/>
      <c r="T173" s="116"/>
      <c r="U173" s="116"/>
      <c r="V173" s="129"/>
      <c r="W173" s="169"/>
      <c r="X173" s="129"/>
      <c r="Y173" s="129"/>
      <c r="Z173" s="129"/>
    </row>
    <row r="174" ht="12.0" customHeight="1">
      <c r="A174" s="169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70"/>
      <c r="T174" s="116"/>
      <c r="U174" s="116"/>
      <c r="V174" s="129"/>
      <c r="W174" s="169"/>
      <c r="X174" s="129"/>
      <c r="Y174" s="129"/>
      <c r="Z174" s="129"/>
    </row>
    <row r="175" ht="12.0" customHeight="1">
      <c r="A175" s="169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70"/>
      <c r="T175" s="116"/>
      <c r="U175" s="116"/>
      <c r="V175" s="129"/>
      <c r="W175" s="169"/>
      <c r="X175" s="129"/>
      <c r="Y175" s="129"/>
      <c r="Z175" s="129"/>
    </row>
    <row r="176" ht="12.0" customHeight="1">
      <c r="A176" s="169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70"/>
      <c r="T176" s="116"/>
      <c r="U176" s="116"/>
      <c r="V176" s="129"/>
      <c r="W176" s="169"/>
      <c r="X176" s="129"/>
      <c r="Y176" s="129"/>
      <c r="Z176" s="129"/>
    </row>
    <row r="177" ht="12.0" customHeight="1">
      <c r="A177" s="169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70"/>
      <c r="T177" s="116"/>
      <c r="U177" s="116"/>
      <c r="V177" s="129"/>
      <c r="W177" s="169"/>
      <c r="X177" s="129"/>
      <c r="Y177" s="129"/>
      <c r="Z177" s="129"/>
    </row>
    <row r="178" ht="12.0" customHeight="1">
      <c r="A178" s="169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70"/>
      <c r="T178" s="116"/>
      <c r="U178" s="116"/>
      <c r="V178" s="129"/>
      <c r="W178" s="169"/>
      <c r="X178" s="129"/>
      <c r="Y178" s="129"/>
      <c r="Z178" s="129"/>
    </row>
    <row r="179" ht="12.0" customHeight="1">
      <c r="A179" s="169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70"/>
      <c r="T179" s="116"/>
      <c r="U179" s="116"/>
      <c r="V179" s="129"/>
      <c r="W179" s="169"/>
      <c r="X179" s="129"/>
      <c r="Y179" s="129"/>
      <c r="Z179" s="129"/>
    </row>
    <row r="180" ht="12.0" customHeight="1">
      <c r="A180" s="169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70"/>
      <c r="T180" s="116"/>
      <c r="U180" s="116"/>
      <c r="V180" s="129"/>
      <c r="W180" s="169"/>
      <c r="X180" s="129"/>
      <c r="Y180" s="129"/>
      <c r="Z180" s="129"/>
    </row>
    <row r="181" ht="12.0" customHeight="1">
      <c r="A181" s="169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70"/>
      <c r="T181" s="116"/>
      <c r="U181" s="116"/>
      <c r="V181" s="129"/>
      <c r="W181" s="169"/>
      <c r="X181" s="129"/>
      <c r="Y181" s="129"/>
      <c r="Z181" s="129"/>
    </row>
    <row r="182" ht="12.0" customHeight="1">
      <c r="A182" s="169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70"/>
      <c r="T182" s="116"/>
      <c r="U182" s="116"/>
      <c r="V182" s="129"/>
      <c r="W182" s="169"/>
      <c r="X182" s="129"/>
      <c r="Y182" s="129"/>
      <c r="Z182" s="129"/>
    </row>
    <row r="183" ht="12.0" customHeight="1">
      <c r="A183" s="169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70"/>
      <c r="T183" s="116"/>
      <c r="U183" s="116"/>
      <c r="V183" s="129"/>
      <c r="W183" s="169"/>
      <c r="X183" s="129"/>
      <c r="Y183" s="129"/>
      <c r="Z183" s="129"/>
    </row>
    <row r="184" ht="12.0" customHeight="1">
      <c r="A184" s="169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70"/>
      <c r="T184" s="116"/>
      <c r="U184" s="116"/>
      <c r="V184" s="129"/>
      <c r="W184" s="169"/>
      <c r="X184" s="129"/>
      <c r="Y184" s="129"/>
      <c r="Z184" s="129"/>
    </row>
    <row r="185" ht="12.0" customHeight="1">
      <c r="A185" s="169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70"/>
      <c r="T185" s="116"/>
      <c r="U185" s="116"/>
      <c r="V185" s="129"/>
      <c r="W185" s="169"/>
      <c r="X185" s="129"/>
      <c r="Y185" s="129"/>
      <c r="Z185" s="129"/>
    </row>
    <row r="186" ht="12.0" customHeight="1">
      <c r="A186" s="169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70"/>
      <c r="T186" s="116"/>
      <c r="U186" s="116"/>
      <c r="V186" s="129"/>
      <c r="W186" s="169"/>
      <c r="X186" s="129"/>
      <c r="Y186" s="129"/>
      <c r="Z186" s="129"/>
    </row>
    <row r="187" ht="12.0" customHeight="1">
      <c r="A187" s="169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70"/>
      <c r="T187" s="116"/>
      <c r="U187" s="116"/>
      <c r="V187" s="129"/>
      <c r="W187" s="169"/>
      <c r="X187" s="129"/>
      <c r="Y187" s="129"/>
      <c r="Z187" s="129"/>
    </row>
    <row r="188" ht="12.0" customHeight="1">
      <c r="A188" s="169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70"/>
      <c r="T188" s="116"/>
      <c r="U188" s="116"/>
      <c r="V188" s="129"/>
      <c r="W188" s="169"/>
      <c r="X188" s="129"/>
      <c r="Y188" s="129"/>
      <c r="Z188" s="129"/>
    </row>
    <row r="189" ht="12.0" customHeight="1">
      <c r="A189" s="169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70"/>
      <c r="T189" s="116"/>
      <c r="U189" s="116"/>
      <c r="V189" s="129"/>
      <c r="W189" s="169"/>
      <c r="X189" s="129"/>
      <c r="Y189" s="129"/>
      <c r="Z189" s="129"/>
    </row>
    <row r="190" ht="12.0" customHeight="1">
      <c r="A190" s="169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70"/>
      <c r="T190" s="116"/>
      <c r="U190" s="116"/>
      <c r="V190" s="129"/>
      <c r="W190" s="169"/>
      <c r="X190" s="129"/>
      <c r="Y190" s="129"/>
      <c r="Z190" s="129"/>
    </row>
    <row r="191" ht="12.0" customHeight="1">
      <c r="A191" s="169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70"/>
      <c r="T191" s="116"/>
      <c r="U191" s="116"/>
      <c r="V191" s="129"/>
      <c r="W191" s="169"/>
      <c r="X191" s="129"/>
      <c r="Y191" s="129"/>
      <c r="Z191" s="129"/>
    </row>
    <row r="192" ht="12.0" customHeight="1">
      <c r="A192" s="169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70"/>
      <c r="T192" s="116"/>
      <c r="U192" s="116"/>
      <c r="V192" s="129"/>
      <c r="W192" s="169"/>
      <c r="X192" s="129"/>
      <c r="Y192" s="129"/>
      <c r="Z192" s="129"/>
    </row>
    <row r="193" ht="12.0" customHeight="1">
      <c r="A193" s="16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70"/>
      <c r="T193" s="129"/>
      <c r="U193" s="129"/>
      <c r="V193" s="129"/>
      <c r="W193" s="169"/>
      <c r="X193" s="129"/>
      <c r="Y193" s="129"/>
      <c r="Z193" s="129"/>
    </row>
    <row r="194" ht="12.0" customHeight="1">
      <c r="A194" s="16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70"/>
      <c r="T194" s="129"/>
      <c r="U194" s="129"/>
      <c r="V194" s="129"/>
      <c r="W194" s="169"/>
      <c r="X194" s="129"/>
      <c r="Y194" s="129"/>
      <c r="Z194" s="129"/>
    </row>
    <row r="195" ht="12.0" customHeight="1">
      <c r="A195" s="16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70"/>
      <c r="T195" s="129"/>
      <c r="U195" s="129"/>
      <c r="V195" s="129"/>
      <c r="W195" s="169"/>
      <c r="X195" s="129"/>
      <c r="Y195" s="129"/>
      <c r="Z195" s="129"/>
    </row>
    <row r="196" ht="12.0" customHeight="1">
      <c r="A196" s="16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70"/>
      <c r="T196" s="129"/>
      <c r="U196" s="129"/>
      <c r="V196" s="129"/>
      <c r="W196" s="169"/>
      <c r="X196" s="129"/>
      <c r="Y196" s="129"/>
      <c r="Z196" s="129"/>
    </row>
    <row r="197" ht="12.0" customHeight="1">
      <c r="A197" s="16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70"/>
      <c r="T197" s="129"/>
      <c r="U197" s="129"/>
      <c r="V197" s="129"/>
      <c r="W197" s="169"/>
      <c r="X197" s="129"/>
      <c r="Y197" s="129"/>
      <c r="Z197" s="129"/>
    </row>
    <row r="198" ht="12.0" customHeight="1">
      <c r="A198" s="16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70"/>
      <c r="T198" s="129"/>
      <c r="U198" s="129"/>
      <c r="V198" s="129"/>
      <c r="W198" s="169"/>
      <c r="X198" s="129"/>
      <c r="Y198" s="129"/>
      <c r="Z198" s="129"/>
    </row>
    <row r="199" ht="12.0" customHeight="1">
      <c r="A199" s="16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70"/>
      <c r="T199" s="129"/>
      <c r="U199" s="129"/>
      <c r="V199" s="129"/>
      <c r="W199" s="169"/>
      <c r="X199" s="129"/>
      <c r="Y199" s="129"/>
      <c r="Z199" s="129"/>
    </row>
    <row r="200" ht="12.0" customHeight="1">
      <c r="A200" s="16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70"/>
      <c r="T200" s="129"/>
      <c r="U200" s="129"/>
      <c r="V200" s="129"/>
      <c r="W200" s="169"/>
      <c r="X200" s="129"/>
      <c r="Y200" s="129"/>
      <c r="Z200" s="129"/>
    </row>
    <row r="201" ht="12.0" customHeight="1">
      <c r="A201" s="16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70"/>
      <c r="T201" s="129"/>
      <c r="U201" s="129"/>
      <c r="V201" s="129"/>
      <c r="W201" s="169"/>
      <c r="X201" s="129"/>
      <c r="Y201" s="129"/>
      <c r="Z201" s="129"/>
    </row>
    <row r="202" ht="12.0" customHeight="1">
      <c r="A202" s="16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70"/>
      <c r="T202" s="129"/>
      <c r="U202" s="129"/>
      <c r="V202" s="129"/>
      <c r="W202" s="169"/>
      <c r="X202" s="129"/>
      <c r="Y202" s="129"/>
      <c r="Z202" s="129"/>
    </row>
    <row r="203" ht="12.0" customHeight="1">
      <c r="A203" s="16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70"/>
      <c r="T203" s="129"/>
      <c r="U203" s="129"/>
      <c r="V203" s="129"/>
      <c r="W203" s="169"/>
      <c r="X203" s="129"/>
      <c r="Y203" s="129"/>
      <c r="Z203" s="129"/>
    </row>
    <row r="204" ht="12.0" customHeight="1">
      <c r="A204" s="16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70"/>
      <c r="T204" s="129"/>
      <c r="U204" s="129"/>
      <c r="V204" s="129"/>
      <c r="W204" s="169"/>
      <c r="X204" s="129"/>
      <c r="Y204" s="129"/>
      <c r="Z204" s="129"/>
    </row>
    <row r="205" ht="12.0" customHeight="1">
      <c r="A205" s="16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70"/>
      <c r="T205" s="129"/>
      <c r="U205" s="129"/>
      <c r="V205" s="129"/>
      <c r="W205" s="169"/>
      <c r="X205" s="129"/>
      <c r="Y205" s="129"/>
      <c r="Z205" s="129"/>
    </row>
    <row r="206" ht="12.0" customHeight="1">
      <c r="A206" s="16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70"/>
      <c r="T206" s="129"/>
      <c r="U206" s="129"/>
      <c r="V206" s="129"/>
      <c r="W206" s="169"/>
      <c r="X206" s="129"/>
      <c r="Y206" s="129"/>
      <c r="Z206" s="129"/>
    </row>
    <row r="207" ht="12.0" customHeight="1">
      <c r="A207" s="16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70"/>
      <c r="T207" s="129"/>
      <c r="U207" s="129"/>
      <c r="V207" s="129"/>
      <c r="W207" s="169"/>
      <c r="X207" s="129"/>
      <c r="Y207" s="129"/>
      <c r="Z207" s="129"/>
    </row>
    <row r="208" ht="12.0" customHeight="1">
      <c r="A208" s="16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70"/>
      <c r="T208" s="129"/>
      <c r="U208" s="129"/>
      <c r="V208" s="129"/>
      <c r="W208" s="169"/>
      <c r="X208" s="129"/>
      <c r="Y208" s="129"/>
      <c r="Z208" s="129"/>
    </row>
    <row r="209" ht="12.0" customHeight="1">
      <c r="A209" s="16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70"/>
      <c r="T209" s="129"/>
      <c r="U209" s="129"/>
      <c r="V209" s="129"/>
      <c r="W209" s="169"/>
      <c r="X209" s="129"/>
      <c r="Y209" s="129"/>
      <c r="Z209" s="129"/>
    </row>
    <row r="210" ht="12.0" customHeight="1">
      <c r="A210" s="16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70"/>
      <c r="T210" s="129"/>
      <c r="U210" s="129"/>
      <c r="V210" s="129"/>
      <c r="W210" s="169"/>
      <c r="X210" s="129"/>
      <c r="Y210" s="129"/>
      <c r="Z210" s="129"/>
    </row>
    <row r="211" ht="12.0" customHeight="1">
      <c r="A211" s="16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70"/>
      <c r="T211" s="129"/>
      <c r="U211" s="129"/>
      <c r="V211" s="129"/>
      <c r="W211" s="169"/>
      <c r="X211" s="129"/>
      <c r="Y211" s="129"/>
      <c r="Z211" s="129"/>
    </row>
    <row r="212" ht="12.0" customHeight="1">
      <c r="A212" s="16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70"/>
      <c r="T212" s="129"/>
      <c r="U212" s="129"/>
      <c r="V212" s="129"/>
      <c r="W212" s="169"/>
      <c r="X212" s="129"/>
      <c r="Y212" s="129"/>
      <c r="Z212" s="129"/>
    </row>
    <row r="213" ht="12.0" customHeight="1">
      <c r="A213" s="16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70"/>
      <c r="T213" s="129"/>
      <c r="U213" s="129"/>
      <c r="V213" s="129"/>
      <c r="W213" s="169"/>
      <c r="X213" s="129"/>
      <c r="Y213" s="129"/>
      <c r="Z213" s="129"/>
    </row>
    <row r="214" ht="12.0" customHeight="1">
      <c r="A214" s="16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70"/>
      <c r="T214" s="129"/>
      <c r="U214" s="129"/>
      <c r="V214" s="129"/>
      <c r="W214" s="169"/>
      <c r="X214" s="129"/>
      <c r="Y214" s="129"/>
      <c r="Z214" s="129"/>
    </row>
    <row r="215" ht="12.0" customHeight="1">
      <c r="A215" s="16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70"/>
      <c r="T215" s="129"/>
      <c r="U215" s="129"/>
      <c r="V215" s="129"/>
      <c r="W215" s="169"/>
      <c r="X215" s="129"/>
      <c r="Y215" s="129"/>
      <c r="Z215" s="129"/>
    </row>
    <row r="216" ht="12.0" customHeight="1">
      <c r="A216" s="16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70"/>
      <c r="T216" s="129"/>
      <c r="U216" s="129"/>
      <c r="V216" s="129"/>
      <c r="W216" s="169"/>
      <c r="X216" s="129"/>
      <c r="Y216" s="129"/>
      <c r="Z216" s="129"/>
    </row>
    <row r="217" ht="12.0" customHeight="1">
      <c r="A217" s="16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70"/>
      <c r="T217" s="129"/>
      <c r="U217" s="129"/>
      <c r="V217" s="129"/>
      <c r="W217" s="169"/>
      <c r="X217" s="129"/>
      <c r="Y217" s="129"/>
      <c r="Z217" s="129"/>
    </row>
    <row r="218" ht="12.0" customHeight="1">
      <c r="A218" s="16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70"/>
      <c r="T218" s="129"/>
      <c r="U218" s="129"/>
      <c r="V218" s="129"/>
      <c r="W218" s="169"/>
      <c r="X218" s="129"/>
      <c r="Y218" s="129"/>
      <c r="Z218" s="129"/>
    </row>
    <row r="219" ht="12.0" customHeight="1">
      <c r="A219" s="16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70"/>
      <c r="T219" s="129"/>
      <c r="U219" s="129"/>
      <c r="V219" s="129"/>
      <c r="W219" s="169"/>
      <c r="X219" s="129"/>
      <c r="Y219" s="129"/>
      <c r="Z219" s="129"/>
    </row>
    <row r="220" ht="12.0" customHeight="1">
      <c r="A220" s="16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70"/>
      <c r="T220" s="129"/>
      <c r="U220" s="129"/>
      <c r="V220" s="129"/>
      <c r="W220" s="169"/>
      <c r="X220" s="129"/>
      <c r="Y220" s="129"/>
      <c r="Z220" s="129"/>
    </row>
    <row r="221" ht="12.0" customHeight="1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70"/>
      <c r="T221" s="129"/>
      <c r="U221" s="129"/>
      <c r="V221" s="129"/>
      <c r="W221" s="129"/>
      <c r="X221" s="129"/>
      <c r="Y221" s="129"/>
      <c r="Z221" s="129"/>
    </row>
    <row r="222" ht="12.0" customHeight="1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70"/>
      <c r="T222" s="129"/>
      <c r="U222" s="129"/>
      <c r="V222" s="129"/>
      <c r="W222" s="129"/>
      <c r="X222" s="129"/>
      <c r="Y222" s="129"/>
      <c r="Z222" s="129"/>
    </row>
    <row r="223" ht="12.0" customHeight="1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70"/>
      <c r="T223" s="129"/>
      <c r="U223" s="129"/>
      <c r="V223" s="129"/>
      <c r="W223" s="129"/>
      <c r="X223" s="129"/>
      <c r="Y223" s="129"/>
      <c r="Z223" s="129"/>
    </row>
    <row r="224" ht="12.0" customHeight="1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70"/>
      <c r="T224" s="129"/>
      <c r="U224" s="129"/>
      <c r="V224" s="129"/>
      <c r="W224" s="129"/>
      <c r="X224" s="129"/>
      <c r="Y224" s="129"/>
      <c r="Z224" s="129"/>
    </row>
    <row r="225" ht="12.0" customHeight="1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70"/>
      <c r="T225" s="129"/>
      <c r="U225" s="129"/>
      <c r="V225" s="129"/>
      <c r="W225" s="129"/>
      <c r="X225" s="129"/>
      <c r="Y225" s="129"/>
      <c r="Z225" s="129"/>
    </row>
    <row r="226" ht="12.0" customHeight="1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70"/>
      <c r="T226" s="129"/>
      <c r="U226" s="129"/>
      <c r="V226" s="129"/>
      <c r="W226" s="129"/>
      <c r="X226" s="129"/>
      <c r="Y226" s="129"/>
      <c r="Z226" s="129"/>
    </row>
    <row r="227" ht="12.0" customHeight="1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70"/>
      <c r="T227" s="129"/>
      <c r="U227" s="129"/>
      <c r="V227" s="129"/>
      <c r="W227" s="129"/>
      <c r="X227" s="129"/>
      <c r="Y227" s="129"/>
      <c r="Z227" s="129"/>
    </row>
    <row r="228" ht="12.0" customHeight="1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70"/>
      <c r="T228" s="129"/>
      <c r="U228" s="129"/>
      <c r="V228" s="129"/>
      <c r="W228" s="129"/>
      <c r="X228" s="129"/>
      <c r="Y228" s="129"/>
      <c r="Z228" s="129"/>
    </row>
    <row r="229" ht="12.0" customHeight="1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70"/>
      <c r="T229" s="129"/>
      <c r="U229" s="129"/>
      <c r="V229" s="129"/>
      <c r="W229" s="129"/>
      <c r="X229" s="129"/>
      <c r="Y229" s="129"/>
      <c r="Z229" s="129"/>
    </row>
    <row r="230" ht="12.0" customHeight="1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70"/>
      <c r="T230" s="129"/>
      <c r="U230" s="129"/>
      <c r="V230" s="129"/>
      <c r="W230" s="129"/>
      <c r="X230" s="129"/>
      <c r="Y230" s="129"/>
      <c r="Z230" s="129"/>
    </row>
    <row r="231" ht="12.0" customHeight="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70"/>
      <c r="T231" s="129"/>
      <c r="U231" s="129"/>
      <c r="V231" s="129"/>
      <c r="W231" s="129"/>
      <c r="X231" s="129"/>
      <c r="Y231" s="129"/>
      <c r="Z231" s="129"/>
    </row>
    <row r="232" ht="12.0" customHeight="1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70"/>
      <c r="T232" s="129"/>
      <c r="U232" s="129"/>
      <c r="V232" s="129"/>
      <c r="W232" s="129"/>
      <c r="X232" s="129"/>
      <c r="Y232" s="129"/>
      <c r="Z232" s="129"/>
    </row>
    <row r="233" ht="12.0" customHeight="1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70"/>
      <c r="T233" s="129"/>
      <c r="U233" s="129"/>
      <c r="V233" s="129"/>
      <c r="W233" s="129"/>
      <c r="X233" s="129"/>
      <c r="Y233" s="129"/>
      <c r="Z233" s="129"/>
    </row>
    <row r="234" ht="12.0" customHeight="1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70"/>
      <c r="T234" s="129"/>
      <c r="U234" s="129"/>
      <c r="V234" s="129"/>
      <c r="W234" s="129"/>
      <c r="X234" s="129"/>
      <c r="Y234" s="129"/>
      <c r="Z234" s="129"/>
    </row>
    <row r="235" ht="12.0" customHeight="1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70"/>
      <c r="T235" s="129"/>
      <c r="U235" s="129"/>
      <c r="V235" s="129"/>
      <c r="W235" s="129"/>
      <c r="X235" s="129"/>
      <c r="Y235" s="129"/>
      <c r="Z235" s="129"/>
    </row>
    <row r="236" ht="12.0" customHeight="1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70"/>
      <c r="T236" s="129"/>
      <c r="U236" s="129"/>
      <c r="V236" s="129"/>
      <c r="W236" s="129"/>
      <c r="X236" s="129"/>
      <c r="Y236" s="129"/>
      <c r="Z236" s="129"/>
    </row>
    <row r="237" ht="12.0" customHeight="1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70"/>
      <c r="T237" s="129"/>
      <c r="U237" s="129"/>
      <c r="V237" s="129"/>
      <c r="W237" s="129"/>
      <c r="X237" s="129"/>
      <c r="Y237" s="129"/>
      <c r="Z237" s="129"/>
    </row>
    <row r="238" ht="12.0" customHeight="1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70"/>
      <c r="T238" s="129"/>
      <c r="U238" s="129"/>
      <c r="V238" s="129"/>
      <c r="W238" s="129"/>
      <c r="X238" s="129"/>
      <c r="Y238" s="129"/>
      <c r="Z238" s="129"/>
    </row>
    <row r="239" ht="12.0" customHeight="1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70"/>
      <c r="T239" s="129"/>
      <c r="U239" s="129"/>
      <c r="V239" s="129"/>
      <c r="W239" s="129"/>
      <c r="X239" s="129"/>
      <c r="Y239" s="129"/>
      <c r="Z239" s="129"/>
    </row>
    <row r="240" ht="12.0" customHeight="1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70"/>
      <c r="T240" s="129"/>
      <c r="U240" s="129"/>
      <c r="V240" s="129"/>
      <c r="W240" s="129"/>
      <c r="X240" s="129"/>
      <c r="Y240" s="129"/>
      <c r="Z240" s="129"/>
    </row>
    <row r="241" ht="12.0" customHeight="1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70"/>
      <c r="T241" s="129"/>
      <c r="U241" s="129"/>
      <c r="V241" s="129"/>
      <c r="W241" s="129"/>
      <c r="X241" s="129"/>
      <c r="Y241" s="129"/>
      <c r="Z241" s="129"/>
    </row>
    <row r="242" ht="12.0" customHeight="1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70"/>
      <c r="T242" s="129"/>
      <c r="U242" s="129"/>
      <c r="V242" s="129"/>
      <c r="W242" s="129"/>
      <c r="X242" s="129"/>
      <c r="Y242" s="129"/>
      <c r="Z242" s="129"/>
    </row>
    <row r="243" ht="12.0" customHeight="1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70"/>
      <c r="T243" s="129"/>
      <c r="U243" s="129"/>
      <c r="V243" s="129"/>
      <c r="W243" s="129"/>
      <c r="X243" s="129"/>
      <c r="Y243" s="129"/>
      <c r="Z243" s="129"/>
    </row>
    <row r="244" ht="12.0" customHeight="1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70"/>
      <c r="T244" s="129"/>
      <c r="U244" s="129"/>
      <c r="V244" s="129"/>
      <c r="W244" s="129"/>
      <c r="X244" s="129"/>
      <c r="Y244" s="129"/>
      <c r="Z244" s="129"/>
    </row>
    <row r="245" ht="12.0" customHeight="1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70"/>
      <c r="T245" s="129"/>
      <c r="U245" s="129"/>
      <c r="V245" s="129"/>
      <c r="W245" s="129"/>
      <c r="X245" s="129"/>
      <c r="Y245" s="129"/>
      <c r="Z245" s="129"/>
    </row>
    <row r="246" ht="12.0" customHeight="1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70"/>
      <c r="T246" s="129"/>
      <c r="U246" s="129"/>
      <c r="V246" s="129"/>
      <c r="W246" s="129"/>
      <c r="X246" s="129"/>
      <c r="Y246" s="129"/>
      <c r="Z246" s="129"/>
    </row>
    <row r="247" ht="12.0" customHeight="1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70"/>
      <c r="T247" s="129"/>
      <c r="U247" s="129"/>
      <c r="V247" s="129"/>
      <c r="W247" s="129"/>
      <c r="X247" s="129"/>
      <c r="Y247" s="129"/>
      <c r="Z247" s="129"/>
    </row>
    <row r="248" ht="12.0" customHeight="1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70"/>
      <c r="T248" s="129"/>
      <c r="U248" s="129"/>
      <c r="V248" s="129"/>
      <c r="W248" s="129"/>
      <c r="X248" s="129"/>
      <c r="Y248" s="129"/>
      <c r="Z248" s="129"/>
    </row>
    <row r="249" ht="12.0" customHeight="1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70"/>
      <c r="T249" s="129"/>
      <c r="U249" s="129"/>
      <c r="V249" s="129"/>
      <c r="W249" s="129"/>
      <c r="X249" s="129"/>
      <c r="Y249" s="129"/>
      <c r="Z249" s="129"/>
    </row>
    <row r="250" ht="12.0" customHeight="1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70"/>
      <c r="T250" s="129"/>
      <c r="U250" s="129"/>
      <c r="V250" s="129"/>
      <c r="W250" s="129"/>
      <c r="X250" s="129"/>
      <c r="Y250" s="129"/>
      <c r="Z250" s="129"/>
    </row>
    <row r="251" ht="12.0" customHeight="1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70"/>
      <c r="T251" s="129"/>
      <c r="U251" s="129"/>
      <c r="V251" s="129"/>
      <c r="W251" s="129"/>
      <c r="X251" s="129"/>
      <c r="Y251" s="129"/>
      <c r="Z251" s="129"/>
    </row>
    <row r="252" ht="12.0" customHeight="1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70"/>
      <c r="T252" s="129"/>
      <c r="U252" s="129"/>
      <c r="V252" s="129"/>
      <c r="W252" s="129"/>
      <c r="X252" s="129"/>
      <c r="Y252" s="129"/>
      <c r="Z252" s="129"/>
    </row>
    <row r="253" ht="12.0" customHeight="1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70"/>
      <c r="T253" s="129"/>
      <c r="U253" s="129"/>
      <c r="V253" s="129"/>
      <c r="W253" s="129"/>
      <c r="X253" s="129"/>
      <c r="Y253" s="129"/>
      <c r="Z253" s="129"/>
    </row>
    <row r="254" ht="12.0" customHeight="1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70"/>
      <c r="T254" s="129"/>
      <c r="U254" s="129"/>
      <c r="V254" s="129"/>
      <c r="W254" s="129"/>
      <c r="X254" s="129"/>
      <c r="Y254" s="129"/>
      <c r="Z254" s="129"/>
    </row>
    <row r="255" ht="12.0" customHeight="1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70"/>
      <c r="T255" s="129"/>
      <c r="U255" s="129"/>
      <c r="V255" s="129"/>
      <c r="W255" s="129"/>
      <c r="X255" s="129"/>
      <c r="Y255" s="129"/>
      <c r="Z255" s="129"/>
    </row>
    <row r="256" ht="12.0" customHeight="1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70"/>
      <c r="T256" s="129"/>
      <c r="U256" s="129"/>
      <c r="V256" s="129"/>
      <c r="W256" s="129"/>
      <c r="X256" s="129"/>
      <c r="Y256" s="129"/>
      <c r="Z256" s="129"/>
    </row>
    <row r="257" ht="12.0" customHeight="1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70"/>
      <c r="T257" s="129"/>
      <c r="U257" s="129"/>
      <c r="V257" s="129"/>
      <c r="W257" s="129"/>
      <c r="X257" s="129"/>
      <c r="Y257" s="129"/>
      <c r="Z257" s="129"/>
    </row>
    <row r="258" ht="12.0" customHeight="1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70"/>
      <c r="T258" s="129"/>
      <c r="U258" s="129"/>
      <c r="V258" s="129"/>
      <c r="W258" s="129"/>
      <c r="X258" s="129"/>
      <c r="Y258" s="129"/>
      <c r="Z258" s="129"/>
    </row>
    <row r="259" ht="12.0" customHeight="1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70"/>
      <c r="T259" s="129"/>
      <c r="U259" s="129"/>
      <c r="V259" s="129"/>
      <c r="W259" s="129"/>
      <c r="X259" s="129"/>
      <c r="Y259" s="129"/>
      <c r="Z259" s="129"/>
    </row>
    <row r="260" ht="12.0" customHeight="1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70"/>
      <c r="T260" s="129"/>
      <c r="U260" s="129"/>
      <c r="V260" s="129"/>
      <c r="W260" s="129"/>
      <c r="X260" s="129"/>
      <c r="Y260" s="129"/>
      <c r="Z260" s="129"/>
    </row>
    <row r="261" ht="12.0" customHeight="1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70"/>
      <c r="T261" s="129"/>
      <c r="U261" s="129"/>
      <c r="V261" s="129"/>
      <c r="W261" s="129"/>
      <c r="X261" s="129"/>
      <c r="Y261" s="129"/>
      <c r="Z261" s="129"/>
    </row>
    <row r="262" ht="12.0" customHeight="1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70"/>
      <c r="T262" s="129"/>
      <c r="U262" s="129"/>
      <c r="V262" s="129"/>
      <c r="W262" s="129"/>
      <c r="X262" s="129"/>
      <c r="Y262" s="129"/>
      <c r="Z262" s="129"/>
    </row>
    <row r="263" ht="12.0" customHeight="1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70"/>
      <c r="T263" s="129"/>
      <c r="U263" s="129"/>
      <c r="V263" s="129"/>
      <c r="W263" s="129"/>
      <c r="X263" s="129"/>
      <c r="Y263" s="129"/>
      <c r="Z263" s="129"/>
    </row>
    <row r="264" ht="12.0" customHeight="1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70"/>
      <c r="T264" s="129"/>
      <c r="U264" s="129"/>
      <c r="V264" s="129"/>
      <c r="W264" s="129"/>
      <c r="X264" s="129"/>
      <c r="Y264" s="129"/>
      <c r="Z264" s="129"/>
    </row>
    <row r="265" ht="12.0" customHeight="1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70"/>
      <c r="T265" s="129"/>
      <c r="U265" s="129"/>
      <c r="V265" s="129"/>
      <c r="W265" s="129"/>
      <c r="X265" s="129"/>
      <c r="Y265" s="129"/>
      <c r="Z265" s="129"/>
    </row>
    <row r="266" ht="12.0" customHeight="1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70"/>
      <c r="T266" s="129"/>
      <c r="U266" s="129"/>
      <c r="V266" s="129"/>
      <c r="W266" s="129"/>
      <c r="X266" s="129"/>
      <c r="Y266" s="129"/>
      <c r="Z266" s="129"/>
    </row>
    <row r="267" ht="12.0" customHeight="1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70"/>
      <c r="T267" s="129"/>
      <c r="U267" s="129"/>
      <c r="V267" s="129"/>
      <c r="W267" s="129"/>
      <c r="X267" s="129"/>
      <c r="Y267" s="129"/>
      <c r="Z267" s="129"/>
    </row>
    <row r="268" ht="12.0" customHeight="1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70"/>
      <c r="T268" s="129"/>
      <c r="U268" s="129"/>
      <c r="V268" s="129"/>
      <c r="W268" s="129"/>
      <c r="X268" s="129"/>
      <c r="Y268" s="129"/>
      <c r="Z268" s="129"/>
    </row>
    <row r="269" ht="12.0" customHeight="1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70"/>
      <c r="T269" s="129"/>
      <c r="U269" s="129"/>
      <c r="V269" s="129"/>
      <c r="W269" s="129"/>
      <c r="X269" s="129"/>
      <c r="Y269" s="129"/>
      <c r="Z269" s="129"/>
    </row>
    <row r="270" ht="12.0" customHeight="1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70"/>
      <c r="T270" s="129"/>
      <c r="U270" s="129"/>
      <c r="V270" s="129"/>
      <c r="W270" s="129"/>
      <c r="X270" s="129"/>
      <c r="Y270" s="129"/>
      <c r="Z270" s="129"/>
    </row>
    <row r="271" ht="12.0" customHeight="1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70"/>
      <c r="T271" s="129"/>
      <c r="U271" s="129"/>
      <c r="V271" s="129"/>
      <c r="W271" s="129"/>
      <c r="X271" s="129"/>
      <c r="Y271" s="129"/>
      <c r="Z271" s="129"/>
    </row>
    <row r="272" ht="12.0" customHeight="1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70"/>
      <c r="T272" s="129"/>
      <c r="U272" s="129"/>
      <c r="V272" s="129"/>
      <c r="W272" s="129"/>
      <c r="X272" s="129"/>
      <c r="Y272" s="129"/>
      <c r="Z272" s="129"/>
    </row>
    <row r="273" ht="12.0" customHeight="1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70"/>
      <c r="T273" s="129"/>
      <c r="U273" s="129"/>
      <c r="V273" s="129"/>
      <c r="W273" s="129"/>
      <c r="X273" s="129"/>
      <c r="Y273" s="129"/>
      <c r="Z273" s="129"/>
    </row>
    <row r="274" ht="12.0" customHeight="1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70"/>
      <c r="T274" s="129"/>
      <c r="U274" s="129"/>
      <c r="V274" s="129"/>
      <c r="W274" s="129"/>
      <c r="X274" s="129"/>
      <c r="Y274" s="129"/>
      <c r="Z274" s="129"/>
    </row>
    <row r="275" ht="12.0" customHeight="1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70"/>
      <c r="T275" s="129"/>
      <c r="U275" s="129"/>
      <c r="V275" s="129"/>
      <c r="W275" s="129"/>
      <c r="X275" s="129"/>
      <c r="Y275" s="129"/>
      <c r="Z275" s="129"/>
    </row>
    <row r="276" ht="12.0" customHeight="1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70"/>
      <c r="T276" s="129"/>
      <c r="U276" s="129"/>
      <c r="V276" s="129"/>
      <c r="W276" s="129"/>
      <c r="X276" s="129"/>
      <c r="Y276" s="129"/>
      <c r="Z276" s="129"/>
    </row>
    <row r="277" ht="12.0" customHeight="1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70"/>
      <c r="T277" s="129"/>
      <c r="U277" s="129"/>
      <c r="V277" s="129"/>
      <c r="W277" s="129"/>
      <c r="X277" s="129"/>
      <c r="Y277" s="129"/>
      <c r="Z277" s="129"/>
    </row>
    <row r="278" ht="12.0" customHeight="1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70"/>
      <c r="T278" s="129"/>
      <c r="U278" s="129"/>
      <c r="V278" s="129"/>
      <c r="W278" s="129"/>
      <c r="X278" s="129"/>
      <c r="Y278" s="129"/>
      <c r="Z278" s="129"/>
    </row>
    <row r="279" ht="12.0" customHeight="1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70"/>
      <c r="T279" s="129"/>
      <c r="U279" s="129"/>
      <c r="V279" s="129"/>
      <c r="W279" s="129"/>
      <c r="X279" s="129"/>
      <c r="Y279" s="129"/>
      <c r="Z279" s="129"/>
    </row>
    <row r="280" ht="12.0" customHeight="1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70"/>
      <c r="T280" s="129"/>
      <c r="U280" s="129"/>
      <c r="V280" s="129"/>
      <c r="W280" s="129"/>
      <c r="X280" s="129"/>
      <c r="Y280" s="129"/>
      <c r="Z280" s="129"/>
    </row>
    <row r="281" ht="12.0" customHeight="1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70"/>
      <c r="T281" s="129"/>
      <c r="U281" s="129"/>
      <c r="V281" s="129"/>
      <c r="W281" s="129"/>
      <c r="X281" s="129"/>
      <c r="Y281" s="129"/>
      <c r="Z281" s="129"/>
    </row>
    <row r="282" ht="12.0" customHeight="1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70"/>
      <c r="T282" s="129"/>
      <c r="U282" s="129"/>
      <c r="V282" s="129"/>
      <c r="W282" s="129"/>
      <c r="X282" s="129"/>
      <c r="Y282" s="129"/>
      <c r="Z282" s="129"/>
    </row>
    <row r="283" ht="12.0" customHeight="1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70"/>
      <c r="T283" s="129"/>
      <c r="U283" s="129"/>
      <c r="V283" s="129"/>
      <c r="W283" s="129"/>
      <c r="X283" s="129"/>
      <c r="Y283" s="129"/>
      <c r="Z283" s="129"/>
    </row>
    <row r="284" ht="12.0" customHeight="1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70"/>
      <c r="T284" s="129"/>
      <c r="U284" s="129"/>
      <c r="V284" s="129"/>
      <c r="W284" s="129"/>
      <c r="X284" s="129"/>
      <c r="Y284" s="129"/>
      <c r="Z284" s="129"/>
    </row>
    <row r="285" ht="12.0" customHeight="1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70"/>
      <c r="T285" s="129"/>
      <c r="U285" s="129"/>
      <c r="V285" s="129"/>
      <c r="W285" s="129"/>
      <c r="X285" s="129"/>
      <c r="Y285" s="129"/>
      <c r="Z285" s="129"/>
    </row>
    <row r="286" ht="12.0" customHeight="1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70"/>
      <c r="T286" s="129"/>
      <c r="U286" s="129"/>
      <c r="V286" s="129"/>
      <c r="W286" s="129"/>
      <c r="X286" s="129"/>
      <c r="Y286" s="129"/>
      <c r="Z286" s="129"/>
    </row>
    <row r="287" ht="12.0" customHeight="1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70"/>
      <c r="T287" s="129"/>
      <c r="U287" s="129"/>
      <c r="V287" s="129"/>
      <c r="W287" s="129"/>
      <c r="X287" s="129"/>
      <c r="Y287" s="129"/>
      <c r="Z287" s="129"/>
    </row>
    <row r="288" ht="12.0" customHeight="1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70"/>
      <c r="T288" s="129"/>
      <c r="U288" s="129"/>
      <c r="V288" s="129"/>
      <c r="W288" s="129"/>
      <c r="X288" s="129"/>
      <c r="Y288" s="129"/>
      <c r="Z288" s="129"/>
    </row>
    <row r="289" ht="12.0" customHeight="1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70"/>
      <c r="T289" s="129"/>
      <c r="U289" s="129"/>
      <c r="V289" s="129"/>
      <c r="W289" s="129"/>
      <c r="X289" s="129"/>
      <c r="Y289" s="129"/>
      <c r="Z289" s="129"/>
    </row>
    <row r="290" ht="12.0" customHeight="1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70"/>
      <c r="T290" s="129"/>
      <c r="U290" s="129"/>
      <c r="V290" s="129"/>
      <c r="W290" s="129"/>
      <c r="X290" s="129"/>
      <c r="Y290" s="129"/>
      <c r="Z290" s="129"/>
    </row>
    <row r="291" ht="12.0" customHeight="1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70"/>
      <c r="T291" s="129"/>
      <c r="U291" s="129"/>
      <c r="V291" s="129"/>
      <c r="W291" s="129"/>
      <c r="X291" s="129"/>
      <c r="Y291" s="129"/>
      <c r="Z291" s="129"/>
    </row>
    <row r="292" ht="12.0" customHeight="1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70"/>
      <c r="T292" s="129"/>
      <c r="U292" s="129"/>
      <c r="V292" s="129"/>
      <c r="W292" s="129"/>
      <c r="X292" s="129"/>
      <c r="Y292" s="129"/>
      <c r="Z292" s="129"/>
    </row>
    <row r="293" ht="12.0" customHeight="1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70"/>
      <c r="T293" s="129"/>
      <c r="U293" s="129"/>
      <c r="V293" s="129"/>
      <c r="W293" s="129"/>
      <c r="X293" s="129"/>
      <c r="Y293" s="129"/>
      <c r="Z293" s="129"/>
    </row>
    <row r="294" ht="12.0" customHeight="1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70"/>
      <c r="T294" s="129"/>
      <c r="U294" s="129"/>
      <c r="V294" s="129"/>
      <c r="W294" s="129"/>
      <c r="X294" s="129"/>
      <c r="Y294" s="129"/>
      <c r="Z294" s="129"/>
    </row>
    <row r="295" ht="12.0" customHeight="1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70"/>
      <c r="T295" s="129"/>
      <c r="U295" s="129"/>
      <c r="V295" s="129"/>
      <c r="W295" s="129"/>
      <c r="X295" s="129"/>
      <c r="Y295" s="129"/>
      <c r="Z295" s="129"/>
    </row>
    <row r="296" ht="12.0" customHeight="1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70"/>
      <c r="T296" s="129"/>
      <c r="U296" s="129"/>
      <c r="V296" s="129"/>
      <c r="W296" s="129"/>
      <c r="X296" s="129"/>
      <c r="Y296" s="129"/>
      <c r="Z296" s="129"/>
    </row>
    <row r="297" ht="12.0" customHeight="1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70"/>
      <c r="T297" s="129"/>
      <c r="U297" s="129"/>
      <c r="V297" s="129"/>
      <c r="W297" s="129"/>
      <c r="X297" s="129"/>
      <c r="Y297" s="129"/>
      <c r="Z297" s="129"/>
    </row>
    <row r="298" ht="12.0" customHeight="1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70"/>
      <c r="T298" s="129"/>
      <c r="U298" s="129"/>
      <c r="V298" s="129"/>
      <c r="W298" s="129"/>
      <c r="X298" s="129"/>
      <c r="Y298" s="129"/>
      <c r="Z298" s="129"/>
    </row>
    <row r="299" ht="12.0" customHeight="1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70"/>
      <c r="T299" s="129"/>
      <c r="U299" s="129"/>
      <c r="V299" s="129"/>
      <c r="W299" s="129"/>
      <c r="X299" s="129"/>
      <c r="Y299" s="129"/>
      <c r="Z299" s="129"/>
    </row>
    <row r="300" ht="12.0" customHeight="1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70"/>
      <c r="T300" s="129"/>
      <c r="U300" s="129"/>
      <c r="V300" s="129"/>
      <c r="W300" s="129"/>
      <c r="X300" s="129"/>
      <c r="Y300" s="129"/>
      <c r="Z300" s="129"/>
    </row>
    <row r="301" ht="12.0" customHeight="1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70"/>
      <c r="T301" s="129"/>
      <c r="U301" s="129"/>
      <c r="V301" s="129"/>
      <c r="W301" s="129"/>
      <c r="X301" s="129"/>
      <c r="Y301" s="129"/>
      <c r="Z301" s="129"/>
    </row>
    <row r="302" ht="12.0" customHeight="1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70"/>
      <c r="T302" s="129"/>
      <c r="U302" s="129"/>
      <c r="V302" s="129"/>
      <c r="W302" s="129"/>
      <c r="X302" s="129"/>
      <c r="Y302" s="129"/>
      <c r="Z302" s="129"/>
    </row>
    <row r="303" ht="12.0" customHeight="1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70"/>
      <c r="T303" s="129"/>
      <c r="U303" s="129"/>
      <c r="V303" s="129"/>
      <c r="W303" s="129"/>
      <c r="X303" s="129"/>
      <c r="Y303" s="129"/>
      <c r="Z303" s="129"/>
    </row>
    <row r="304" ht="12.0" customHeight="1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70"/>
      <c r="T304" s="129"/>
      <c r="U304" s="129"/>
      <c r="V304" s="129"/>
      <c r="W304" s="129"/>
      <c r="X304" s="129"/>
      <c r="Y304" s="129"/>
      <c r="Z304" s="129"/>
    </row>
    <row r="305" ht="12.0" customHeight="1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70"/>
      <c r="T305" s="129"/>
      <c r="U305" s="129"/>
      <c r="V305" s="129"/>
      <c r="W305" s="129"/>
      <c r="X305" s="129"/>
      <c r="Y305" s="129"/>
      <c r="Z305" s="129"/>
    </row>
    <row r="306" ht="12.0" customHeight="1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70"/>
      <c r="T306" s="129"/>
      <c r="U306" s="129"/>
      <c r="V306" s="129"/>
      <c r="W306" s="129"/>
      <c r="X306" s="129"/>
      <c r="Y306" s="129"/>
      <c r="Z306" s="129"/>
    </row>
    <row r="307" ht="12.0" customHeight="1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70"/>
      <c r="T307" s="129"/>
      <c r="U307" s="129"/>
      <c r="V307" s="129"/>
      <c r="W307" s="129"/>
      <c r="X307" s="129"/>
      <c r="Y307" s="129"/>
      <c r="Z307" s="129"/>
    </row>
    <row r="308" ht="12.0" customHeight="1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70"/>
      <c r="T308" s="129"/>
      <c r="U308" s="129"/>
      <c r="V308" s="129"/>
      <c r="W308" s="129"/>
      <c r="X308" s="129"/>
      <c r="Y308" s="129"/>
      <c r="Z308" s="129"/>
    </row>
    <row r="309" ht="12.0" customHeight="1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70"/>
      <c r="T309" s="129"/>
      <c r="U309" s="129"/>
      <c r="V309" s="129"/>
      <c r="W309" s="129"/>
      <c r="X309" s="129"/>
      <c r="Y309" s="129"/>
      <c r="Z309" s="129"/>
    </row>
    <row r="310" ht="12.0" customHeight="1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70"/>
      <c r="T310" s="129"/>
      <c r="U310" s="129"/>
      <c r="V310" s="129"/>
      <c r="W310" s="129"/>
      <c r="X310" s="129"/>
      <c r="Y310" s="129"/>
      <c r="Z310" s="129"/>
    </row>
    <row r="311" ht="12.0" customHeight="1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70"/>
      <c r="T311" s="129"/>
      <c r="U311" s="129"/>
      <c r="V311" s="129"/>
      <c r="W311" s="129"/>
      <c r="X311" s="129"/>
      <c r="Y311" s="129"/>
      <c r="Z311" s="129"/>
    </row>
    <row r="312" ht="12.0" customHeight="1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70"/>
      <c r="T312" s="129"/>
      <c r="U312" s="129"/>
      <c r="V312" s="129"/>
      <c r="W312" s="129"/>
      <c r="X312" s="129"/>
      <c r="Y312" s="129"/>
      <c r="Z312" s="129"/>
    </row>
    <row r="313" ht="12.0" customHeight="1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70"/>
      <c r="T313" s="129"/>
      <c r="U313" s="129"/>
      <c r="V313" s="129"/>
      <c r="W313" s="129"/>
      <c r="X313" s="129"/>
      <c r="Y313" s="129"/>
      <c r="Z313" s="129"/>
    </row>
    <row r="314" ht="12.0" customHeight="1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70"/>
      <c r="T314" s="129"/>
      <c r="U314" s="129"/>
      <c r="V314" s="129"/>
      <c r="W314" s="129"/>
      <c r="X314" s="129"/>
      <c r="Y314" s="129"/>
      <c r="Z314" s="129"/>
    </row>
    <row r="315" ht="12.0" customHeight="1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70"/>
      <c r="T315" s="129"/>
      <c r="U315" s="129"/>
      <c r="V315" s="129"/>
      <c r="W315" s="129"/>
      <c r="X315" s="129"/>
      <c r="Y315" s="129"/>
      <c r="Z315" s="129"/>
    </row>
    <row r="316" ht="12.0" customHeight="1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70"/>
      <c r="T316" s="129"/>
      <c r="U316" s="129"/>
      <c r="V316" s="129"/>
      <c r="W316" s="129"/>
      <c r="X316" s="129"/>
      <c r="Y316" s="129"/>
      <c r="Z316" s="129"/>
    </row>
    <row r="317" ht="12.0" customHeight="1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70"/>
      <c r="T317" s="129"/>
      <c r="U317" s="129"/>
      <c r="V317" s="129"/>
      <c r="W317" s="129"/>
      <c r="X317" s="129"/>
      <c r="Y317" s="129"/>
      <c r="Z317" s="129"/>
    </row>
    <row r="318" ht="12.0" customHeight="1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70"/>
      <c r="T318" s="129"/>
      <c r="U318" s="129"/>
      <c r="V318" s="129"/>
      <c r="W318" s="129"/>
      <c r="X318" s="129"/>
      <c r="Y318" s="129"/>
      <c r="Z318" s="129"/>
    </row>
    <row r="319" ht="12.0" customHeight="1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70"/>
      <c r="T319" s="129"/>
      <c r="U319" s="129"/>
      <c r="V319" s="129"/>
      <c r="W319" s="129"/>
      <c r="X319" s="129"/>
      <c r="Y319" s="129"/>
      <c r="Z319" s="129"/>
    </row>
    <row r="320" ht="12.0" customHeight="1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70"/>
      <c r="T320" s="129"/>
      <c r="U320" s="129"/>
      <c r="V320" s="129"/>
      <c r="W320" s="129"/>
      <c r="X320" s="129"/>
      <c r="Y320" s="129"/>
      <c r="Z320" s="129"/>
    </row>
    <row r="321" ht="12.0" customHeight="1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70"/>
      <c r="T321" s="129"/>
      <c r="U321" s="129"/>
      <c r="V321" s="129"/>
      <c r="W321" s="129"/>
      <c r="X321" s="129"/>
      <c r="Y321" s="129"/>
      <c r="Z321" s="129"/>
    </row>
    <row r="322" ht="12.0" customHeight="1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70"/>
      <c r="T322" s="129"/>
      <c r="U322" s="129"/>
      <c r="V322" s="129"/>
      <c r="W322" s="129"/>
      <c r="X322" s="129"/>
      <c r="Y322" s="129"/>
      <c r="Z322" s="129"/>
    </row>
    <row r="323" ht="12.0" customHeight="1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70"/>
      <c r="T323" s="129"/>
      <c r="U323" s="129"/>
      <c r="V323" s="129"/>
      <c r="W323" s="129"/>
      <c r="X323" s="129"/>
      <c r="Y323" s="129"/>
      <c r="Z323" s="129"/>
    </row>
    <row r="324" ht="12.0" customHeight="1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70"/>
      <c r="T324" s="129"/>
      <c r="U324" s="129"/>
      <c r="V324" s="129"/>
      <c r="W324" s="129"/>
      <c r="X324" s="129"/>
      <c r="Y324" s="129"/>
      <c r="Z324" s="129"/>
    </row>
    <row r="325" ht="12.0" customHeight="1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70"/>
      <c r="T325" s="129"/>
      <c r="U325" s="129"/>
      <c r="V325" s="129"/>
      <c r="W325" s="129"/>
      <c r="X325" s="129"/>
      <c r="Y325" s="129"/>
      <c r="Z325" s="129"/>
    </row>
    <row r="326" ht="12.0" customHeight="1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70"/>
      <c r="T326" s="129"/>
      <c r="U326" s="129"/>
      <c r="V326" s="129"/>
      <c r="W326" s="129"/>
      <c r="X326" s="129"/>
      <c r="Y326" s="129"/>
      <c r="Z326" s="129"/>
    </row>
    <row r="327" ht="12.0" customHeight="1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70"/>
      <c r="T327" s="129"/>
      <c r="U327" s="129"/>
      <c r="V327" s="129"/>
      <c r="W327" s="129"/>
      <c r="X327" s="129"/>
      <c r="Y327" s="129"/>
      <c r="Z327" s="129"/>
    </row>
    <row r="328" ht="12.0" customHeight="1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70"/>
      <c r="T328" s="129"/>
      <c r="U328" s="129"/>
      <c r="V328" s="129"/>
      <c r="W328" s="129"/>
      <c r="X328" s="129"/>
      <c r="Y328" s="129"/>
      <c r="Z328" s="129"/>
    </row>
    <row r="329" ht="12.0" customHeight="1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70"/>
      <c r="T329" s="129"/>
      <c r="U329" s="129"/>
      <c r="V329" s="129"/>
      <c r="W329" s="129"/>
      <c r="X329" s="129"/>
      <c r="Y329" s="129"/>
      <c r="Z329" s="129"/>
    </row>
    <row r="330" ht="12.0" customHeight="1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70"/>
      <c r="T330" s="129"/>
      <c r="U330" s="129"/>
      <c r="V330" s="129"/>
      <c r="W330" s="129"/>
      <c r="X330" s="129"/>
      <c r="Y330" s="129"/>
      <c r="Z330" s="129"/>
    </row>
    <row r="331" ht="12.0" customHeight="1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70"/>
      <c r="T331" s="129"/>
      <c r="U331" s="129"/>
      <c r="V331" s="129"/>
      <c r="W331" s="129"/>
      <c r="X331" s="129"/>
      <c r="Y331" s="129"/>
      <c r="Z331" s="129"/>
    </row>
    <row r="332" ht="12.0" customHeight="1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70"/>
      <c r="T332" s="129"/>
      <c r="U332" s="129"/>
      <c r="V332" s="129"/>
      <c r="W332" s="129"/>
      <c r="X332" s="129"/>
      <c r="Y332" s="129"/>
      <c r="Z332" s="129"/>
    </row>
    <row r="333" ht="12.0" customHeight="1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70"/>
      <c r="T333" s="129"/>
      <c r="U333" s="129"/>
      <c r="V333" s="129"/>
      <c r="W333" s="129"/>
      <c r="X333" s="129"/>
      <c r="Y333" s="129"/>
      <c r="Z333" s="129"/>
    </row>
    <row r="334" ht="12.0" customHeight="1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70"/>
      <c r="T334" s="129"/>
      <c r="U334" s="129"/>
      <c r="V334" s="129"/>
      <c r="W334" s="129"/>
      <c r="X334" s="129"/>
      <c r="Y334" s="129"/>
      <c r="Z334" s="129"/>
    </row>
    <row r="335" ht="12.0" customHeight="1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70"/>
      <c r="T335" s="129"/>
      <c r="U335" s="129"/>
      <c r="V335" s="129"/>
      <c r="W335" s="129"/>
      <c r="X335" s="129"/>
      <c r="Y335" s="129"/>
      <c r="Z335" s="129"/>
    </row>
    <row r="336" ht="12.0" customHeight="1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70"/>
      <c r="T336" s="129"/>
      <c r="U336" s="129"/>
      <c r="V336" s="129"/>
      <c r="W336" s="129"/>
      <c r="X336" s="129"/>
      <c r="Y336" s="129"/>
      <c r="Z336" s="129"/>
    </row>
    <row r="337" ht="12.0" customHeight="1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70"/>
      <c r="T337" s="129"/>
      <c r="U337" s="129"/>
      <c r="V337" s="129"/>
      <c r="W337" s="129"/>
      <c r="X337" s="129"/>
      <c r="Y337" s="129"/>
      <c r="Z337" s="129"/>
    </row>
    <row r="338" ht="12.0" customHeight="1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70"/>
      <c r="T338" s="129"/>
      <c r="U338" s="129"/>
      <c r="V338" s="129"/>
      <c r="W338" s="129"/>
      <c r="X338" s="129"/>
      <c r="Y338" s="129"/>
      <c r="Z338" s="129"/>
    </row>
    <row r="339" ht="12.0" customHeight="1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70"/>
      <c r="T339" s="129"/>
      <c r="U339" s="129"/>
      <c r="V339" s="129"/>
      <c r="W339" s="129"/>
      <c r="X339" s="129"/>
      <c r="Y339" s="129"/>
      <c r="Z339" s="129"/>
    </row>
    <row r="340" ht="12.0" customHeight="1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70"/>
      <c r="T340" s="129"/>
      <c r="U340" s="129"/>
      <c r="V340" s="129"/>
      <c r="W340" s="129"/>
      <c r="X340" s="129"/>
      <c r="Y340" s="129"/>
      <c r="Z340" s="129"/>
    </row>
    <row r="341" ht="12.0" customHeight="1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70"/>
      <c r="T341" s="129"/>
      <c r="U341" s="129"/>
      <c r="V341" s="129"/>
      <c r="W341" s="129"/>
      <c r="X341" s="129"/>
      <c r="Y341" s="129"/>
      <c r="Z341" s="129"/>
    </row>
    <row r="342" ht="12.0" customHeight="1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70"/>
      <c r="T342" s="129"/>
      <c r="U342" s="129"/>
      <c r="V342" s="129"/>
      <c r="W342" s="129"/>
      <c r="X342" s="129"/>
      <c r="Y342" s="129"/>
      <c r="Z342" s="129"/>
    </row>
    <row r="343" ht="12.0" customHeight="1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70"/>
      <c r="T343" s="129"/>
      <c r="U343" s="129"/>
      <c r="V343" s="129"/>
      <c r="W343" s="129"/>
      <c r="X343" s="129"/>
      <c r="Y343" s="129"/>
      <c r="Z343" s="129"/>
    </row>
    <row r="344" ht="12.0" customHeight="1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70"/>
      <c r="T344" s="129"/>
      <c r="U344" s="129"/>
      <c r="V344" s="129"/>
      <c r="W344" s="129"/>
      <c r="X344" s="129"/>
      <c r="Y344" s="129"/>
      <c r="Z344" s="129"/>
    </row>
    <row r="345" ht="12.0" customHeight="1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70"/>
      <c r="T345" s="129"/>
      <c r="U345" s="129"/>
      <c r="V345" s="129"/>
      <c r="W345" s="129"/>
      <c r="X345" s="129"/>
      <c r="Y345" s="129"/>
      <c r="Z345" s="129"/>
    </row>
    <row r="346" ht="12.0" customHeight="1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70"/>
      <c r="T346" s="129"/>
      <c r="U346" s="129"/>
      <c r="V346" s="129"/>
      <c r="W346" s="129"/>
      <c r="X346" s="129"/>
      <c r="Y346" s="129"/>
      <c r="Z346" s="129"/>
    </row>
    <row r="347" ht="12.0" customHeight="1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70"/>
      <c r="T347" s="129"/>
      <c r="U347" s="129"/>
      <c r="V347" s="129"/>
      <c r="W347" s="129"/>
      <c r="X347" s="129"/>
      <c r="Y347" s="129"/>
      <c r="Z347" s="129"/>
    </row>
    <row r="348" ht="12.0" customHeight="1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70"/>
      <c r="T348" s="129"/>
      <c r="U348" s="129"/>
      <c r="V348" s="129"/>
      <c r="W348" s="129"/>
      <c r="X348" s="129"/>
      <c r="Y348" s="129"/>
      <c r="Z348" s="129"/>
    </row>
    <row r="349" ht="12.0" customHeight="1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70"/>
      <c r="T349" s="129"/>
      <c r="U349" s="129"/>
      <c r="V349" s="129"/>
      <c r="W349" s="129"/>
      <c r="X349" s="129"/>
      <c r="Y349" s="129"/>
      <c r="Z349" s="129"/>
    </row>
    <row r="350" ht="12.0" customHeight="1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70"/>
      <c r="T350" s="129"/>
      <c r="U350" s="129"/>
      <c r="V350" s="129"/>
      <c r="W350" s="129"/>
      <c r="X350" s="129"/>
      <c r="Y350" s="129"/>
      <c r="Z350" s="129"/>
    </row>
    <row r="351" ht="12.0" customHeight="1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70"/>
      <c r="T351" s="129"/>
      <c r="U351" s="129"/>
      <c r="V351" s="129"/>
      <c r="W351" s="129"/>
      <c r="X351" s="129"/>
      <c r="Y351" s="129"/>
      <c r="Z351" s="129"/>
    </row>
    <row r="352" ht="12.0" customHeight="1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70"/>
      <c r="T352" s="129"/>
      <c r="U352" s="129"/>
      <c r="V352" s="129"/>
      <c r="W352" s="129"/>
      <c r="X352" s="129"/>
      <c r="Y352" s="129"/>
      <c r="Z352" s="129"/>
    </row>
    <row r="353" ht="12.0" customHeight="1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70"/>
      <c r="T353" s="129"/>
      <c r="U353" s="129"/>
      <c r="V353" s="129"/>
      <c r="W353" s="129"/>
      <c r="X353" s="129"/>
      <c r="Y353" s="129"/>
      <c r="Z353" s="129"/>
    </row>
    <row r="354" ht="12.0" customHeight="1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70"/>
      <c r="T354" s="129"/>
      <c r="U354" s="129"/>
      <c r="V354" s="129"/>
      <c r="W354" s="129"/>
      <c r="X354" s="129"/>
      <c r="Y354" s="129"/>
      <c r="Z354" s="129"/>
    </row>
    <row r="355" ht="12.0" customHeight="1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70"/>
      <c r="T355" s="129"/>
      <c r="U355" s="129"/>
      <c r="V355" s="129"/>
      <c r="W355" s="129"/>
      <c r="X355" s="129"/>
      <c r="Y355" s="129"/>
      <c r="Z355" s="129"/>
    </row>
    <row r="356" ht="12.0" customHeight="1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70"/>
      <c r="T356" s="129"/>
      <c r="U356" s="129"/>
      <c r="V356" s="129"/>
      <c r="W356" s="129"/>
      <c r="X356" s="129"/>
      <c r="Y356" s="129"/>
      <c r="Z356" s="129"/>
    </row>
    <row r="357" ht="12.0" customHeight="1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70"/>
      <c r="T357" s="129"/>
      <c r="U357" s="129"/>
      <c r="V357" s="129"/>
      <c r="W357" s="129"/>
      <c r="X357" s="129"/>
      <c r="Y357" s="129"/>
      <c r="Z357" s="129"/>
    </row>
    <row r="358" ht="12.0" customHeight="1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70"/>
      <c r="T358" s="129"/>
      <c r="U358" s="129"/>
      <c r="V358" s="129"/>
      <c r="W358" s="129"/>
      <c r="X358" s="129"/>
      <c r="Y358" s="129"/>
      <c r="Z358" s="129"/>
    </row>
    <row r="359" ht="12.0" customHeight="1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70"/>
      <c r="T359" s="129"/>
      <c r="U359" s="129"/>
      <c r="V359" s="129"/>
      <c r="W359" s="129"/>
      <c r="X359" s="129"/>
      <c r="Y359" s="129"/>
      <c r="Z359" s="129"/>
    </row>
    <row r="360" ht="12.0" customHeight="1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70"/>
      <c r="T360" s="129"/>
      <c r="U360" s="129"/>
      <c r="V360" s="129"/>
      <c r="W360" s="129"/>
      <c r="X360" s="129"/>
      <c r="Y360" s="129"/>
      <c r="Z360" s="129"/>
    </row>
    <row r="361" ht="12.0" customHeight="1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70"/>
      <c r="T361" s="129"/>
      <c r="U361" s="129"/>
      <c r="V361" s="129"/>
      <c r="W361" s="129"/>
      <c r="X361" s="129"/>
      <c r="Y361" s="129"/>
      <c r="Z361" s="129"/>
    </row>
    <row r="362" ht="12.0" customHeight="1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70"/>
      <c r="T362" s="129"/>
      <c r="U362" s="129"/>
      <c r="V362" s="129"/>
      <c r="W362" s="129"/>
      <c r="X362" s="129"/>
      <c r="Y362" s="129"/>
      <c r="Z362" s="129"/>
    </row>
    <row r="363" ht="12.0" customHeight="1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70"/>
      <c r="T363" s="129"/>
      <c r="U363" s="129"/>
      <c r="V363" s="129"/>
      <c r="W363" s="129"/>
      <c r="X363" s="129"/>
      <c r="Y363" s="129"/>
      <c r="Z363" s="129"/>
    </row>
    <row r="364" ht="12.0" customHeight="1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70"/>
      <c r="T364" s="129"/>
      <c r="U364" s="129"/>
      <c r="V364" s="129"/>
      <c r="W364" s="129"/>
      <c r="X364" s="129"/>
      <c r="Y364" s="129"/>
      <c r="Z364" s="129"/>
    </row>
    <row r="365" ht="12.0" customHeight="1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70"/>
      <c r="T365" s="129"/>
      <c r="U365" s="129"/>
      <c r="V365" s="129"/>
      <c r="W365" s="129"/>
      <c r="X365" s="129"/>
      <c r="Y365" s="129"/>
      <c r="Z365" s="129"/>
    </row>
    <row r="366" ht="12.0" customHeight="1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70"/>
      <c r="T366" s="129"/>
      <c r="U366" s="129"/>
      <c r="V366" s="129"/>
      <c r="W366" s="129"/>
      <c r="X366" s="129"/>
      <c r="Y366" s="129"/>
      <c r="Z366" s="129"/>
    </row>
    <row r="367" ht="12.0" customHeight="1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70"/>
      <c r="T367" s="129"/>
      <c r="U367" s="129"/>
      <c r="V367" s="129"/>
      <c r="W367" s="129"/>
      <c r="X367" s="129"/>
      <c r="Y367" s="129"/>
      <c r="Z367" s="129"/>
    </row>
    <row r="368" ht="12.0" customHeight="1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70"/>
      <c r="T368" s="129"/>
      <c r="U368" s="129"/>
      <c r="V368" s="129"/>
      <c r="W368" s="129"/>
      <c r="X368" s="129"/>
      <c r="Y368" s="129"/>
      <c r="Z368" s="129"/>
    </row>
    <row r="369" ht="12.0" customHeight="1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70"/>
      <c r="T369" s="129"/>
      <c r="U369" s="129"/>
      <c r="V369" s="129"/>
      <c r="W369" s="129"/>
      <c r="X369" s="129"/>
      <c r="Y369" s="129"/>
      <c r="Z369" s="129"/>
    </row>
    <row r="370" ht="12.0" customHeight="1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70"/>
      <c r="T370" s="129"/>
      <c r="U370" s="129"/>
      <c r="V370" s="129"/>
      <c r="W370" s="129"/>
      <c r="X370" s="129"/>
      <c r="Y370" s="129"/>
      <c r="Z370" s="129"/>
    </row>
    <row r="371" ht="12.0" customHeight="1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70"/>
      <c r="T371" s="129"/>
      <c r="U371" s="129"/>
      <c r="V371" s="129"/>
      <c r="W371" s="129"/>
      <c r="X371" s="129"/>
      <c r="Y371" s="129"/>
      <c r="Z371" s="129"/>
    </row>
    <row r="372" ht="12.0" customHeight="1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70"/>
      <c r="T372" s="129"/>
      <c r="U372" s="129"/>
      <c r="V372" s="129"/>
      <c r="W372" s="129"/>
      <c r="X372" s="129"/>
      <c r="Y372" s="129"/>
      <c r="Z372" s="129"/>
    </row>
    <row r="373" ht="12.0" customHeight="1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70"/>
      <c r="T373" s="129"/>
      <c r="U373" s="129"/>
      <c r="V373" s="129"/>
      <c r="W373" s="129"/>
      <c r="X373" s="129"/>
      <c r="Y373" s="129"/>
      <c r="Z373" s="129"/>
    </row>
    <row r="374" ht="12.0" customHeight="1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70"/>
      <c r="T374" s="129"/>
      <c r="U374" s="129"/>
      <c r="V374" s="129"/>
      <c r="W374" s="129"/>
      <c r="X374" s="129"/>
      <c r="Y374" s="129"/>
      <c r="Z374" s="129"/>
    </row>
    <row r="375" ht="12.0" customHeight="1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70"/>
      <c r="T375" s="129"/>
      <c r="U375" s="129"/>
      <c r="V375" s="129"/>
      <c r="W375" s="129"/>
      <c r="X375" s="129"/>
      <c r="Y375" s="129"/>
      <c r="Z375" s="129"/>
    </row>
    <row r="376" ht="12.0" customHeight="1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70"/>
      <c r="T376" s="129"/>
      <c r="U376" s="129"/>
      <c r="V376" s="129"/>
      <c r="W376" s="129"/>
      <c r="X376" s="129"/>
      <c r="Y376" s="129"/>
      <c r="Z376" s="129"/>
    </row>
    <row r="377" ht="12.0" customHeight="1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70"/>
      <c r="T377" s="129"/>
      <c r="U377" s="129"/>
      <c r="V377" s="129"/>
      <c r="W377" s="129"/>
      <c r="X377" s="129"/>
      <c r="Y377" s="129"/>
      <c r="Z377" s="129"/>
    </row>
    <row r="378" ht="12.0" customHeight="1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70"/>
      <c r="T378" s="129"/>
      <c r="U378" s="129"/>
      <c r="V378" s="129"/>
      <c r="W378" s="129"/>
      <c r="X378" s="129"/>
      <c r="Y378" s="129"/>
      <c r="Z378" s="129"/>
    </row>
    <row r="379" ht="12.0" customHeight="1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70"/>
      <c r="T379" s="129"/>
      <c r="U379" s="129"/>
      <c r="V379" s="129"/>
      <c r="W379" s="129"/>
      <c r="X379" s="129"/>
      <c r="Y379" s="129"/>
      <c r="Z379" s="129"/>
    </row>
    <row r="380" ht="12.0" customHeight="1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70"/>
      <c r="T380" s="129"/>
      <c r="U380" s="129"/>
      <c r="V380" s="129"/>
      <c r="W380" s="129"/>
      <c r="X380" s="129"/>
      <c r="Y380" s="129"/>
      <c r="Z380" s="129"/>
    </row>
    <row r="381" ht="12.0" customHeight="1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70"/>
      <c r="T381" s="129"/>
      <c r="U381" s="129"/>
      <c r="V381" s="129"/>
      <c r="W381" s="129"/>
      <c r="X381" s="129"/>
      <c r="Y381" s="129"/>
      <c r="Z381" s="129"/>
    </row>
    <row r="382" ht="12.0" customHeight="1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70"/>
      <c r="T382" s="129"/>
      <c r="U382" s="129"/>
      <c r="V382" s="129"/>
      <c r="W382" s="129"/>
      <c r="X382" s="129"/>
      <c r="Y382" s="129"/>
      <c r="Z382" s="129"/>
    </row>
    <row r="383" ht="12.0" customHeight="1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70"/>
      <c r="T383" s="129"/>
      <c r="U383" s="129"/>
      <c r="V383" s="129"/>
      <c r="W383" s="129"/>
      <c r="X383" s="129"/>
      <c r="Y383" s="129"/>
      <c r="Z383" s="129"/>
    </row>
    <row r="384" ht="12.0" customHeight="1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70"/>
      <c r="T384" s="129"/>
      <c r="U384" s="129"/>
      <c r="V384" s="129"/>
      <c r="W384" s="129"/>
      <c r="X384" s="129"/>
      <c r="Y384" s="129"/>
      <c r="Z384" s="129"/>
    </row>
    <row r="385" ht="12.0" customHeight="1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70"/>
      <c r="T385" s="129"/>
      <c r="U385" s="129"/>
      <c r="V385" s="129"/>
      <c r="W385" s="129"/>
      <c r="X385" s="129"/>
      <c r="Y385" s="129"/>
      <c r="Z385" s="129"/>
    </row>
    <row r="386" ht="12.0" customHeight="1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70"/>
      <c r="T386" s="129"/>
      <c r="U386" s="129"/>
      <c r="V386" s="129"/>
      <c r="W386" s="129"/>
      <c r="X386" s="129"/>
      <c r="Y386" s="129"/>
      <c r="Z386" s="129"/>
    </row>
    <row r="387" ht="12.0" customHeight="1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70"/>
      <c r="T387" s="129"/>
      <c r="U387" s="129"/>
      <c r="V387" s="129"/>
      <c r="W387" s="129"/>
      <c r="X387" s="129"/>
      <c r="Y387" s="129"/>
      <c r="Z387" s="129"/>
    </row>
    <row r="388" ht="12.0" customHeight="1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70"/>
      <c r="T388" s="129"/>
      <c r="U388" s="129"/>
      <c r="V388" s="129"/>
      <c r="W388" s="129"/>
      <c r="X388" s="129"/>
      <c r="Y388" s="129"/>
      <c r="Z388" s="129"/>
    </row>
    <row r="389" ht="12.0" customHeight="1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70"/>
      <c r="T389" s="129"/>
      <c r="U389" s="129"/>
      <c r="V389" s="129"/>
      <c r="W389" s="129"/>
      <c r="X389" s="129"/>
      <c r="Y389" s="129"/>
      <c r="Z389" s="129"/>
    </row>
    <row r="390" ht="12.0" customHeight="1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70"/>
      <c r="T390" s="129"/>
      <c r="U390" s="129"/>
      <c r="V390" s="129"/>
      <c r="W390" s="129"/>
      <c r="X390" s="129"/>
      <c r="Y390" s="129"/>
      <c r="Z390" s="129"/>
    </row>
    <row r="391" ht="12.0" customHeight="1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70"/>
      <c r="T391" s="129"/>
      <c r="U391" s="129"/>
      <c r="V391" s="129"/>
      <c r="W391" s="129"/>
      <c r="X391" s="129"/>
      <c r="Y391" s="129"/>
      <c r="Z391" s="129"/>
    </row>
    <row r="392" ht="12.0" customHeight="1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70"/>
      <c r="T392" s="129"/>
      <c r="U392" s="129"/>
      <c r="V392" s="129"/>
      <c r="W392" s="129"/>
      <c r="X392" s="129"/>
      <c r="Y392" s="129"/>
      <c r="Z392" s="129"/>
    </row>
    <row r="393" ht="12.0" customHeight="1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70"/>
      <c r="T393" s="129"/>
      <c r="U393" s="129"/>
      <c r="V393" s="129"/>
      <c r="W393" s="129"/>
      <c r="X393" s="129"/>
      <c r="Y393" s="129"/>
      <c r="Z393" s="129"/>
    </row>
    <row r="394" ht="12.0" customHeight="1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70"/>
      <c r="T394" s="129"/>
      <c r="U394" s="129"/>
      <c r="V394" s="129"/>
      <c r="W394" s="129"/>
      <c r="X394" s="129"/>
      <c r="Y394" s="129"/>
      <c r="Z394" s="129"/>
    </row>
    <row r="395" ht="12.0" customHeight="1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70"/>
      <c r="T395" s="129"/>
      <c r="U395" s="129"/>
      <c r="V395" s="129"/>
      <c r="W395" s="129"/>
      <c r="X395" s="129"/>
      <c r="Y395" s="129"/>
      <c r="Z395" s="129"/>
    </row>
    <row r="396" ht="12.0" customHeight="1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70"/>
      <c r="T396" s="129"/>
      <c r="U396" s="129"/>
      <c r="V396" s="129"/>
      <c r="W396" s="129"/>
      <c r="X396" s="129"/>
      <c r="Y396" s="129"/>
      <c r="Z396" s="129"/>
    </row>
    <row r="397" ht="12.0" customHeight="1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70"/>
      <c r="T397" s="129"/>
      <c r="U397" s="129"/>
      <c r="V397" s="129"/>
      <c r="W397" s="129"/>
      <c r="X397" s="129"/>
      <c r="Y397" s="129"/>
      <c r="Z397" s="129"/>
    </row>
    <row r="398" ht="12.0" customHeight="1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70"/>
      <c r="T398" s="129"/>
      <c r="U398" s="129"/>
      <c r="V398" s="129"/>
      <c r="W398" s="129"/>
      <c r="X398" s="129"/>
      <c r="Y398" s="129"/>
      <c r="Z398" s="129"/>
    </row>
    <row r="399" ht="12.0" customHeight="1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70"/>
      <c r="T399" s="129"/>
      <c r="U399" s="129"/>
      <c r="V399" s="129"/>
      <c r="W399" s="129"/>
      <c r="X399" s="129"/>
      <c r="Y399" s="129"/>
      <c r="Z399" s="129"/>
    </row>
    <row r="400" ht="12.0" customHeight="1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70"/>
      <c r="T400" s="129"/>
      <c r="U400" s="129"/>
      <c r="V400" s="129"/>
      <c r="W400" s="129"/>
      <c r="X400" s="129"/>
      <c r="Y400" s="129"/>
      <c r="Z400" s="129"/>
    </row>
    <row r="401" ht="12.0" customHeight="1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70"/>
      <c r="T401" s="129"/>
      <c r="U401" s="129"/>
      <c r="V401" s="129"/>
      <c r="W401" s="129"/>
      <c r="X401" s="129"/>
      <c r="Y401" s="129"/>
      <c r="Z401" s="129"/>
    </row>
    <row r="402" ht="12.0" customHeight="1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70"/>
      <c r="T402" s="129"/>
      <c r="U402" s="129"/>
      <c r="V402" s="129"/>
      <c r="W402" s="129"/>
      <c r="X402" s="129"/>
      <c r="Y402" s="129"/>
      <c r="Z402" s="129"/>
    </row>
    <row r="403" ht="12.0" customHeight="1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70"/>
      <c r="T403" s="129"/>
      <c r="U403" s="129"/>
      <c r="V403" s="129"/>
      <c r="W403" s="129"/>
      <c r="X403" s="129"/>
      <c r="Y403" s="129"/>
      <c r="Z403" s="129"/>
    </row>
    <row r="404" ht="12.0" customHeight="1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70"/>
      <c r="T404" s="129"/>
      <c r="U404" s="129"/>
      <c r="V404" s="129"/>
      <c r="W404" s="129"/>
      <c r="X404" s="129"/>
      <c r="Y404" s="129"/>
      <c r="Z404" s="129"/>
    </row>
    <row r="405" ht="12.0" customHeight="1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70"/>
      <c r="T405" s="129"/>
      <c r="U405" s="129"/>
      <c r="V405" s="129"/>
      <c r="W405" s="129"/>
      <c r="X405" s="129"/>
      <c r="Y405" s="129"/>
      <c r="Z405" s="129"/>
    </row>
    <row r="406" ht="12.0" customHeight="1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70"/>
      <c r="T406" s="129"/>
      <c r="U406" s="129"/>
      <c r="V406" s="129"/>
      <c r="W406" s="129"/>
      <c r="X406" s="129"/>
      <c r="Y406" s="129"/>
      <c r="Z406" s="129"/>
    </row>
    <row r="407" ht="12.0" customHeight="1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70"/>
      <c r="T407" s="129"/>
      <c r="U407" s="129"/>
      <c r="V407" s="129"/>
      <c r="W407" s="129"/>
      <c r="X407" s="129"/>
      <c r="Y407" s="129"/>
      <c r="Z407" s="129"/>
    </row>
    <row r="408" ht="12.0" customHeight="1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70"/>
      <c r="T408" s="129"/>
      <c r="U408" s="129"/>
      <c r="V408" s="129"/>
      <c r="W408" s="129"/>
      <c r="X408" s="129"/>
      <c r="Y408" s="129"/>
      <c r="Z408" s="129"/>
    </row>
    <row r="409" ht="12.0" customHeight="1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70"/>
      <c r="T409" s="129"/>
      <c r="U409" s="129"/>
      <c r="V409" s="129"/>
      <c r="W409" s="129"/>
      <c r="X409" s="129"/>
      <c r="Y409" s="129"/>
      <c r="Z409" s="129"/>
    </row>
    <row r="410" ht="12.0" customHeight="1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70"/>
      <c r="T410" s="129"/>
      <c r="U410" s="129"/>
      <c r="V410" s="129"/>
      <c r="W410" s="129"/>
      <c r="X410" s="129"/>
      <c r="Y410" s="129"/>
      <c r="Z410" s="129"/>
    </row>
    <row r="411" ht="12.0" customHeight="1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70"/>
      <c r="T411" s="129"/>
      <c r="U411" s="129"/>
      <c r="V411" s="129"/>
      <c r="W411" s="129"/>
      <c r="X411" s="129"/>
      <c r="Y411" s="129"/>
      <c r="Z411" s="129"/>
    </row>
    <row r="412" ht="12.0" customHeight="1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70"/>
      <c r="T412" s="129"/>
      <c r="U412" s="129"/>
      <c r="V412" s="129"/>
      <c r="W412" s="129"/>
      <c r="X412" s="129"/>
      <c r="Y412" s="129"/>
      <c r="Z412" s="129"/>
    </row>
    <row r="413" ht="12.0" customHeight="1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70"/>
      <c r="T413" s="129"/>
      <c r="U413" s="129"/>
      <c r="V413" s="129"/>
      <c r="W413" s="129"/>
      <c r="X413" s="129"/>
      <c r="Y413" s="129"/>
      <c r="Z413" s="129"/>
    </row>
    <row r="414" ht="12.0" customHeight="1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70"/>
      <c r="T414" s="129"/>
      <c r="U414" s="129"/>
      <c r="V414" s="129"/>
      <c r="W414" s="129"/>
      <c r="X414" s="129"/>
      <c r="Y414" s="129"/>
      <c r="Z414" s="129"/>
    </row>
    <row r="415" ht="12.0" customHeight="1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70"/>
      <c r="T415" s="129"/>
      <c r="U415" s="129"/>
      <c r="V415" s="129"/>
      <c r="W415" s="129"/>
      <c r="X415" s="129"/>
      <c r="Y415" s="129"/>
      <c r="Z415" s="129"/>
    </row>
    <row r="416" ht="12.0" customHeight="1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70"/>
      <c r="T416" s="129"/>
      <c r="U416" s="129"/>
      <c r="V416" s="129"/>
      <c r="W416" s="129"/>
      <c r="X416" s="129"/>
      <c r="Y416" s="129"/>
      <c r="Z416" s="129"/>
    </row>
    <row r="417" ht="12.0" customHeight="1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70"/>
      <c r="T417" s="129"/>
      <c r="U417" s="129"/>
      <c r="V417" s="129"/>
      <c r="W417" s="129"/>
      <c r="X417" s="129"/>
      <c r="Y417" s="129"/>
      <c r="Z417" s="129"/>
    </row>
    <row r="418" ht="12.0" customHeight="1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70"/>
      <c r="T418" s="129"/>
      <c r="U418" s="129"/>
      <c r="V418" s="129"/>
      <c r="W418" s="129"/>
      <c r="X418" s="129"/>
      <c r="Y418" s="129"/>
      <c r="Z418" s="129"/>
    </row>
    <row r="419" ht="12.0" customHeight="1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70"/>
      <c r="T419" s="129"/>
      <c r="U419" s="129"/>
      <c r="V419" s="129"/>
      <c r="W419" s="129"/>
      <c r="X419" s="129"/>
      <c r="Y419" s="129"/>
      <c r="Z419" s="129"/>
    </row>
    <row r="420" ht="12.0" customHeight="1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70"/>
      <c r="T420" s="129"/>
      <c r="U420" s="129"/>
      <c r="V420" s="129"/>
      <c r="W420" s="129"/>
      <c r="X420" s="129"/>
      <c r="Y420" s="129"/>
      <c r="Z420" s="129"/>
    </row>
    <row r="421" ht="12.0" customHeight="1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70"/>
      <c r="T421" s="129"/>
      <c r="U421" s="129"/>
      <c r="V421" s="129"/>
      <c r="W421" s="129"/>
      <c r="X421" s="129"/>
      <c r="Y421" s="129"/>
      <c r="Z421" s="129"/>
    </row>
    <row r="422" ht="12.0" customHeight="1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70"/>
      <c r="T422" s="129"/>
      <c r="U422" s="129"/>
      <c r="V422" s="129"/>
      <c r="W422" s="129"/>
      <c r="X422" s="129"/>
      <c r="Y422" s="129"/>
      <c r="Z422" s="129"/>
    </row>
    <row r="423" ht="12.0" customHeight="1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70"/>
      <c r="T423" s="129"/>
      <c r="U423" s="129"/>
      <c r="V423" s="129"/>
      <c r="W423" s="129"/>
      <c r="X423" s="129"/>
      <c r="Y423" s="129"/>
      <c r="Z423" s="129"/>
    </row>
    <row r="424" ht="12.0" customHeight="1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70"/>
      <c r="T424" s="129"/>
      <c r="U424" s="129"/>
      <c r="V424" s="129"/>
      <c r="W424" s="129"/>
      <c r="X424" s="129"/>
      <c r="Y424" s="129"/>
      <c r="Z424" s="129"/>
    </row>
    <row r="425" ht="12.0" customHeight="1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70"/>
      <c r="T425" s="129"/>
      <c r="U425" s="129"/>
      <c r="V425" s="129"/>
      <c r="W425" s="129"/>
      <c r="X425" s="129"/>
      <c r="Y425" s="129"/>
      <c r="Z425" s="129"/>
    </row>
    <row r="426" ht="12.0" customHeight="1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70"/>
      <c r="T426" s="129"/>
      <c r="U426" s="129"/>
      <c r="V426" s="129"/>
      <c r="W426" s="129"/>
      <c r="X426" s="129"/>
      <c r="Y426" s="129"/>
      <c r="Z426" s="129"/>
    </row>
    <row r="427" ht="12.0" customHeight="1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70"/>
      <c r="T427" s="129"/>
      <c r="U427" s="129"/>
      <c r="V427" s="129"/>
      <c r="W427" s="129"/>
      <c r="X427" s="129"/>
      <c r="Y427" s="129"/>
      <c r="Z427" s="129"/>
    </row>
    <row r="428" ht="12.0" customHeight="1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70"/>
      <c r="T428" s="129"/>
      <c r="U428" s="129"/>
      <c r="V428" s="129"/>
      <c r="W428" s="129"/>
      <c r="X428" s="129"/>
      <c r="Y428" s="129"/>
      <c r="Z428" s="129"/>
    </row>
    <row r="429" ht="12.0" customHeight="1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70"/>
      <c r="T429" s="129"/>
      <c r="U429" s="129"/>
      <c r="V429" s="129"/>
      <c r="W429" s="129"/>
      <c r="X429" s="129"/>
      <c r="Y429" s="129"/>
      <c r="Z429" s="129"/>
    </row>
    <row r="430" ht="12.0" customHeight="1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70"/>
      <c r="T430" s="129"/>
      <c r="U430" s="129"/>
      <c r="V430" s="129"/>
      <c r="W430" s="129"/>
      <c r="X430" s="129"/>
      <c r="Y430" s="129"/>
      <c r="Z430" s="129"/>
    </row>
    <row r="431" ht="12.0" customHeight="1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70"/>
      <c r="T431" s="129"/>
      <c r="U431" s="129"/>
      <c r="V431" s="129"/>
      <c r="W431" s="129"/>
      <c r="X431" s="129"/>
      <c r="Y431" s="129"/>
      <c r="Z431" s="129"/>
    </row>
    <row r="432" ht="12.0" customHeight="1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70"/>
      <c r="T432" s="129"/>
      <c r="U432" s="129"/>
      <c r="V432" s="129"/>
      <c r="W432" s="129"/>
      <c r="X432" s="129"/>
      <c r="Y432" s="129"/>
      <c r="Z432" s="129"/>
    </row>
    <row r="433" ht="12.0" customHeight="1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70"/>
      <c r="T433" s="129"/>
      <c r="U433" s="129"/>
      <c r="V433" s="129"/>
      <c r="W433" s="129"/>
      <c r="X433" s="129"/>
      <c r="Y433" s="129"/>
      <c r="Z433" s="129"/>
    </row>
    <row r="434" ht="12.0" customHeight="1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70"/>
      <c r="T434" s="129"/>
      <c r="U434" s="129"/>
      <c r="V434" s="129"/>
      <c r="W434" s="129"/>
      <c r="X434" s="129"/>
      <c r="Y434" s="129"/>
      <c r="Z434" s="129"/>
    </row>
    <row r="435" ht="12.0" customHeight="1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70"/>
      <c r="T435" s="129"/>
      <c r="U435" s="129"/>
      <c r="V435" s="129"/>
      <c r="W435" s="129"/>
      <c r="X435" s="129"/>
      <c r="Y435" s="129"/>
      <c r="Z435" s="129"/>
    </row>
    <row r="436" ht="12.0" customHeight="1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70"/>
      <c r="T436" s="129"/>
      <c r="U436" s="129"/>
      <c r="V436" s="129"/>
      <c r="W436" s="129"/>
      <c r="X436" s="129"/>
      <c r="Y436" s="129"/>
      <c r="Z436" s="129"/>
    </row>
    <row r="437" ht="12.0" customHeight="1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70"/>
      <c r="T437" s="129"/>
      <c r="U437" s="129"/>
      <c r="V437" s="129"/>
      <c r="W437" s="129"/>
      <c r="X437" s="129"/>
      <c r="Y437" s="129"/>
      <c r="Z437" s="129"/>
    </row>
    <row r="438" ht="12.0" customHeight="1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70"/>
      <c r="T438" s="129"/>
      <c r="U438" s="129"/>
      <c r="V438" s="129"/>
      <c r="W438" s="129"/>
      <c r="X438" s="129"/>
      <c r="Y438" s="129"/>
      <c r="Z438" s="129"/>
    </row>
    <row r="439" ht="12.0" customHeight="1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70"/>
      <c r="T439" s="129"/>
      <c r="U439" s="129"/>
      <c r="V439" s="129"/>
      <c r="W439" s="129"/>
      <c r="X439" s="129"/>
      <c r="Y439" s="129"/>
      <c r="Z439" s="129"/>
    </row>
    <row r="440" ht="12.0" customHeight="1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70"/>
      <c r="T440" s="129"/>
      <c r="U440" s="129"/>
      <c r="V440" s="129"/>
      <c r="W440" s="129"/>
      <c r="X440" s="129"/>
      <c r="Y440" s="129"/>
      <c r="Z440" s="129"/>
    </row>
    <row r="441" ht="12.0" customHeight="1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70"/>
      <c r="T441" s="129"/>
      <c r="U441" s="129"/>
      <c r="V441" s="129"/>
      <c r="W441" s="129"/>
      <c r="X441" s="129"/>
      <c r="Y441" s="129"/>
      <c r="Z441" s="129"/>
    </row>
    <row r="442" ht="12.0" customHeight="1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70"/>
      <c r="T442" s="129"/>
      <c r="U442" s="129"/>
      <c r="V442" s="129"/>
      <c r="W442" s="129"/>
      <c r="X442" s="129"/>
      <c r="Y442" s="129"/>
      <c r="Z442" s="129"/>
    </row>
    <row r="443" ht="12.0" customHeight="1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70"/>
      <c r="T443" s="129"/>
      <c r="U443" s="129"/>
      <c r="V443" s="129"/>
      <c r="W443" s="129"/>
      <c r="X443" s="129"/>
      <c r="Y443" s="129"/>
      <c r="Z443" s="129"/>
    </row>
    <row r="444" ht="12.0" customHeight="1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70"/>
      <c r="T444" s="129"/>
      <c r="U444" s="129"/>
      <c r="V444" s="129"/>
      <c r="W444" s="129"/>
      <c r="X444" s="129"/>
      <c r="Y444" s="129"/>
      <c r="Z444" s="129"/>
    </row>
    <row r="445" ht="12.0" customHeight="1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70"/>
      <c r="T445" s="129"/>
      <c r="U445" s="129"/>
      <c r="V445" s="129"/>
      <c r="W445" s="129"/>
      <c r="X445" s="129"/>
      <c r="Y445" s="129"/>
      <c r="Z445" s="129"/>
    </row>
    <row r="446" ht="12.0" customHeight="1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70"/>
      <c r="T446" s="129"/>
      <c r="U446" s="129"/>
      <c r="V446" s="129"/>
      <c r="W446" s="129"/>
      <c r="X446" s="129"/>
      <c r="Y446" s="129"/>
      <c r="Z446" s="129"/>
    </row>
    <row r="447" ht="12.0" customHeight="1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70"/>
      <c r="T447" s="129"/>
      <c r="U447" s="129"/>
      <c r="V447" s="129"/>
      <c r="W447" s="129"/>
      <c r="X447" s="129"/>
      <c r="Y447" s="129"/>
      <c r="Z447" s="129"/>
    </row>
    <row r="448" ht="12.0" customHeight="1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70"/>
      <c r="T448" s="129"/>
      <c r="U448" s="129"/>
      <c r="V448" s="129"/>
      <c r="W448" s="129"/>
      <c r="X448" s="129"/>
      <c r="Y448" s="129"/>
      <c r="Z448" s="129"/>
    </row>
    <row r="449" ht="12.0" customHeight="1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70"/>
      <c r="T449" s="129"/>
      <c r="U449" s="129"/>
      <c r="V449" s="129"/>
      <c r="W449" s="129"/>
      <c r="X449" s="129"/>
      <c r="Y449" s="129"/>
      <c r="Z449" s="129"/>
    </row>
    <row r="450" ht="12.0" customHeight="1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70"/>
      <c r="T450" s="129"/>
      <c r="U450" s="129"/>
      <c r="V450" s="129"/>
      <c r="W450" s="129"/>
      <c r="X450" s="129"/>
      <c r="Y450" s="129"/>
      <c r="Z450" s="129"/>
    </row>
    <row r="451" ht="12.0" customHeight="1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70"/>
      <c r="T451" s="129"/>
      <c r="U451" s="129"/>
      <c r="V451" s="129"/>
      <c r="W451" s="129"/>
      <c r="X451" s="129"/>
      <c r="Y451" s="129"/>
      <c r="Z451" s="129"/>
    </row>
    <row r="452" ht="12.0" customHeight="1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70"/>
      <c r="T452" s="129"/>
      <c r="U452" s="129"/>
      <c r="V452" s="129"/>
      <c r="W452" s="129"/>
      <c r="X452" s="129"/>
      <c r="Y452" s="129"/>
      <c r="Z452" s="129"/>
    </row>
    <row r="453" ht="12.0" customHeight="1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70"/>
      <c r="T453" s="129"/>
      <c r="U453" s="129"/>
      <c r="V453" s="129"/>
      <c r="W453" s="129"/>
      <c r="X453" s="129"/>
      <c r="Y453" s="129"/>
      <c r="Z453" s="129"/>
    </row>
    <row r="454" ht="12.0" customHeight="1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70"/>
      <c r="T454" s="129"/>
      <c r="U454" s="129"/>
      <c r="V454" s="129"/>
      <c r="W454" s="129"/>
      <c r="X454" s="129"/>
      <c r="Y454" s="129"/>
      <c r="Z454" s="129"/>
    </row>
    <row r="455" ht="12.0" customHeight="1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70"/>
      <c r="T455" s="129"/>
      <c r="U455" s="129"/>
      <c r="V455" s="129"/>
      <c r="W455" s="129"/>
      <c r="X455" s="129"/>
      <c r="Y455" s="129"/>
      <c r="Z455" s="129"/>
    </row>
    <row r="456" ht="12.0" customHeight="1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70"/>
      <c r="T456" s="129"/>
      <c r="U456" s="129"/>
      <c r="V456" s="129"/>
      <c r="W456" s="129"/>
      <c r="X456" s="129"/>
      <c r="Y456" s="129"/>
      <c r="Z456" s="129"/>
    </row>
    <row r="457" ht="12.0" customHeight="1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70"/>
      <c r="T457" s="129"/>
      <c r="U457" s="129"/>
      <c r="V457" s="129"/>
      <c r="W457" s="129"/>
      <c r="X457" s="129"/>
      <c r="Y457" s="129"/>
      <c r="Z457" s="129"/>
    </row>
    <row r="458" ht="12.0" customHeight="1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70"/>
      <c r="T458" s="129"/>
      <c r="U458" s="129"/>
      <c r="V458" s="129"/>
      <c r="W458" s="129"/>
      <c r="X458" s="129"/>
      <c r="Y458" s="129"/>
      <c r="Z458" s="129"/>
    </row>
    <row r="459" ht="12.0" customHeight="1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70"/>
      <c r="T459" s="129"/>
      <c r="U459" s="129"/>
      <c r="V459" s="129"/>
      <c r="W459" s="129"/>
      <c r="X459" s="129"/>
      <c r="Y459" s="129"/>
      <c r="Z459" s="129"/>
    </row>
    <row r="460" ht="12.0" customHeight="1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70"/>
      <c r="T460" s="129"/>
      <c r="U460" s="129"/>
      <c r="V460" s="129"/>
      <c r="W460" s="129"/>
      <c r="X460" s="129"/>
      <c r="Y460" s="129"/>
      <c r="Z460" s="129"/>
    </row>
    <row r="461" ht="12.0" customHeight="1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70"/>
      <c r="T461" s="129"/>
      <c r="U461" s="129"/>
      <c r="V461" s="129"/>
      <c r="W461" s="129"/>
      <c r="X461" s="129"/>
      <c r="Y461" s="129"/>
      <c r="Z461" s="129"/>
    </row>
    <row r="462" ht="12.0" customHeight="1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70"/>
      <c r="T462" s="129"/>
      <c r="U462" s="129"/>
      <c r="V462" s="129"/>
      <c r="W462" s="129"/>
      <c r="X462" s="129"/>
      <c r="Y462" s="129"/>
      <c r="Z462" s="129"/>
    </row>
    <row r="463" ht="12.0" customHeight="1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70"/>
      <c r="T463" s="129"/>
      <c r="U463" s="129"/>
      <c r="V463" s="129"/>
      <c r="W463" s="129"/>
      <c r="X463" s="129"/>
      <c r="Y463" s="129"/>
      <c r="Z463" s="129"/>
    </row>
    <row r="464" ht="12.0" customHeight="1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70"/>
      <c r="T464" s="129"/>
      <c r="U464" s="129"/>
      <c r="V464" s="129"/>
      <c r="W464" s="129"/>
      <c r="X464" s="129"/>
      <c r="Y464" s="129"/>
      <c r="Z464" s="129"/>
    </row>
    <row r="465" ht="12.0" customHeight="1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70"/>
      <c r="T465" s="129"/>
      <c r="U465" s="129"/>
      <c r="V465" s="129"/>
      <c r="W465" s="129"/>
      <c r="X465" s="129"/>
      <c r="Y465" s="129"/>
      <c r="Z465" s="129"/>
    </row>
    <row r="466" ht="12.0" customHeight="1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70"/>
      <c r="T466" s="129"/>
      <c r="U466" s="129"/>
      <c r="V466" s="129"/>
      <c r="W466" s="129"/>
      <c r="X466" s="129"/>
      <c r="Y466" s="129"/>
      <c r="Z466" s="129"/>
    </row>
    <row r="467" ht="12.0" customHeight="1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70"/>
      <c r="T467" s="129"/>
      <c r="U467" s="129"/>
      <c r="V467" s="129"/>
      <c r="W467" s="129"/>
      <c r="X467" s="129"/>
      <c r="Y467" s="129"/>
      <c r="Z467" s="129"/>
    </row>
    <row r="468" ht="12.0" customHeight="1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70"/>
      <c r="T468" s="129"/>
      <c r="U468" s="129"/>
      <c r="V468" s="129"/>
      <c r="W468" s="129"/>
      <c r="X468" s="129"/>
      <c r="Y468" s="129"/>
      <c r="Z468" s="129"/>
    </row>
    <row r="469" ht="12.0" customHeight="1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70"/>
      <c r="T469" s="129"/>
      <c r="U469" s="129"/>
      <c r="V469" s="129"/>
      <c r="W469" s="129"/>
      <c r="X469" s="129"/>
      <c r="Y469" s="129"/>
      <c r="Z469" s="129"/>
    </row>
    <row r="470" ht="12.0" customHeight="1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70"/>
      <c r="T470" s="129"/>
      <c r="U470" s="129"/>
      <c r="V470" s="129"/>
      <c r="W470" s="129"/>
      <c r="X470" s="129"/>
      <c r="Y470" s="129"/>
      <c r="Z470" s="129"/>
    </row>
    <row r="471" ht="12.0" customHeight="1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70"/>
      <c r="T471" s="129"/>
      <c r="U471" s="129"/>
      <c r="V471" s="129"/>
      <c r="W471" s="129"/>
      <c r="X471" s="129"/>
      <c r="Y471" s="129"/>
      <c r="Z471" s="129"/>
    </row>
    <row r="472" ht="12.0" customHeight="1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70"/>
      <c r="T472" s="129"/>
      <c r="U472" s="129"/>
      <c r="V472" s="129"/>
      <c r="W472" s="129"/>
      <c r="X472" s="129"/>
      <c r="Y472" s="129"/>
      <c r="Z472" s="129"/>
    </row>
    <row r="473" ht="12.0" customHeight="1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70"/>
      <c r="T473" s="129"/>
      <c r="U473" s="129"/>
      <c r="V473" s="129"/>
      <c r="W473" s="129"/>
      <c r="X473" s="129"/>
      <c r="Y473" s="129"/>
      <c r="Z473" s="129"/>
    </row>
    <row r="474" ht="12.0" customHeight="1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70"/>
      <c r="T474" s="129"/>
      <c r="U474" s="129"/>
      <c r="V474" s="129"/>
      <c r="W474" s="129"/>
      <c r="X474" s="129"/>
      <c r="Y474" s="129"/>
      <c r="Z474" s="129"/>
    </row>
    <row r="475" ht="12.0" customHeight="1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70"/>
      <c r="T475" s="129"/>
      <c r="U475" s="129"/>
      <c r="V475" s="129"/>
      <c r="W475" s="129"/>
      <c r="X475" s="129"/>
      <c r="Y475" s="129"/>
      <c r="Z475" s="129"/>
    </row>
    <row r="476" ht="12.0" customHeight="1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70"/>
      <c r="T476" s="129"/>
      <c r="U476" s="129"/>
      <c r="V476" s="129"/>
      <c r="W476" s="129"/>
      <c r="X476" s="129"/>
      <c r="Y476" s="129"/>
      <c r="Z476" s="129"/>
    </row>
    <row r="477" ht="12.0" customHeight="1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70"/>
      <c r="T477" s="129"/>
      <c r="U477" s="129"/>
      <c r="V477" s="129"/>
      <c r="W477" s="129"/>
      <c r="X477" s="129"/>
      <c r="Y477" s="129"/>
      <c r="Z477" s="129"/>
    </row>
    <row r="478" ht="12.0" customHeight="1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70"/>
      <c r="T478" s="129"/>
      <c r="U478" s="129"/>
      <c r="V478" s="129"/>
      <c r="W478" s="129"/>
      <c r="X478" s="129"/>
      <c r="Y478" s="129"/>
      <c r="Z478" s="129"/>
    </row>
    <row r="479" ht="12.0" customHeight="1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70"/>
      <c r="T479" s="129"/>
      <c r="U479" s="129"/>
      <c r="V479" s="129"/>
      <c r="W479" s="129"/>
      <c r="X479" s="129"/>
      <c r="Y479" s="129"/>
      <c r="Z479" s="129"/>
    </row>
    <row r="480" ht="12.0" customHeight="1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70"/>
      <c r="T480" s="129"/>
      <c r="U480" s="129"/>
      <c r="V480" s="129"/>
      <c r="W480" s="129"/>
      <c r="X480" s="129"/>
      <c r="Y480" s="129"/>
      <c r="Z480" s="129"/>
    </row>
    <row r="481" ht="12.0" customHeight="1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70"/>
      <c r="T481" s="129"/>
      <c r="U481" s="129"/>
      <c r="V481" s="129"/>
      <c r="W481" s="129"/>
      <c r="X481" s="129"/>
      <c r="Y481" s="129"/>
      <c r="Z481" s="129"/>
    </row>
    <row r="482" ht="12.0" customHeight="1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70"/>
      <c r="T482" s="129"/>
      <c r="U482" s="129"/>
      <c r="V482" s="129"/>
      <c r="W482" s="129"/>
      <c r="X482" s="129"/>
      <c r="Y482" s="129"/>
      <c r="Z482" s="129"/>
    </row>
    <row r="483" ht="12.0" customHeight="1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70"/>
      <c r="T483" s="129"/>
      <c r="U483" s="129"/>
      <c r="V483" s="129"/>
      <c r="W483" s="129"/>
      <c r="X483" s="129"/>
      <c r="Y483" s="129"/>
      <c r="Z483" s="129"/>
    </row>
    <row r="484" ht="12.0" customHeight="1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70"/>
      <c r="T484" s="129"/>
      <c r="U484" s="129"/>
      <c r="V484" s="129"/>
      <c r="W484" s="129"/>
      <c r="X484" s="129"/>
      <c r="Y484" s="129"/>
      <c r="Z484" s="129"/>
    </row>
    <row r="485" ht="12.0" customHeight="1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70"/>
      <c r="T485" s="129"/>
      <c r="U485" s="129"/>
      <c r="V485" s="129"/>
      <c r="W485" s="129"/>
      <c r="X485" s="129"/>
      <c r="Y485" s="129"/>
      <c r="Z485" s="129"/>
    </row>
    <row r="486" ht="12.0" customHeight="1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70"/>
      <c r="T486" s="129"/>
      <c r="U486" s="129"/>
      <c r="V486" s="129"/>
      <c r="W486" s="129"/>
      <c r="X486" s="129"/>
      <c r="Y486" s="129"/>
      <c r="Z486" s="129"/>
    </row>
    <row r="487" ht="12.0" customHeight="1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70"/>
      <c r="T487" s="129"/>
      <c r="U487" s="129"/>
      <c r="V487" s="129"/>
      <c r="W487" s="129"/>
      <c r="X487" s="129"/>
      <c r="Y487" s="129"/>
      <c r="Z487" s="129"/>
    </row>
    <row r="488" ht="12.0" customHeight="1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70"/>
      <c r="T488" s="129"/>
      <c r="U488" s="129"/>
      <c r="V488" s="129"/>
      <c r="W488" s="129"/>
      <c r="X488" s="129"/>
      <c r="Y488" s="129"/>
      <c r="Z488" s="129"/>
    </row>
    <row r="489" ht="12.0" customHeight="1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70"/>
      <c r="T489" s="129"/>
      <c r="U489" s="129"/>
      <c r="V489" s="129"/>
      <c r="W489" s="129"/>
      <c r="X489" s="129"/>
      <c r="Y489" s="129"/>
      <c r="Z489" s="129"/>
    </row>
    <row r="490" ht="12.0" customHeight="1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70"/>
      <c r="T490" s="129"/>
      <c r="U490" s="129"/>
      <c r="V490" s="129"/>
      <c r="W490" s="129"/>
      <c r="X490" s="129"/>
      <c r="Y490" s="129"/>
      <c r="Z490" s="129"/>
    </row>
    <row r="491" ht="12.0" customHeight="1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70"/>
      <c r="T491" s="129"/>
      <c r="U491" s="129"/>
      <c r="V491" s="129"/>
      <c r="W491" s="129"/>
      <c r="X491" s="129"/>
      <c r="Y491" s="129"/>
      <c r="Z491" s="129"/>
    </row>
    <row r="492" ht="12.0" customHeight="1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70"/>
      <c r="T492" s="129"/>
      <c r="U492" s="129"/>
      <c r="V492" s="129"/>
      <c r="W492" s="129"/>
      <c r="X492" s="129"/>
      <c r="Y492" s="129"/>
      <c r="Z492" s="129"/>
    </row>
    <row r="493" ht="12.0" customHeight="1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70"/>
      <c r="T493" s="129"/>
      <c r="U493" s="129"/>
      <c r="V493" s="129"/>
      <c r="W493" s="129"/>
      <c r="X493" s="129"/>
      <c r="Y493" s="129"/>
      <c r="Z493" s="129"/>
    </row>
    <row r="494" ht="12.0" customHeight="1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70"/>
      <c r="T494" s="129"/>
      <c r="U494" s="129"/>
      <c r="V494" s="129"/>
      <c r="W494" s="129"/>
      <c r="X494" s="129"/>
      <c r="Y494" s="129"/>
      <c r="Z494" s="129"/>
    </row>
    <row r="495" ht="12.0" customHeight="1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70"/>
      <c r="T495" s="129"/>
      <c r="U495" s="129"/>
      <c r="V495" s="129"/>
      <c r="W495" s="129"/>
      <c r="X495" s="129"/>
      <c r="Y495" s="129"/>
      <c r="Z495" s="129"/>
    </row>
    <row r="496" ht="12.0" customHeight="1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70"/>
      <c r="T496" s="129"/>
      <c r="U496" s="129"/>
      <c r="V496" s="129"/>
      <c r="W496" s="129"/>
      <c r="X496" s="129"/>
      <c r="Y496" s="129"/>
      <c r="Z496" s="129"/>
    </row>
    <row r="497" ht="12.0" customHeight="1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70"/>
      <c r="T497" s="129"/>
      <c r="U497" s="129"/>
      <c r="V497" s="129"/>
      <c r="W497" s="129"/>
      <c r="X497" s="129"/>
      <c r="Y497" s="129"/>
      <c r="Z497" s="129"/>
    </row>
    <row r="498" ht="12.0" customHeight="1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70"/>
      <c r="T498" s="129"/>
      <c r="U498" s="129"/>
      <c r="V498" s="129"/>
      <c r="W498" s="129"/>
      <c r="X498" s="129"/>
      <c r="Y498" s="129"/>
      <c r="Z498" s="129"/>
    </row>
    <row r="499" ht="12.0" customHeight="1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70"/>
      <c r="T499" s="129"/>
      <c r="U499" s="129"/>
      <c r="V499" s="129"/>
      <c r="W499" s="129"/>
      <c r="X499" s="129"/>
      <c r="Y499" s="129"/>
      <c r="Z499" s="129"/>
    </row>
    <row r="500" ht="12.0" customHeight="1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70"/>
      <c r="T500" s="129"/>
      <c r="U500" s="129"/>
      <c r="V500" s="129"/>
      <c r="W500" s="129"/>
      <c r="X500" s="129"/>
      <c r="Y500" s="129"/>
      <c r="Z500" s="129"/>
    </row>
    <row r="501" ht="12.0" customHeight="1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70"/>
      <c r="T501" s="129"/>
      <c r="U501" s="129"/>
      <c r="V501" s="129"/>
      <c r="W501" s="129"/>
      <c r="X501" s="129"/>
      <c r="Y501" s="129"/>
      <c r="Z501" s="129"/>
    </row>
    <row r="502" ht="12.0" customHeight="1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70"/>
      <c r="T502" s="129"/>
      <c r="U502" s="129"/>
      <c r="V502" s="129"/>
      <c r="W502" s="129"/>
      <c r="X502" s="129"/>
      <c r="Y502" s="129"/>
      <c r="Z502" s="129"/>
    </row>
    <row r="503" ht="12.0" customHeight="1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70"/>
      <c r="T503" s="129"/>
      <c r="U503" s="129"/>
      <c r="V503" s="129"/>
      <c r="W503" s="129"/>
      <c r="X503" s="129"/>
      <c r="Y503" s="129"/>
      <c r="Z503" s="129"/>
    </row>
    <row r="504" ht="12.0" customHeight="1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70"/>
      <c r="T504" s="129"/>
      <c r="U504" s="129"/>
      <c r="V504" s="129"/>
      <c r="W504" s="129"/>
      <c r="X504" s="129"/>
      <c r="Y504" s="129"/>
      <c r="Z504" s="129"/>
    </row>
    <row r="505" ht="12.0" customHeight="1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70"/>
      <c r="T505" s="129"/>
      <c r="U505" s="129"/>
      <c r="V505" s="129"/>
      <c r="W505" s="129"/>
      <c r="X505" s="129"/>
      <c r="Y505" s="129"/>
      <c r="Z505" s="129"/>
    </row>
    <row r="506" ht="12.0" customHeight="1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70"/>
      <c r="T506" s="129"/>
      <c r="U506" s="129"/>
      <c r="V506" s="129"/>
      <c r="W506" s="129"/>
      <c r="X506" s="129"/>
      <c r="Y506" s="129"/>
      <c r="Z506" s="129"/>
    </row>
    <row r="507" ht="12.0" customHeight="1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70"/>
      <c r="T507" s="129"/>
      <c r="U507" s="129"/>
      <c r="V507" s="129"/>
      <c r="W507" s="129"/>
      <c r="X507" s="129"/>
      <c r="Y507" s="129"/>
      <c r="Z507" s="129"/>
    </row>
    <row r="508" ht="12.0" customHeight="1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70"/>
      <c r="T508" s="129"/>
      <c r="U508" s="129"/>
      <c r="V508" s="129"/>
      <c r="W508" s="129"/>
      <c r="X508" s="129"/>
      <c r="Y508" s="129"/>
      <c r="Z508" s="129"/>
    </row>
    <row r="509" ht="12.0" customHeight="1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70"/>
      <c r="T509" s="129"/>
      <c r="U509" s="129"/>
      <c r="V509" s="129"/>
      <c r="W509" s="129"/>
      <c r="X509" s="129"/>
      <c r="Y509" s="129"/>
      <c r="Z509" s="129"/>
    </row>
    <row r="510" ht="12.0" customHeight="1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70"/>
      <c r="T510" s="129"/>
      <c r="U510" s="129"/>
      <c r="V510" s="129"/>
      <c r="W510" s="129"/>
      <c r="X510" s="129"/>
      <c r="Y510" s="129"/>
      <c r="Z510" s="129"/>
    </row>
    <row r="511" ht="12.0" customHeight="1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70"/>
      <c r="T511" s="129"/>
      <c r="U511" s="129"/>
      <c r="V511" s="129"/>
      <c r="W511" s="129"/>
      <c r="X511" s="129"/>
      <c r="Y511" s="129"/>
      <c r="Z511" s="129"/>
    </row>
    <row r="512" ht="12.0" customHeight="1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70"/>
      <c r="T512" s="129"/>
      <c r="U512" s="129"/>
      <c r="V512" s="129"/>
      <c r="W512" s="129"/>
      <c r="X512" s="129"/>
      <c r="Y512" s="129"/>
      <c r="Z512" s="129"/>
    </row>
    <row r="513" ht="12.0" customHeight="1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70"/>
      <c r="T513" s="129"/>
      <c r="U513" s="129"/>
      <c r="V513" s="129"/>
      <c r="W513" s="129"/>
      <c r="X513" s="129"/>
      <c r="Y513" s="129"/>
      <c r="Z513" s="129"/>
    </row>
    <row r="514" ht="12.0" customHeight="1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70"/>
      <c r="T514" s="129"/>
      <c r="U514" s="129"/>
      <c r="V514" s="129"/>
      <c r="W514" s="129"/>
      <c r="X514" s="129"/>
      <c r="Y514" s="129"/>
      <c r="Z514" s="129"/>
    </row>
    <row r="515" ht="12.0" customHeight="1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70"/>
      <c r="T515" s="129"/>
      <c r="U515" s="129"/>
      <c r="V515" s="129"/>
      <c r="W515" s="129"/>
      <c r="X515" s="129"/>
      <c r="Y515" s="129"/>
      <c r="Z515" s="129"/>
    </row>
    <row r="516" ht="12.0" customHeight="1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70"/>
      <c r="T516" s="129"/>
      <c r="U516" s="129"/>
      <c r="V516" s="129"/>
      <c r="W516" s="129"/>
      <c r="X516" s="129"/>
      <c r="Y516" s="129"/>
      <c r="Z516" s="129"/>
    </row>
    <row r="517" ht="12.0" customHeight="1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70"/>
      <c r="T517" s="129"/>
      <c r="U517" s="129"/>
      <c r="V517" s="129"/>
      <c r="W517" s="129"/>
      <c r="X517" s="129"/>
      <c r="Y517" s="129"/>
      <c r="Z517" s="129"/>
    </row>
    <row r="518" ht="12.0" customHeight="1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70"/>
      <c r="T518" s="129"/>
      <c r="U518" s="129"/>
      <c r="V518" s="129"/>
      <c r="W518" s="129"/>
      <c r="X518" s="129"/>
      <c r="Y518" s="129"/>
      <c r="Z518" s="129"/>
    </row>
    <row r="519" ht="12.0" customHeight="1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70"/>
      <c r="T519" s="129"/>
      <c r="U519" s="129"/>
      <c r="V519" s="129"/>
      <c r="W519" s="129"/>
      <c r="X519" s="129"/>
      <c r="Y519" s="129"/>
      <c r="Z519" s="129"/>
    </row>
    <row r="520" ht="12.0" customHeight="1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70"/>
      <c r="T520" s="129"/>
      <c r="U520" s="129"/>
      <c r="V520" s="129"/>
      <c r="W520" s="129"/>
      <c r="X520" s="129"/>
      <c r="Y520" s="129"/>
      <c r="Z520" s="129"/>
    </row>
    <row r="521" ht="12.0" customHeight="1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70"/>
      <c r="T521" s="129"/>
      <c r="U521" s="129"/>
      <c r="V521" s="129"/>
      <c r="W521" s="129"/>
      <c r="X521" s="129"/>
      <c r="Y521" s="129"/>
      <c r="Z521" s="129"/>
    </row>
    <row r="522" ht="12.0" customHeight="1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70"/>
      <c r="T522" s="129"/>
      <c r="U522" s="129"/>
      <c r="V522" s="129"/>
      <c r="W522" s="129"/>
      <c r="X522" s="129"/>
      <c r="Y522" s="129"/>
      <c r="Z522" s="129"/>
    </row>
    <row r="523" ht="12.0" customHeight="1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70"/>
      <c r="T523" s="129"/>
      <c r="U523" s="129"/>
      <c r="V523" s="129"/>
      <c r="W523" s="129"/>
      <c r="X523" s="129"/>
      <c r="Y523" s="129"/>
      <c r="Z523" s="129"/>
    </row>
    <row r="524" ht="12.0" customHeight="1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70"/>
      <c r="T524" s="129"/>
      <c r="U524" s="129"/>
      <c r="V524" s="129"/>
      <c r="W524" s="129"/>
      <c r="X524" s="129"/>
      <c r="Y524" s="129"/>
      <c r="Z524" s="129"/>
    </row>
    <row r="525" ht="12.0" customHeight="1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70"/>
      <c r="T525" s="129"/>
      <c r="U525" s="129"/>
      <c r="V525" s="129"/>
      <c r="W525" s="129"/>
      <c r="X525" s="129"/>
      <c r="Y525" s="129"/>
      <c r="Z525" s="129"/>
    </row>
    <row r="526" ht="12.0" customHeight="1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70"/>
      <c r="T526" s="129"/>
      <c r="U526" s="129"/>
      <c r="V526" s="129"/>
      <c r="W526" s="129"/>
      <c r="X526" s="129"/>
      <c r="Y526" s="129"/>
      <c r="Z526" s="129"/>
    </row>
    <row r="527" ht="12.0" customHeight="1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70"/>
      <c r="T527" s="129"/>
      <c r="U527" s="129"/>
      <c r="V527" s="129"/>
      <c r="W527" s="129"/>
      <c r="X527" s="129"/>
      <c r="Y527" s="129"/>
      <c r="Z527" s="129"/>
    </row>
    <row r="528" ht="12.0" customHeight="1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70"/>
      <c r="T528" s="129"/>
      <c r="U528" s="129"/>
      <c r="V528" s="129"/>
      <c r="W528" s="129"/>
      <c r="X528" s="129"/>
      <c r="Y528" s="129"/>
      <c r="Z528" s="129"/>
    </row>
    <row r="529" ht="12.0" customHeight="1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70"/>
      <c r="T529" s="129"/>
      <c r="U529" s="129"/>
      <c r="V529" s="129"/>
      <c r="W529" s="129"/>
      <c r="X529" s="129"/>
      <c r="Y529" s="129"/>
      <c r="Z529" s="129"/>
    </row>
    <row r="530" ht="12.0" customHeight="1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70"/>
      <c r="T530" s="129"/>
      <c r="U530" s="129"/>
      <c r="V530" s="129"/>
      <c r="W530" s="129"/>
      <c r="X530" s="129"/>
      <c r="Y530" s="129"/>
      <c r="Z530" s="129"/>
    </row>
    <row r="531" ht="12.0" customHeight="1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70"/>
      <c r="T531" s="129"/>
      <c r="U531" s="129"/>
      <c r="V531" s="129"/>
      <c r="W531" s="129"/>
      <c r="X531" s="129"/>
      <c r="Y531" s="129"/>
      <c r="Z531" s="129"/>
    </row>
    <row r="532" ht="12.0" customHeight="1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70"/>
      <c r="T532" s="129"/>
      <c r="U532" s="129"/>
      <c r="V532" s="129"/>
      <c r="W532" s="129"/>
      <c r="X532" s="129"/>
      <c r="Y532" s="129"/>
      <c r="Z532" s="129"/>
    </row>
    <row r="533" ht="12.0" customHeight="1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70"/>
      <c r="T533" s="129"/>
      <c r="U533" s="129"/>
      <c r="V533" s="129"/>
      <c r="W533" s="129"/>
      <c r="X533" s="129"/>
      <c r="Y533" s="129"/>
      <c r="Z533" s="129"/>
    </row>
    <row r="534" ht="12.0" customHeight="1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70"/>
      <c r="T534" s="129"/>
      <c r="U534" s="129"/>
      <c r="V534" s="129"/>
      <c r="W534" s="129"/>
      <c r="X534" s="129"/>
      <c r="Y534" s="129"/>
      <c r="Z534" s="129"/>
    </row>
    <row r="535" ht="12.0" customHeight="1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70"/>
      <c r="T535" s="129"/>
      <c r="U535" s="129"/>
      <c r="V535" s="129"/>
      <c r="W535" s="129"/>
      <c r="X535" s="129"/>
      <c r="Y535" s="129"/>
      <c r="Z535" s="129"/>
    </row>
    <row r="536" ht="12.0" customHeight="1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70"/>
      <c r="T536" s="129"/>
      <c r="U536" s="129"/>
      <c r="V536" s="129"/>
      <c r="W536" s="129"/>
      <c r="X536" s="129"/>
      <c r="Y536" s="129"/>
      <c r="Z536" s="129"/>
    </row>
    <row r="537" ht="12.0" customHeight="1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70"/>
      <c r="T537" s="129"/>
      <c r="U537" s="129"/>
      <c r="V537" s="129"/>
      <c r="W537" s="129"/>
      <c r="X537" s="129"/>
      <c r="Y537" s="129"/>
      <c r="Z537" s="129"/>
    </row>
    <row r="538" ht="12.0" customHeight="1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70"/>
      <c r="T538" s="129"/>
      <c r="U538" s="129"/>
      <c r="V538" s="129"/>
      <c r="W538" s="129"/>
      <c r="X538" s="129"/>
      <c r="Y538" s="129"/>
      <c r="Z538" s="129"/>
    </row>
    <row r="539" ht="12.0" customHeight="1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70"/>
      <c r="T539" s="129"/>
      <c r="U539" s="129"/>
      <c r="V539" s="129"/>
      <c r="W539" s="129"/>
      <c r="X539" s="129"/>
      <c r="Y539" s="129"/>
      <c r="Z539" s="129"/>
    </row>
    <row r="540" ht="12.0" customHeight="1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70"/>
      <c r="T540" s="129"/>
      <c r="U540" s="129"/>
      <c r="V540" s="129"/>
      <c r="W540" s="129"/>
      <c r="X540" s="129"/>
      <c r="Y540" s="129"/>
      <c r="Z540" s="129"/>
    </row>
    <row r="541" ht="12.0" customHeight="1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70"/>
      <c r="T541" s="129"/>
      <c r="U541" s="129"/>
      <c r="V541" s="129"/>
      <c r="W541" s="129"/>
      <c r="X541" s="129"/>
      <c r="Y541" s="129"/>
      <c r="Z541" s="129"/>
    </row>
    <row r="542" ht="12.0" customHeight="1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70"/>
      <c r="T542" s="129"/>
      <c r="U542" s="129"/>
      <c r="V542" s="129"/>
      <c r="W542" s="129"/>
      <c r="X542" s="129"/>
      <c r="Y542" s="129"/>
      <c r="Z542" s="129"/>
    </row>
    <row r="543" ht="12.0" customHeight="1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70"/>
      <c r="T543" s="129"/>
      <c r="U543" s="129"/>
      <c r="V543" s="129"/>
      <c r="W543" s="129"/>
      <c r="X543" s="129"/>
      <c r="Y543" s="129"/>
      <c r="Z543" s="129"/>
    </row>
    <row r="544" ht="12.0" customHeight="1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70"/>
      <c r="T544" s="129"/>
      <c r="U544" s="129"/>
      <c r="V544" s="129"/>
      <c r="W544" s="129"/>
      <c r="X544" s="129"/>
      <c r="Y544" s="129"/>
      <c r="Z544" s="129"/>
    </row>
    <row r="545" ht="12.0" customHeight="1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70"/>
      <c r="T545" s="129"/>
      <c r="U545" s="129"/>
      <c r="V545" s="129"/>
      <c r="W545" s="129"/>
      <c r="X545" s="129"/>
      <c r="Y545" s="129"/>
      <c r="Z545" s="129"/>
    </row>
    <row r="546" ht="12.0" customHeight="1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70"/>
      <c r="T546" s="129"/>
      <c r="U546" s="129"/>
      <c r="V546" s="129"/>
      <c r="W546" s="129"/>
      <c r="X546" s="129"/>
      <c r="Y546" s="129"/>
      <c r="Z546" s="129"/>
    </row>
    <row r="547" ht="12.0" customHeight="1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70"/>
      <c r="T547" s="129"/>
      <c r="U547" s="129"/>
      <c r="V547" s="129"/>
      <c r="W547" s="129"/>
      <c r="X547" s="129"/>
      <c r="Y547" s="129"/>
      <c r="Z547" s="129"/>
    </row>
    <row r="548" ht="12.0" customHeight="1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70"/>
      <c r="T548" s="129"/>
      <c r="U548" s="129"/>
      <c r="V548" s="129"/>
      <c r="W548" s="129"/>
      <c r="X548" s="129"/>
      <c r="Y548" s="129"/>
      <c r="Z548" s="129"/>
    </row>
    <row r="549" ht="12.0" customHeight="1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70"/>
      <c r="T549" s="129"/>
      <c r="U549" s="129"/>
      <c r="V549" s="129"/>
      <c r="W549" s="129"/>
      <c r="X549" s="129"/>
      <c r="Y549" s="129"/>
      <c r="Z549" s="129"/>
    </row>
    <row r="550" ht="12.0" customHeight="1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70"/>
      <c r="T550" s="129"/>
      <c r="U550" s="129"/>
      <c r="V550" s="129"/>
      <c r="W550" s="129"/>
      <c r="X550" s="129"/>
      <c r="Y550" s="129"/>
      <c r="Z550" s="129"/>
    </row>
    <row r="551" ht="12.0" customHeight="1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70"/>
      <c r="T551" s="129"/>
      <c r="U551" s="129"/>
      <c r="V551" s="129"/>
      <c r="W551" s="129"/>
      <c r="X551" s="129"/>
      <c r="Y551" s="129"/>
      <c r="Z551" s="129"/>
    </row>
    <row r="552" ht="12.0" customHeight="1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70"/>
      <c r="T552" s="129"/>
      <c r="U552" s="129"/>
      <c r="V552" s="129"/>
      <c r="W552" s="129"/>
      <c r="X552" s="129"/>
      <c r="Y552" s="129"/>
      <c r="Z552" s="129"/>
    </row>
    <row r="553" ht="12.0" customHeight="1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70"/>
      <c r="T553" s="129"/>
      <c r="U553" s="129"/>
      <c r="V553" s="129"/>
      <c r="W553" s="129"/>
      <c r="X553" s="129"/>
      <c r="Y553" s="129"/>
      <c r="Z553" s="129"/>
    </row>
    <row r="554" ht="12.0" customHeight="1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70"/>
      <c r="T554" s="129"/>
      <c r="U554" s="129"/>
      <c r="V554" s="129"/>
      <c r="W554" s="129"/>
      <c r="X554" s="129"/>
      <c r="Y554" s="129"/>
      <c r="Z554" s="129"/>
    </row>
    <row r="555" ht="12.0" customHeight="1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70"/>
      <c r="T555" s="129"/>
      <c r="U555" s="129"/>
      <c r="V555" s="129"/>
      <c r="W555" s="129"/>
      <c r="X555" s="129"/>
      <c r="Y555" s="129"/>
      <c r="Z555" s="129"/>
    </row>
    <row r="556" ht="12.0" customHeight="1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70"/>
      <c r="T556" s="129"/>
      <c r="U556" s="129"/>
      <c r="V556" s="129"/>
      <c r="W556" s="129"/>
      <c r="X556" s="129"/>
      <c r="Y556" s="129"/>
      <c r="Z556" s="129"/>
    </row>
    <row r="557" ht="12.0" customHeight="1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70"/>
      <c r="T557" s="129"/>
      <c r="U557" s="129"/>
      <c r="V557" s="129"/>
      <c r="W557" s="129"/>
      <c r="X557" s="129"/>
      <c r="Y557" s="129"/>
      <c r="Z557" s="129"/>
    </row>
    <row r="558" ht="12.0" customHeight="1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70"/>
      <c r="T558" s="129"/>
      <c r="U558" s="129"/>
      <c r="V558" s="129"/>
      <c r="W558" s="129"/>
      <c r="X558" s="129"/>
      <c r="Y558" s="129"/>
      <c r="Z558" s="129"/>
    </row>
    <row r="559" ht="12.0" customHeight="1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70"/>
      <c r="T559" s="129"/>
      <c r="U559" s="129"/>
      <c r="V559" s="129"/>
      <c r="W559" s="129"/>
      <c r="X559" s="129"/>
      <c r="Y559" s="129"/>
      <c r="Z559" s="129"/>
    </row>
    <row r="560" ht="12.0" customHeight="1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70"/>
      <c r="T560" s="129"/>
      <c r="U560" s="129"/>
      <c r="V560" s="129"/>
      <c r="W560" s="129"/>
      <c r="X560" s="129"/>
      <c r="Y560" s="129"/>
      <c r="Z560" s="129"/>
    </row>
    <row r="561" ht="12.0" customHeight="1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70"/>
      <c r="T561" s="129"/>
      <c r="U561" s="129"/>
      <c r="V561" s="129"/>
      <c r="W561" s="129"/>
      <c r="X561" s="129"/>
      <c r="Y561" s="129"/>
      <c r="Z561" s="129"/>
    </row>
    <row r="562" ht="12.0" customHeight="1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70"/>
      <c r="T562" s="129"/>
      <c r="U562" s="129"/>
      <c r="V562" s="129"/>
      <c r="W562" s="129"/>
      <c r="X562" s="129"/>
      <c r="Y562" s="129"/>
      <c r="Z562" s="129"/>
    </row>
    <row r="563" ht="12.0" customHeight="1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70"/>
      <c r="T563" s="129"/>
      <c r="U563" s="129"/>
      <c r="V563" s="129"/>
      <c r="W563" s="129"/>
      <c r="X563" s="129"/>
      <c r="Y563" s="129"/>
      <c r="Z563" s="129"/>
    </row>
    <row r="564" ht="12.0" customHeight="1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70"/>
      <c r="T564" s="129"/>
      <c r="U564" s="129"/>
      <c r="V564" s="129"/>
      <c r="W564" s="129"/>
      <c r="X564" s="129"/>
      <c r="Y564" s="129"/>
      <c r="Z564" s="129"/>
    </row>
    <row r="565" ht="12.0" customHeight="1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70"/>
      <c r="T565" s="129"/>
      <c r="U565" s="129"/>
      <c r="V565" s="129"/>
      <c r="W565" s="129"/>
      <c r="X565" s="129"/>
      <c r="Y565" s="129"/>
      <c r="Z565" s="129"/>
    </row>
    <row r="566" ht="12.0" customHeight="1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70"/>
      <c r="T566" s="129"/>
      <c r="U566" s="129"/>
      <c r="V566" s="129"/>
      <c r="W566" s="129"/>
      <c r="X566" s="129"/>
      <c r="Y566" s="129"/>
      <c r="Z566" s="129"/>
    </row>
    <row r="567" ht="12.0" customHeight="1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70"/>
      <c r="T567" s="129"/>
      <c r="U567" s="129"/>
      <c r="V567" s="129"/>
      <c r="W567" s="129"/>
      <c r="X567" s="129"/>
      <c r="Y567" s="129"/>
      <c r="Z567" s="129"/>
    </row>
    <row r="568" ht="12.0" customHeight="1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70"/>
      <c r="T568" s="129"/>
      <c r="U568" s="129"/>
      <c r="V568" s="129"/>
      <c r="W568" s="129"/>
      <c r="X568" s="129"/>
      <c r="Y568" s="129"/>
      <c r="Z568" s="129"/>
    </row>
    <row r="569" ht="12.0" customHeight="1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70"/>
      <c r="T569" s="129"/>
      <c r="U569" s="129"/>
      <c r="V569" s="129"/>
      <c r="W569" s="129"/>
      <c r="X569" s="129"/>
      <c r="Y569" s="129"/>
      <c r="Z569" s="129"/>
    </row>
    <row r="570" ht="12.0" customHeight="1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70"/>
      <c r="T570" s="129"/>
      <c r="U570" s="129"/>
      <c r="V570" s="129"/>
      <c r="W570" s="129"/>
      <c r="X570" s="129"/>
      <c r="Y570" s="129"/>
      <c r="Z570" s="129"/>
    </row>
    <row r="571" ht="12.0" customHeight="1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70"/>
      <c r="T571" s="129"/>
      <c r="U571" s="129"/>
      <c r="V571" s="129"/>
      <c r="W571" s="129"/>
      <c r="X571" s="129"/>
      <c r="Y571" s="129"/>
      <c r="Z571" s="129"/>
    </row>
    <row r="572" ht="12.0" customHeight="1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70"/>
      <c r="T572" s="129"/>
      <c r="U572" s="129"/>
      <c r="V572" s="129"/>
      <c r="W572" s="129"/>
      <c r="X572" s="129"/>
      <c r="Y572" s="129"/>
      <c r="Z572" s="129"/>
    </row>
    <row r="573" ht="12.0" customHeight="1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70"/>
      <c r="T573" s="129"/>
      <c r="U573" s="129"/>
      <c r="V573" s="129"/>
      <c r="W573" s="129"/>
      <c r="X573" s="129"/>
      <c r="Y573" s="129"/>
      <c r="Z573" s="129"/>
    </row>
    <row r="574" ht="12.0" customHeight="1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70"/>
      <c r="T574" s="129"/>
      <c r="U574" s="129"/>
      <c r="V574" s="129"/>
      <c r="W574" s="129"/>
      <c r="X574" s="129"/>
      <c r="Y574" s="129"/>
      <c r="Z574" s="129"/>
    </row>
    <row r="575" ht="12.0" customHeight="1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70"/>
      <c r="T575" s="129"/>
      <c r="U575" s="129"/>
      <c r="V575" s="129"/>
      <c r="W575" s="129"/>
      <c r="X575" s="129"/>
      <c r="Y575" s="129"/>
      <c r="Z575" s="129"/>
    </row>
    <row r="576" ht="12.0" customHeight="1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70"/>
      <c r="T576" s="129"/>
      <c r="U576" s="129"/>
      <c r="V576" s="129"/>
      <c r="W576" s="129"/>
      <c r="X576" s="129"/>
      <c r="Y576" s="129"/>
      <c r="Z576" s="129"/>
    </row>
    <row r="577" ht="12.0" customHeight="1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70"/>
      <c r="T577" s="129"/>
      <c r="U577" s="129"/>
      <c r="V577" s="129"/>
      <c r="W577" s="129"/>
      <c r="X577" s="129"/>
      <c r="Y577" s="129"/>
      <c r="Z577" s="129"/>
    </row>
    <row r="578" ht="12.0" customHeight="1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70"/>
      <c r="T578" s="129"/>
      <c r="U578" s="129"/>
      <c r="V578" s="129"/>
      <c r="W578" s="129"/>
      <c r="X578" s="129"/>
      <c r="Y578" s="129"/>
      <c r="Z578" s="129"/>
    </row>
    <row r="579" ht="12.0" customHeight="1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70"/>
      <c r="T579" s="129"/>
      <c r="U579" s="129"/>
      <c r="V579" s="129"/>
      <c r="W579" s="129"/>
      <c r="X579" s="129"/>
      <c r="Y579" s="129"/>
      <c r="Z579" s="129"/>
    </row>
    <row r="580" ht="12.0" customHeight="1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70"/>
      <c r="T580" s="129"/>
      <c r="U580" s="129"/>
      <c r="V580" s="129"/>
      <c r="W580" s="129"/>
      <c r="X580" s="129"/>
      <c r="Y580" s="129"/>
      <c r="Z580" s="129"/>
    </row>
    <row r="581" ht="12.0" customHeight="1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70"/>
      <c r="T581" s="129"/>
      <c r="U581" s="129"/>
      <c r="V581" s="129"/>
      <c r="W581" s="129"/>
      <c r="X581" s="129"/>
      <c r="Y581" s="129"/>
      <c r="Z581" s="129"/>
    </row>
    <row r="582" ht="12.0" customHeight="1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70"/>
      <c r="T582" s="129"/>
      <c r="U582" s="129"/>
      <c r="V582" s="129"/>
      <c r="W582" s="129"/>
      <c r="X582" s="129"/>
      <c r="Y582" s="129"/>
      <c r="Z582" s="129"/>
    </row>
    <row r="583" ht="12.0" customHeight="1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70"/>
      <c r="T583" s="129"/>
      <c r="U583" s="129"/>
      <c r="V583" s="129"/>
      <c r="W583" s="129"/>
      <c r="X583" s="129"/>
      <c r="Y583" s="129"/>
      <c r="Z583" s="129"/>
    </row>
    <row r="584" ht="12.0" customHeight="1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70"/>
      <c r="T584" s="129"/>
      <c r="U584" s="129"/>
      <c r="V584" s="129"/>
      <c r="W584" s="129"/>
      <c r="X584" s="129"/>
      <c r="Y584" s="129"/>
      <c r="Z584" s="129"/>
    </row>
    <row r="585" ht="12.0" customHeight="1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70"/>
      <c r="T585" s="129"/>
      <c r="U585" s="129"/>
      <c r="V585" s="129"/>
      <c r="W585" s="129"/>
      <c r="X585" s="129"/>
      <c r="Y585" s="129"/>
      <c r="Z585" s="129"/>
    </row>
    <row r="586" ht="12.0" customHeight="1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70"/>
      <c r="T586" s="129"/>
      <c r="U586" s="129"/>
      <c r="V586" s="129"/>
      <c r="W586" s="129"/>
      <c r="X586" s="129"/>
      <c r="Y586" s="129"/>
      <c r="Z586" s="129"/>
    </row>
    <row r="587" ht="12.0" customHeight="1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70"/>
      <c r="T587" s="129"/>
      <c r="U587" s="129"/>
      <c r="V587" s="129"/>
      <c r="W587" s="129"/>
      <c r="X587" s="129"/>
      <c r="Y587" s="129"/>
      <c r="Z587" s="129"/>
    </row>
    <row r="588" ht="12.0" customHeight="1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70"/>
      <c r="T588" s="129"/>
      <c r="U588" s="129"/>
      <c r="V588" s="129"/>
      <c r="W588" s="129"/>
      <c r="X588" s="129"/>
      <c r="Y588" s="129"/>
      <c r="Z588" s="129"/>
    </row>
    <row r="589" ht="12.0" customHeight="1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70"/>
      <c r="T589" s="129"/>
      <c r="U589" s="129"/>
      <c r="V589" s="129"/>
      <c r="W589" s="129"/>
      <c r="X589" s="129"/>
      <c r="Y589" s="129"/>
      <c r="Z589" s="129"/>
    </row>
    <row r="590" ht="12.0" customHeight="1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70"/>
      <c r="T590" s="129"/>
      <c r="U590" s="129"/>
      <c r="V590" s="129"/>
      <c r="W590" s="129"/>
      <c r="X590" s="129"/>
      <c r="Y590" s="129"/>
      <c r="Z590" s="129"/>
    </row>
    <row r="591" ht="12.0" customHeight="1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70"/>
      <c r="T591" s="129"/>
      <c r="U591" s="129"/>
      <c r="V591" s="129"/>
      <c r="W591" s="129"/>
      <c r="X591" s="129"/>
      <c r="Y591" s="129"/>
      <c r="Z591" s="129"/>
    </row>
    <row r="592" ht="12.0" customHeight="1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70"/>
      <c r="T592" s="129"/>
      <c r="U592" s="129"/>
      <c r="V592" s="129"/>
      <c r="W592" s="129"/>
      <c r="X592" s="129"/>
      <c r="Y592" s="129"/>
      <c r="Z592" s="129"/>
    </row>
    <row r="593" ht="12.0" customHeight="1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70"/>
      <c r="T593" s="129"/>
      <c r="U593" s="129"/>
      <c r="V593" s="129"/>
      <c r="W593" s="129"/>
      <c r="X593" s="129"/>
      <c r="Y593" s="129"/>
      <c r="Z593" s="129"/>
    </row>
    <row r="594" ht="12.0" customHeight="1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70"/>
      <c r="T594" s="129"/>
      <c r="U594" s="129"/>
      <c r="V594" s="129"/>
      <c r="W594" s="129"/>
      <c r="X594" s="129"/>
      <c r="Y594" s="129"/>
      <c r="Z594" s="129"/>
    </row>
    <row r="595" ht="12.0" customHeight="1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70"/>
      <c r="T595" s="129"/>
      <c r="U595" s="129"/>
      <c r="V595" s="129"/>
      <c r="W595" s="129"/>
      <c r="X595" s="129"/>
      <c r="Y595" s="129"/>
      <c r="Z595" s="129"/>
    </row>
    <row r="596" ht="12.0" customHeight="1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70"/>
      <c r="T596" s="129"/>
      <c r="U596" s="129"/>
      <c r="V596" s="129"/>
      <c r="W596" s="129"/>
      <c r="X596" s="129"/>
      <c r="Y596" s="129"/>
      <c r="Z596" s="129"/>
    </row>
    <row r="597" ht="12.0" customHeight="1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70"/>
      <c r="T597" s="129"/>
      <c r="U597" s="129"/>
      <c r="V597" s="129"/>
      <c r="W597" s="129"/>
      <c r="X597" s="129"/>
      <c r="Y597" s="129"/>
      <c r="Z597" s="129"/>
    </row>
    <row r="598" ht="12.0" customHeight="1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70"/>
      <c r="T598" s="129"/>
      <c r="U598" s="129"/>
      <c r="V598" s="129"/>
      <c r="W598" s="129"/>
      <c r="X598" s="129"/>
      <c r="Y598" s="129"/>
      <c r="Z598" s="129"/>
    </row>
    <row r="599" ht="12.0" customHeight="1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70"/>
      <c r="T599" s="129"/>
      <c r="U599" s="129"/>
      <c r="V599" s="129"/>
      <c r="W599" s="129"/>
      <c r="X599" s="129"/>
      <c r="Y599" s="129"/>
      <c r="Z599" s="129"/>
    </row>
    <row r="600" ht="12.0" customHeight="1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70"/>
      <c r="T600" s="129"/>
      <c r="U600" s="129"/>
      <c r="V600" s="129"/>
      <c r="W600" s="129"/>
      <c r="X600" s="129"/>
      <c r="Y600" s="129"/>
      <c r="Z600" s="129"/>
    </row>
    <row r="601" ht="12.0" customHeight="1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70"/>
      <c r="T601" s="129"/>
      <c r="U601" s="129"/>
      <c r="V601" s="129"/>
      <c r="W601" s="129"/>
      <c r="X601" s="129"/>
      <c r="Y601" s="129"/>
      <c r="Z601" s="129"/>
    </row>
    <row r="602" ht="12.0" customHeight="1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70"/>
      <c r="T602" s="129"/>
      <c r="U602" s="129"/>
      <c r="V602" s="129"/>
      <c r="W602" s="129"/>
      <c r="X602" s="129"/>
      <c r="Y602" s="129"/>
      <c r="Z602" s="129"/>
    </row>
    <row r="603" ht="12.0" customHeight="1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70"/>
      <c r="T603" s="129"/>
      <c r="U603" s="129"/>
      <c r="V603" s="129"/>
      <c r="W603" s="129"/>
      <c r="X603" s="129"/>
      <c r="Y603" s="129"/>
      <c r="Z603" s="129"/>
    </row>
    <row r="604" ht="12.0" customHeight="1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70"/>
      <c r="T604" s="129"/>
      <c r="U604" s="129"/>
      <c r="V604" s="129"/>
      <c r="W604" s="129"/>
      <c r="X604" s="129"/>
      <c r="Y604" s="129"/>
      <c r="Z604" s="129"/>
    </row>
    <row r="605" ht="12.0" customHeight="1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70"/>
      <c r="T605" s="129"/>
      <c r="U605" s="129"/>
      <c r="V605" s="129"/>
      <c r="W605" s="129"/>
      <c r="X605" s="129"/>
      <c r="Y605" s="129"/>
      <c r="Z605" s="129"/>
    </row>
    <row r="606" ht="12.0" customHeight="1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70"/>
      <c r="T606" s="129"/>
      <c r="U606" s="129"/>
      <c r="V606" s="129"/>
      <c r="W606" s="129"/>
      <c r="X606" s="129"/>
      <c r="Y606" s="129"/>
      <c r="Z606" s="129"/>
    </row>
    <row r="607" ht="12.0" customHeight="1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70"/>
      <c r="T607" s="129"/>
      <c r="U607" s="129"/>
      <c r="V607" s="129"/>
      <c r="W607" s="129"/>
      <c r="X607" s="129"/>
      <c r="Y607" s="129"/>
      <c r="Z607" s="129"/>
    </row>
    <row r="608" ht="12.0" customHeight="1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70"/>
      <c r="T608" s="129"/>
      <c r="U608" s="129"/>
      <c r="V608" s="129"/>
      <c r="W608" s="129"/>
      <c r="X608" s="129"/>
      <c r="Y608" s="129"/>
      <c r="Z608" s="129"/>
    </row>
    <row r="609" ht="12.0" customHeight="1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70"/>
      <c r="T609" s="129"/>
      <c r="U609" s="129"/>
      <c r="V609" s="129"/>
      <c r="W609" s="129"/>
      <c r="X609" s="129"/>
      <c r="Y609" s="129"/>
      <c r="Z609" s="129"/>
    </row>
    <row r="610" ht="12.0" customHeight="1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70"/>
      <c r="T610" s="129"/>
      <c r="U610" s="129"/>
      <c r="V610" s="129"/>
      <c r="W610" s="129"/>
      <c r="X610" s="129"/>
      <c r="Y610" s="129"/>
      <c r="Z610" s="129"/>
    </row>
    <row r="611" ht="12.0" customHeight="1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70"/>
      <c r="T611" s="129"/>
      <c r="U611" s="129"/>
      <c r="V611" s="129"/>
      <c r="W611" s="129"/>
      <c r="X611" s="129"/>
      <c r="Y611" s="129"/>
      <c r="Z611" s="129"/>
    </row>
    <row r="612" ht="12.0" customHeight="1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70"/>
      <c r="T612" s="129"/>
      <c r="U612" s="129"/>
      <c r="V612" s="129"/>
      <c r="W612" s="129"/>
      <c r="X612" s="129"/>
      <c r="Y612" s="129"/>
      <c r="Z612" s="129"/>
    </row>
    <row r="613" ht="12.0" customHeight="1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70"/>
      <c r="T613" s="129"/>
      <c r="U613" s="129"/>
      <c r="V613" s="129"/>
      <c r="W613" s="129"/>
      <c r="X613" s="129"/>
      <c r="Y613" s="129"/>
      <c r="Z613" s="129"/>
    </row>
    <row r="614" ht="12.0" customHeight="1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70"/>
      <c r="T614" s="129"/>
      <c r="U614" s="129"/>
      <c r="V614" s="129"/>
      <c r="W614" s="129"/>
      <c r="X614" s="129"/>
      <c r="Y614" s="129"/>
      <c r="Z614" s="129"/>
    </row>
    <row r="615" ht="12.0" customHeight="1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70"/>
      <c r="T615" s="129"/>
      <c r="U615" s="129"/>
      <c r="V615" s="129"/>
      <c r="W615" s="129"/>
      <c r="X615" s="129"/>
      <c r="Y615" s="129"/>
      <c r="Z615" s="129"/>
    </row>
    <row r="616" ht="12.0" customHeight="1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70"/>
      <c r="T616" s="129"/>
      <c r="U616" s="129"/>
      <c r="V616" s="129"/>
      <c r="W616" s="129"/>
      <c r="X616" s="129"/>
      <c r="Y616" s="129"/>
      <c r="Z616" s="129"/>
    </row>
    <row r="617" ht="12.0" customHeight="1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70"/>
      <c r="T617" s="129"/>
      <c r="U617" s="129"/>
      <c r="V617" s="129"/>
      <c r="W617" s="129"/>
      <c r="X617" s="129"/>
      <c r="Y617" s="129"/>
      <c r="Z617" s="129"/>
    </row>
    <row r="618" ht="12.0" customHeight="1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70"/>
      <c r="T618" s="129"/>
      <c r="U618" s="129"/>
      <c r="V618" s="129"/>
      <c r="W618" s="129"/>
      <c r="X618" s="129"/>
      <c r="Y618" s="129"/>
      <c r="Z618" s="129"/>
    </row>
    <row r="619" ht="12.0" customHeight="1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70"/>
      <c r="T619" s="129"/>
      <c r="U619" s="129"/>
      <c r="V619" s="129"/>
      <c r="W619" s="129"/>
      <c r="X619" s="129"/>
      <c r="Y619" s="129"/>
      <c r="Z619" s="129"/>
    </row>
    <row r="620" ht="12.0" customHeight="1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70"/>
      <c r="T620" s="129"/>
      <c r="U620" s="129"/>
      <c r="V620" s="129"/>
      <c r="W620" s="129"/>
      <c r="X620" s="129"/>
      <c r="Y620" s="129"/>
      <c r="Z620" s="129"/>
    </row>
    <row r="621" ht="12.0" customHeight="1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70"/>
      <c r="T621" s="129"/>
      <c r="U621" s="129"/>
      <c r="V621" s="129"/>
      <c r="W621" s="129"/>
      <c r="X621" s="129"/>
      <c r="Y621" s="129"/>
      <c r="Z621" s="129"/>
    </row>
    <row r="622" ht="12.0" customHeight="1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70"/>
      <c r="T622" s="129"/>
      <c r="U622" s="129"/>
      <c r="V622" s="129"/>
      <c r="W622" s="129"/>
      <c r="X622" s="129"/>
      <c r="Y622" s="129"/>
      <c r="Z622" s="129"/>
    </row>
    <row r="623" ht="12.0" customHeight="1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70"/>
      <c r="T623" s="129"/>
      <c r="U623" s="129"/>
      <c r="V623" s="129"/>
      <c r="W623" s="129"/>
      <c r="X623" s="129"/>
      <c r="Y623" s="129"/>
      <c r="Z623" s="129"/>
    </row>
    <row r="624" ht="12.0" customHeight="1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70"/>
      <c r="T624" s="129"/>
      <c r="U624" s="129"/>
      <c r="V624" s="129"/>
      <c r="W624" s="129"/>
      <c r="X624" s="129"/>
      <c r="Y624" s="129"/>
      <c r="Z624" s="129"/>
    </row>
    <row r="625" ht="12.0" customHeight="1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70"/>
      <c r="T625" s="129"/>
      <c r="U625" s="129"/>
      <c r="V625" s="129"/>
      <c r="W625" s="129"/>
      <c r="X625" s="129"/>
      <c r="Y625" s="129"/>
      <c r="Z625" s="129"/>
    </row>
    <row r="626" ht="12.0" customHeight="1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70"/>
      <c r="T626" s="129"/>
      <c r="U626" s="129"/>
      <c r="V626" s="129"/>
      <c r="W626" s="129"/>
      <c r="X626" s="129"/>
      <c r="Y626" s="129"/>
      <c r="Z626" s="129"/>
    </row>
    <row r="627" ht="12.0" customHeight="1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70"/>
      <c r="T627" s="129"/>
      <c r="U627" s="129"/>
      <c r="V627" s="129"/>
      <c r="W627" s="129"/>
      <c r="X627" s="129"/>
      <c r="Y627" s="129"/>
      <c r="Z627" s="129"/>
    </row>
    <row r="628" ht="12.0" customHeight="1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70"/>
      <c r="T628" s="129"/>
      <c r="U628" s="129"/>
      <c r="V628" s="129"/>
      <c r="W628" s="129"/>
      <c r="X628" s="129"/>
      <c r="Y628" s="129"/>
      <c r="Z628" s="129"/>
    </row>
    <row r="629" ht="12.0" customHeight="1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70"/>
      <c r="T629" s="129"/>
      <c r="U629" s="129"/>
      <c r="V629" s="129"/>
      <c r="W629" s="129"/>
      <c r="X629" s="129"/>
      <c r="Y629" s="129"/>
      <c r="Z629" s="129"/>
    </row>
    <row r="630" ht="12.0" customHeight="1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70"/>
      <c r="T630" s="129"/>
      <c r="U630" s="129"/>
      <c r="V630" s="129"/>
      <c r="W630" s="129"/>
      <c r="X630" s="129"/>
      <c r="Y630" s="129"/>
      <c r="Z630" s="129"/>
    </row>
    <row r="631" ht="12.0" customHeight="1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70"/>
      <c r="T631" s="129"/>
      <c r="U631" s="129"/>
      <c r="V631" s="129"/>
      <c r="W631" s="129"/>
      <c r="X631" s="129"/>
      <c r="Y631" s="129"/>
      <c r="Z631" s="129"/>
    </row>
    <row r="632" ht="12.0" customHeight="1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70"/>
      <c r="T632" s="129"/>
      <c r="U632" s="129"/>
      <c r="V632" s="129"/>
      <c r="W632" s="129"/>
      <c r="X632" s="129"/>
      <c r="Y632" s="129"/>
      <c r="Z632" s="129"/>
    </row>
    <row r="633" ht="12.0" customHeight="1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70"/>
      <c r="T633" s="129"/>
      <c r="U633" s="129"/>
      <c r="V633" s="129"/>
      <c r="W633" s="129"/>
      <c r="X633" s="129"/>
      <c r="Y633" s="129"/>
      <c r="Z633" s="129"/>
    </row>
    <row r="634" ht="12.0" customHeight="1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70"/>
      <c r="T634" s="129"/>
      <c r="U634" s="129"/>
      <c r="V634" s="129"/>
      <c r="W634" s="129"/>
      <c r="X634" s="129"/>
      <c r="Y634" s="129"/>
      <c r="Z634" s="129"/>
    </row>
    <row r="635" ht="12.0" customHeight="1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70"/>
      <c r="T635" s="129"/>
      <c r="U635" s="129"/>
      <c r="V635" s="129"/>
      <c r="W635" s="129"/>
      <c r="X635" s="129"/>
      <c r="Y635" s="129"/>
      <c r="Z635" s="129"/>
    </row>
    <row r="636" ht="12.0" customHeight="1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70"/>
      <c r="T636" s="129"/>
      <c r="U636" s="129"/>
      <c r="V636" s="129"/>
      <c r="W636" s="129"/>
      <c r="X636" s="129"/>
      <c r="Y636" s="129"/>
      <c r="Z636" s="129"/>
    </row>
    <row r="637" ht="12.0" customHeight="1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70"/>
      <c r="T637" s="129"/>
      <c r="U637" s="129"/>
      <c r="V637" s="129"/>
      <c r="W637" s="129"/>
      <c r="X637" s="129"/>
      <c r="Y637" s="129"/>
      <c r="Z637" s="129"/>
    </row>
    <row r="638" ht="12.0" customHeight="1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70"/>
      <c r="T638" s="129"/>
      <c r="U638" s="129"/>
      <c r="V638" s="129"/>
      <c r="W638" s="129"/>
      <c r="X638" s="129"/>
      <c r="Y638" s="129"/>
      <c r="Z638" s="129"/>
    </row>
    <row r="639" ht="12.0" customHeight="1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70"/>
      <c r="T639" s="129"/>
      <c r="U639" s="129"/>
      <c r="V639" s="129"/>
      <c r="W639" s="129"/>
      <c r="X639" s="129"/>
      <c r="Y639" s="129"/>
      <c r="Z639" s="129"/>
    </row>
    <row r="640" ht="12.0" customHeight="1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70"/>
      <c r="T640" s="129"/>
      <c r="U640" s="129"/>
      <c r="V640" s="129"/>
      <c r="W640" s="129"/>
      <c r="X640" s="129"/>
      <c r="Y640" s="129"/>
      <c r="Z640" s="129"/>
    </row>
    <row r="641" ht="12.0" customHeight="1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70"/>
      <c r="T641" s="129"/>
      <c r="U641" s="129"/>
      <c r="V641" s="129"/>
      <c r="W641" s="129"/>
      <c r="X641" s="129"/>
      <c r="Y641" s="129"/>
      <c r="Z641" s="129"/>
    </row>
    <row r="642" ht="12.0" customHeight="1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70"/>
      <c r="T642" s="129"/>
      <c r="U642" s="129"/>
      <c r="V642" s="129"/>
      <c r="W642" s="129"/>
      <c r="X642" s="129"/>
      <c r="Y642" s="129"/>
      <c r="Z642" s="129"/>
    </row>
    <row r="643" ht="12.0" customHeight="1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70"/>
      <c r="T643" s="129"/>
      <c r="U643" s="129"/>
      <c r="V643" s="129"/>
      <c r="W643" s="129"/>
      <c r="X643" s="129"/>
      <c r="Y643" s="129"/>
      <c r="Z643" s="129"/>
    </row>
    <row r="644" ht="12.0" customHeight="1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70"/>
      <c r="T644" s="129"/>
      <c r="U644" s="129"/>
      <c r="V644" s="129"/>
      <c r="W644" s="129"/>
      <c r="X644" s="129"/>
      <c r="Y644" s="129"/>
      <c r="Z644" s="129"/>
    </row>
    <row r="645" ht="12.0" customHeight="1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70"/>
      <c r="T645" s="129"/>
      <c r="U645" s="129"/>
      <c r="V645" s="129"/>
      <c r="W645" s="129"/>
      <c r="X645" s="129"/>
      <c r="Y645" s="129"/>
      <c r="Z645" s="129"/>
    </row>
    <row r="646" ht="12.0" customHeight="1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70"/>
      <c r="T646" s="129"/>
      <c r="U646" s="129"/>
      <c r="V646" s="129"/>
      <c r="W646" s="129"/>
      <c r="X646" s="129"/>
      <c r="Y646" s="129"/>
      <c r="Z646" s="129"/>
    </row>
    <row r="647" ht="12.0" customHeight="1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70"/>
      <c r="T647" s="129"/>
      <c r="U647" s="129"/>
      <c r="V647" s="129"/>
      <c r="W647" s="129"/>
      <c r="X647" s="129"/>
      <c r="Y647" s="129"/>
      <c r="Z647" s="129"/>
    </row>
    <row r="648" ht="12.0" customHeight="1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70"/>
      <c r="T648" s="129"/>
      <c r="U648" s="129"/>
      <c r="V648" s="129"/>
      <c r="W648" s="129"/>
      <c r="X648" s="129"/>
      <c r="Y648" s="129"/>
      <c r="Z648" s="129"/>
    </row>
    <row r="649" ht="12.0" customHeight="1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70"/>
      <c r="T649" s="129"/>
      <c r="U649" s="129"/>
      <c r="V649" s="129"/>
      <c r="W649" s="129"/>
      <c r="X649" s="129"/>
      <c r="Y649" s="129"/>
      <c r="Z649" s="129"/>
    </row>
    <row r="650" ht="12.0" customHeight="1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70"/>
      <c r="T650" s="129"/>
      <c r="U650" s="129"/>
      <c r="V650" s="129"/>
      <c r="W650" s="129"/>
      <c r="X650" s="129"/>
      <c r="Y650" s="129"/>
      <c r="Z650" s="129"/>
    </row>
    <row r="651" ht="12.0" customHeight="1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70"/>
      <c r="T651" s="129"/>
      <c r="U651" s="129"/>
      <c r="V651" s="129"/>
      <c r="W651" s="129"/>
      <c r="X651" s="129"/>
      <c r="Y651" s="129"/>
      <c r="Z651" s="129"/>
    </row>
    <row r="652" ht="12.0" customHeight="1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70"/>
      <c r="T652" s="129"/>
      <c r="U652" s="129"/>
      <c r="V652" s="129"/>
      <c r="W652" s="129"/>
      <c r="X652" s="129"/>
      <c r="Y652" s="129"/>
      <c r="Z652" s="129"/>
    </row>
    <row r="653" ht="12.0" customHeight="1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70"/>
      <c r="T653" s="129"/>
      <c r="U653" s="129"/>
      <c r="V653" s="129"/>
      <c r="W653" s="129"/>
      <c r="X653" s="129"/>
      <c r="Y653" s="129"/>
      <c r="Z653" s="129"/>
    </row>
    <row r="654" ht="12.0" customHeight="1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70"/>
      <c r="T654" s="129"/>
      <c r="U654" s="129"/>
      <c r="V654" s="129"/>
      <c r="W654" s="129"/>
      <c r="X654" s="129"/>
      <c r="Y654" s="129"/>
      <c r="Z654" s="129"/>
    </row>
    <row r="655" ht="12.0" customHeight="1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70"/>
      <c r="T655" s="129"/>
      <c r="U655" s="129"/>
      <c r="V655" s="129"/>
      <c r="W655" s="129"/>
      <c r="X655" s="129"/>
      <c r="Y655" s="129"/>
      <c r="Z655" s="129"/>
    </row>
    <row r="656" ht="12.0" customHeight="1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70"/>
      <c r="T656" s="129"/>
      <c r="U656" s="129"/>
      <c r="V656" s="129"/>
      <c r="W656" s="129"/>
      <c r="X656" s="129"/>
      <c r="Y656" s="129"/>
      <c r="Z656" s="129"/>
    </row>
    <row r="657" ht="12.0" customHeight="1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70"/>
      <c r="T657" s="129"/>
      <c r="U657" s="129"/>
      <c r="V657" s="129"/>
      <c r="W657" s="129"/>
      <c r="X657" s="129"/>
      <c r="Y657" s="129"/>
      <c r="Z657" s="129"/>
    </row>
    <row r="658" ht="12.0" customHeight="1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70"/>
      <c r="T658" s="129"/>
      <c r="U658" s="129"/>
      <c r="V658" s="129"/>
      <c r="W658" s="129"/>
      <c r="X658" s="129"/>
      <c r="Y658" s="129"/>
      <c r="Z658" s="129"/>
    </row>
    <row r="659" ht="12.0" customHeight="1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70"/>
      <c r="T659" s="129"/>
      <c r="U659" s="129"/>
      <c r="V659" s="129"/>
      <c r="W659" s="129"/>
      <c r="X659" s="129"/>
      <c r="Y659" s="129"/>
      <c r="Z659" s="129"/>
    </row>
    <row r="660" ht="12.0" customHeight="1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70"/>
      <c r="T660" s="129"/>
      <c r="U660" s="129"/>
      <c r="V660" s="129"/>
      <c r="W660" s="129"/>
      <c r="X660" s="129"/>
      <c r="Y660" s="129"/>
      <c r="Z660" s="129"/>
    </row>
    <row r="661" ht="12.0" customHeight="1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70"/>
      <c r="T661" s="129"/>
      <c r="U661" s="129"/>
      <c r="V661" s="129"/>
      <c r="W661" s="129"/>
      <c r="X661" s="129"/>
      <c r="Y661" s="129"/>
      <c r="Z661" s="129"/>
    </row>
    <row r="662" ht="12.0" customHeight="1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70"/>
      <c r="T662" s="129"/>
      <c r="U662" s="129"/>
      <c r="V662" s="129"/>
      <c r="W662" s="129"/>
      <c r="X662" s="129"/>
      <c r="Y662" s="129"/>
      <c r="Z662" s="129"/>
    </row>
    <row r="663" ht="12.0" customHeight="1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70"/>
      <c r="T663" s="129"/>
      <c r="U663" s="129"/>
      <c r="V663" s="129"/>
      <c r="W663" s="129"/>
      <c r="X663" s="129"/>
      <c r="Y663" s="129"/>
      <c r="Z663" s="129"/>
    </row>
    <row r="664" ht="12.0" customHeight="1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70"/>
      <c r="T664" s="129"/>
      <c r="U664" s="129"/>
      <c r="V664" s="129"/>
      <c r="W664" s="129"/>
      <c r="X664" s="129"/>
      <c r="Y664" s="129"/>
      <c r="Z664" s="129"/>
    </row>
    <row r="665" ht="12.0" customHeight="1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70"/>
      <c r="T665" s="129"/>
      <c r="U665" s="129"/>
      <c r="V665" s="129"/>
      <c r="W665" s="129"/>
      <c r="X665" s="129"/>
      <c r="Y665" s="129"/>
      <c r="Z665" s="129"/>
    </row>
    <row r="666" ht="12.0" customHeight="1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70"/>
      <c r="T666" s="129"/>
      <c r="U666" s="129"/>
      <c r="V666" s="129"/>
      <c r="W666" s="129"/>
      <c r="X666" s="129"/>
      <c r="Y666" s="129"/>
      <c r="Z666" s="129"/>
    </row>
    <row r="667" ht="12.0" customHeight="1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70"/>
      <c r="T667" s="129"/>
      <c r="U667" s="129"/>
      <c r="V667" s="129"/>
      <c r="W667" s="129"/>
      <c r="X667" s="129"/>
      <c r="Y667" s="129"/>
      <c r="Z667" s="129"/>
    </row>
    <row r="668" ht="12.0" customHeight="1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70"/>
      <c r="T668" s="129"/>
      <c r="U668" s="129"/>
      <c r="V668" s="129"/>
      <c r="W668" s="129"/>
      <c r="X668" s="129"/>
      <c r="Y668" s="129"/>
      <c r="Z668" s="129"/>
    </row>
    <row r="669" ht="12.0" customHeight="1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70"/>
      <c r="T669" s="129"/>
      <c r="U669" s="129"/>
      <c r="V669" s="129"/>
      <c r="W669" s="129"/>
      <c r="X669" s="129"/>
      <c r="Y669" s="129"/>
      <c r="Z669" s="129"/>
    </row>
    <row r="670" ht="12.0" customHeight="1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70"/>
      <c r="T670" s="129"/>
      <c r="U670" s="129"/>
      <c r="V670" s="129"/>
      <c r="W670" s="129"/>
      <c r="X670" s="129"/>
      <c r="Y670" s="129"/>
      <c r="Z670" s="129"/>
    </row>
    <row r="671" ht="12.0" customHeight="1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70"/>
      <c r="T671" s="129"/>
      <c r="U671" s="129"/>
      <c r="V671" s="129"/>
      <c r="W671" s="129"/>
      <c r="X671" s="129"/>
      <c r="Y671" s="129"/>
      <c r="Z671" s="129"/>
    </row>
    <row r="672" ht="12.0" customHeight="1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70"/>
      <c r="T672" s="129"/>
      <c r="U672" s="129"/>
      <c r="V672" s="129"/>
      <c r="W672" s="129"/>
      <c r="X672" s="129"/>
      <c r="Y672" s="129"/>
      <c r="Z672" s="129"/>
    </row>
    <row r="673" ht="12.0" customHeight="1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70"/>
      <c r="T673" s="129"/>
      <c r="U673" s="129"/>
      <c r="V673" s="129"/>
      <c r="W673" s="129"/>
      <c r="X673" s="129"/>
      <c r="Y673" s="129"/>
      <c r="Z673" s="129"/>
    </row>
    <row r="674" ht="12.0" customHeight="1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70"/>
      <c r="T674" s="129"/>
      <c r="U674" s="129"/>
      <c r="V674" s="129"/>
      <c r="W674" s="129"/>
      <c r="X674" s="129"/>
      <c r="Y674" s="129"/>
      <c r="Z674" s="129"/>
    </row>
    <row r="675" ht="12.0" customHeight="1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70"/>
      <c r="T675" s="129"/>
      <c r="U675" s="129"/>
      <c r="V675" s="129"/>
      <c r="W675" s="129"/>
      <c r="X675" s="129"/>
      <c r="Y675" s="129"/>
      <c r="Z675" s="129"/>
    </row>
    <row r="676" ht="12.0" customHeight="1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70"/>
      <c r="T676" s="129"/>
      <c r="U676" s="129"/>
      <c r="V676" s="129"/>
      <c r="W676" s="129"/>
      <c r="X676" s="129"/>
      <c r="Y676" s="129"/>
      <c r="Z676" s="129"/>
    </row>
    <row r="677" ht="12.0" customHeight="1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70"/>
      <c r="T677" s="129"/>
      <c r="U677" s="129"/>
      <c r="V677" s="129"/>
      <c r="W677" s="129"/>
      <c r="X677" s="129"/>
      <c r="Y677" s="129"/>
      <c r="Z677" s="129"/>
    </row>
    <row r="678" ht="12.0" customHeight="1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70"/>
      <c r="T678" s="129"/>
      <c r="U678" s="129"/>
      <c r="V678" s="129"/>
      <c r="W678" s="129"/>
      <c r="X678" s="129"/>
      <c r="Y678" s="129"/>
      <c r="Z678" s="129"/>
    </row>
    <row r="679" ht="12.0" customHeight="1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70"/>
      <c r="T679" s="129"/>
      <c r="U679" s="129"/>
      <c r="V679" s="129"/>
      <c r="W679" s="129"/>
      <c r="X679" s="129"/>
      <c r="Y679" s="129"/>
      <c r="Z679" s="129"/>
    </row>
    <row r="680" ht="12.0" customHeight="1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70"/>
      <c r="T680" s="129"/>
      <c r="U680" s="129"/>
      <c r="V680" s="129"/>
      <c r="W680" s="129"/>
      <c r="X680" s="129"/>
      <c r="Y680" s="129"/>
      <c r="Z680" s="129"/>
    </row>
    <row r="681" ht="12.0" customHeight="1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70"/>
      <c r="T681" s="129"/>
      <c r="U681" s="129"/>
      <c r="V681" s="129"/>
      <c r="W681" s="129"/>
      <c r="X681" s="129"/>
      <c r="Y681" s="129"/>
      <c r="Z681" s="129"/>
    </row>
    <row r="682" ht="12.0" customHeight="1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70"/>
      <c r="T682" s="129"/>
      <c r="U682" s="129"/>
      <c r="V682" s="129"/>
      <c r="W682" s="129"/>
      <c r="X682" s="129"/>
      <c r="Y682" s="129"/>
      <c r="Z682" s="129"/>
    </row>
    <row r="683" ht="12.0" customHeight="1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70"/>
      <c r="T683" s="129"/>
      <c r="U683" s="129"/>
      <c r="V683" s="129"/>
      <c r="W683" s="129"/>
      <c r="X683" s="129"/>
      <c r="Y683" s="129"/>
      <c r="Z683" s="129"/>
    </row>
    <row r="684" ht="12.0" customHeight="1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70"/>
      <c r="T684" s="129"/>
      <c r="U684" s="129"/>
      <c r="V684" s="129"/>
      <c r="W684" s="129"/>
      <c r="X684" s="129"/>
      <c r="Y684" s="129"/>
      <c r="Z684" s="129"/>
    </row>
    <row r="685" ht="12.0" customHeight="1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70"/>
      <c r="T685" s="129"/>
      <c r="U685" s="129"/>
      <c r="V685" s="129"/>
      <c r="W685" s="129"/>
      <c r="X685" s="129"/>
      <c r="Y685" s="129"/>
      <c r="Z685" s="129"/>
    </row>
    <row r="686" ht="12.0" customHeight="1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70"/>
      <c r="T686" s="129"/>
      <c r="U686" s="129"/>
      <c r="V686" s="129"/>
      <c r="W686" s="129"/>
      <c r="X686" s="129"/>
      <c r="Y686" s="129"/>
      <c r="Z686" s="129"/>
    </row>
    <row r="687" ht="12.0" customHeight="1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70"/>
      <c r="T687" s="129"/>
      <c r="U687" s="129"/>
      <c r="V687" s="129"/>
      <c r="W687" s="129"/>
      <c r="X687" s="129"/>
      <c r="Y687" s="129"/>
      <c r="Z687" s="129"/>
    </row>
    <row r="688" ht="12.0" customHeight="1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70"/>
      <c r="T688" s="129"/>
      <c r="U688" s="129"/>
      <c r="V688" s="129"/>
      <c r="W688" s="129"/>
      <c r="X688" s="129"/>
      <c r="Y688" s="129"/>
      <c r="Z688" s="129"/>
    </row>
    <row r="689" ht="12.0" customHeight="1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70"/>
      <c r="T689" s="129"/>
      <c r="U689" s="129"/>
      <c r="V689" s="129"/>
      <c r="W689" s="129"/>
      <c r="X689" s="129"/>
      <c r="Y689" s="129"/>
      <c r="Z689" s="129"/>
    </row>
    <row r="690" ht="12.0" customHeight="1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70"/>
      <c r="T690" s="129"/>
      <c r="U690" s="129"/>
      <c r="V690" s="129"/>
      <c r="W690" s="129"/>
      <c r="X690" s="129"/>
      <c r="Y690" s="129"/>
      <c r="Z690" s="129"/>
    </row>
    <row r="691" ht="12.0" customHeight="1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70"/>
      <c r="T691" s="129"/>
      <c r="U691" s="129"/>
      <c r="V691" s="129"/>
      <c r="W691" s="129"/>
      <c r="X691" s="129"/>
      <c r="Y691" s="129"/>
      <c r="Z691" s="129"/>
    </row>
    <row r="692" ht="12.0" customHeight="1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70"/>
      <c r="T692" s="129"/>
      <c r="U692" s="129"/>
      <c r="V692" s="129"/>
      <c r="W692" s="129"/>
      <c r="X692" s="129"/>
      <c r="Y692" s="129"/>
      <c r="Z692" s="129"/>
    </row>
    <row r="693" ht="12.0" customHeight="1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70"/>
      <c r="T693" s="129"/>
      <c r="U693" s="129"/>
      <c r="V693" s="129"/>
      <c r="W693" s="129"/>
      <c r="X693" s="129"/>
      <c r="Y693" s="129"/>
      <c r="Z693" s="129"/>
    </row>
    <row r="694" ht="12.0" customHeight="1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70"/>
      <c r="T694" s="129"/>
      <c r="U694" s="129"/>
      <c r="V694" s="129"/>
      <c r="W694" s="129"/>
      <c r="X694" s="129"/>
      <c r="Y694" s="129"/>
      <c r="Z694" s="129"/>
    </row>
    <row r="695" ht="12.0" customHeight="1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70"/>
      <c r="T695" s="129"/>
      <c r="U695" s="129"/>
      <c r="V695" s="129"/>
      <c r="W695" s="129"/>
      <c r="X695" s="129"/>
      <c r="Y695" s="129"/>
      <c r="Z695" s="129"/>
    </row>
    <row r="696" ht="12.0" customHeight="1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70"/>
      <c r="T696" s="129"/>
      <c r="U696" s="129"/>
      <c r="V696" s="129"/>
      <c r="W696" s="129"/>
      <c r="X696" s="129"/>
      <c r="Y696" s="129"/>
      <c r="Z696" s="129"/>
    </row>
    <row r="697" ht="12.0" customHeight="1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70"/>
      <c r="T697" s="129"/>
      <c r="U697" s="129"/>
      <c r="V697" s="129"/>
      <c r="W697" s="129"/>
      <c r="X697" s="129"/>
      <c r="Y697" s="129"/>
      <c r="Z697" s="129"/>
    </row>
    <row r="698" ht="12.0" customHeight="1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70"/>
      <c r="T698" s="129"/>
      <c r="U698" s="129"/>
      <c r="V698" s="129"/>
      <c r="W698" s="129"/>
      <c r="X698" s="129"/>
      <c r="Y698" s="129"/>
      <c r="Z698" s="129"/>
    </row>
    <row r="699" ht="12.0" customHeight="1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70"/>
      <c r="T699" s="129"/>
      <c r="U699" s="129"/>
      <c r="V699" s="129"/>
      <c r="W699" s="129"/>
      <c r="X699" s="129"/>
      <c r="Y699" s="129"/>
      <c r="Z699" s="129"/>
    </row>
    <row r="700" ht="12.0" customHeight="1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70"/>
      <c r="T700" s="129"/>
      <c r="U700" s="129"/>
      <c r="V700" s="129"/>
      <c r="W700" s="129"/>
      <c r="X700" s="129"/>
      <c r="Y700" s="129"/>
      <c r="Z700" s="129"/>
    </row>
    <row r="701" ht="12.0" customHeight="1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70"/>
      <c r="T701" s="129"/>
      <c r="U701" s="129"/>
      <c r="V701" s="129"/>
      <c r="W701" s="129"/>
      <c r="X701" s="129"/>
      <c r="Y701" s="129"/>
      <c r="Z701" s="129"/>
    </row>
    <row r="702" ht="12.0" customHeight="1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70"/>
      <c r="T702" s="129"/>
      <c r="U702" s="129"/>
      <c r="V702" s="129"/>
      <c r="W702" s="129"/>
      <c r="X702" s="129"/>
      <c r="Y702" s="129"/>
      <c r="Z702" s="129"/>
    </row>
    <row r="703" ht="12.0" customHeight="1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70"/>
      <c r="T703" s="129"/>
      <c r="U703" s="129"/>
      <c r="V703" s="129"/>
      <c r="W703" s="129"/>
      <c r="X703" s="129"/>
      <c r="Y703" s="129"/>
      <c r="Z703" s="129"/>
    </row>
    <row r="704" ht="12.0" customHeight="1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70"/>
      <c r="T704" s="129"/>
      <c r="U704" s="129"/>
      <c r="V704" s="129"/>
      <c r="W704" s="129"/>
      <c r="X704" s="129"/>
      <c r="Y704" s="129"/>
      <c r="Z704" s="129"/>
    </row>
    <row r="705" ht="12.0" customHeight="1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70"/>
      <c r="T705" s="129"/>
      <c r="U705" s="129"/>
      <c r="V705" s="129"/>
      <c r="W705" s="129"/>
      <c r="X705" s="129"/>
      <c r="Y705" s="129"/>
      <c r="Z705" s="129"/>
    </row>
    <row r="706" ht="12.0" customHeight="1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70"/>
      <c r="T706" s="129"/>
      <c r="U706" s="129"/>
      <c r="V706" s="129"/>
      <c r="W706" s="129"/>
      <c r="X706" s="129"/>
      <c r="Y706" s="129"/>
      <c r="Z706" s="129"/>
    </row>
    <row r="707" ht="12.0" customHeight="1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70"/>
      <c r="T707" s="129"/>
      <c r="U707" s="129"/>
      <c r="V707" s="129"/>
      <c r="W707" s="129"/>
      <c r="X707" s="129"/>
      <c r="Y707" s="129"/>
      <c r="Z707" s="129"/>
    </row>
    <row r="708" ht="12.0" customHeight="1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70"/>
      <c r="T708" s="129"/>
      <c r="U708" s="129"/>
      <c r="V708" s="129"/>
      <c r="W708" s="129"/>
      <c r="X708" s="129"/>
      <c r="Y708" s="129"/>
      <c r="Z708" s="129"/>
    </row>
    <row r="709" ht="12.0" customHeight="1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70"/>
      <c r="T709" s="129"/>
      <c r="U709" s="129"/>
      <c r="V709" s="129"/>
      <c r="W709" s="129"/>
      <c r="X709" s="129"/>
      <c r="Y709" s="129"/>
      <c r="Z709" s="129"/>
    </row>
    <row r="710" ht="12.0" customHeight="1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70"/>
      <c r="T710" s="129"/>
      <c r="U710" s="129"/>
      <c r="V710" s="129"/>
      <c r="W710" s="129"/>
      <c r="X710" s="129"/>
      <c r="Y710" s="129"/>
      <c r="Z710" s="129"/>
    </row>
    <row r="711" ht="12.0" customHeight="1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70"/>
      <c r="T711" s="129"/>
      <c r="U711" s="129"/>
      <c r="V711" s="129"/>
      <c r="W711" s="129"/>
      <c r="X711" s="129"/>
      <c r="Y711" s="129"/>
      <c r="Z711" s="129"/>
    </row>
    <row r="712" ht="12.0" customHeight="1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70"/>
      <c r="T712" s="129"/>
      <c r="U712" s="129"/>
      <c r="V712" s="129"/>
      <c r="W712" s="129"/>
      <c r="X712" s="129"/>
      <c r="Y712" s="129"/>
      <c r="Z712" s="129"/>
    </row>
    <row r="713" ht="12.0" customHeight="1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70"/>
      <c r="T713" s="129"/>
      <c r="U713" s="129"/>
      <c r="V713" s="129"/>
      <c r="W713" s="129"/>
      <c r="X713" s="129"/>
      <c r="Y713" s="129"/>
      <c r="Z713" s="129"/>
    </row>
    <row r="714" ht="12.0" customHeight="1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70"/>
      <c r="T714" s="129"/>
      <c r="U714" s="129"/>
      <c r="V714" s="129"/>
      <c r="W714" s="129"/>
      <c r="X714" s="129"/>
      <c r="Y714" s="129"/>
      <c r="Z714" s="129"/>
    </row>
    <row r="715" ht="12.0" customHeight="1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70"/>
      <c r="T715" s="129"/>
      <c r="U715" s="129"/>
      <c r="V715" s="129"/>
      <c r="W715" s="129"/>
      <c r="X715" s="129"/>
      <c r="Y715" s="129"/>
      <c r="Z715" s="129"/>
    </row>
    <row r="716" ht="12.0" customHeight="1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70"/>
      <c r="T716" s="129"/>
      <c r="U716" s="129"/>
      <c r="V716" s="129"/>
      <c r="W716" s="129"/>
      <c r="X716" s="129"/>
      <c r="Y716" s="129"/>
      <c r="Z716" s="129"/>
    </row>
    <row r="717" ht="12.0" customHeight="1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70"/>
      <c r="T717" s="129"/>
      <c r="U717" s="129"/>
      <c r="V717" s="129"/>
      <c r="W717" s="129"/>
      <c r="X717" s="129"/>
      <c r="Y717" s="129"/>
      <c r="Z717" s="129"/>
    </row>
    <row r="718" ht="12.0" customHeight="1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70"/>
      <c r="T718" s="129"/>
      <c r="U718" s="129"/>
      <c r="V718" s="129"/>
      <c r="W718" s="129"/>
      <c r="X718" s="129"/>
      <c r="Y718" s="129"/>
      <c r="Z718" s="129"/>
    </row>
    <row r="719" ht="12.0" customHeight="1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70"/>
      <c r="T719" s="129"/>
      <c r="U719" s="129"/>
      <c r="V719" s="129"/>
      <c r="W719" s="129"/>
      <c r="X719" s="129"/>
      <c r="Y719" s="129"/>
      <c r="Z719" s="129"/>
    </row>
    <row r="720" ht="12.0" customHeight="1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70"/>
      <c r="T720" s="129"/>
      <c r="U720" s="129"/>
      <c r="V720" s="129"/>
      <c r="W720" s="129"/>
      <c r="X720" s="129"/>
      <c r="Y720" s="129"/>
      <c r="Z720" s="129"/>
    </row>
    <row r="721" ht="12.0" customHeight="1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70"/>
      <c r="T721" s="129"/>
      <c r="U721" s="129"/>
      <c r="V721" s="129"/>
      <c r="W721" s="129"/>
      <c r="X721" s="129"/>
      <c r="Y721" s="129"/>
      <c r="Z721" s="129"/>
    </row>
    <row r="722" ht="12.0" customHeight="1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70"/>
      <c r="T722" s="129"/>
      <c r="U722" s="129"/>
      <c r="V722" s="129"/>
      <c r="W722" s="129"/>
      <c r="X722" s="129"/>
      <c r="Y722" s="129"/>
      <c r="Z722" s="129"/>
    </row>
    <row r="723" ht="12.0" customHeight="1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70"/>
      <c r="T723" s="129"/>
      <c r="U723" s="129"/>
      <c r="V723" s="129"/>
      <c r="W723" s="129"/>
      <c r="X723" s="129"/>
      <c r="Y723" s="129"/>
      <c r="Z723" s="129"/>
    </row>
    <row r="724" ht="12.0" customHeight="1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70"/>
      <c r="T724" s="129"/>
      <c r="U724" s="129"/>
      <c r="V724" s="129"/>
      <c r="W724" s="129"/>
      <c r="X724" s="129"/>
      <c r="Y724" s="129"/>
      <c r="Z724" s="129"/>
    </row>
    <row r="725" ht="12.0" customHeight="1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70"/>
      <c r="T725" s="129"/>
      <c r="U725" s="129"/>
      <c r="V725" s="129"/>
      <c r="W725" s="129"/>
      <c r="X725" s="129"/>
      <c r="Y725" s="129"/>
      <c r="Z725" s="129"/>
    </row>
    <row r="726" ht="12.0" customHeight="1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70"/>
      <c r="T726" s="129"/>
      <c r="U726" s="129"/>
      <c r="V726" s="129"/>
      <c r="W726" s="129"/>
      <c r="X726" s="129"/>
      <c r="Y726" s="129"/>
      <c r="Z726" s="129"/>
    </row>
    <row r="727" ht="12.0" customHeight="1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70"/>
      <c r="T727" s="129"/>
      <c r="U727" s="129"/>
      <c r="V727" s="129"/>
      <c r="W727" s="129"/>
      <c r="X727" s="129"/>
      <c r="Y727" s="129"/>
      <c r="Z727" s="129"/>
    </row>
    <row r="728" ht="12.0" customHeight="1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70"/>
      <c r="T728" s="129"/>
      <c r="U728" s="129"/>
      <c r="V728" s="129"/>
      <c r="W728" s="129"/>
      <c r="X728" s="129"/>
      <c r="Y728" s="129"/>
      <c r="Z728" s="129"/>
    </row>
    <row r="729" ht="12.0" customHeight="1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70"/>
      <c r="T729" s="129"/>
      <c r="U729" s="129"/>
      <c r="V729" s="129"/>
      <c r="W729" s="129"/>
      <c r="X729" s="129"/>
      <c r="Y729" s="129"/>
      <c r="Z729" s="129"/>
    </row>
    <row r="730" ht="12.0" customHeight="1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70"/>
      <c r="T730" s="129"/>
      <c r="U730" s="129"/>
      <c r="V730" s="129"/>
      <c r="W730" s="129"/>
      <c r="X730" s="129"/>
      <c r="Y730" s="129"/>
      <c r="Z730" s="129"/>
    </row>
    <row r="731" ht="12.0" customHeight="1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70"/>
      <c r="T731" s="129"/>
      <c r="U731" s="129"/>
      <c r="V731" s="129"/>
      <c r="W731" s="129"/>
      <c r="X731" s="129"/>
      <c r="Y731" s="129"/>
      <c r="Z731" s="129"/>
    </row>
    <row r="732" ht="12.0" customHeight="1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70"/>
      <c r="T732" s="129"/>
      <c r="U732" s="129"/>
      <c r="V732" s="129"/>
      <c r="W732" s="129"/>
      <c r="X732" s="129"/>
      <c r="Y732" s="129"/>
      <c r="Z732" s="129"/>
    </row>
    <row r="733" ht="12.0" customHeight="1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70"/>
      <c r="T733" s="129"/>
      <c r="U733" s="129"/>
      <c r="V733" s="129"/>
      <c r="W733" s="129"/>
      <c r="X733" s="129"/>
      <c r="Y733" s="129"/>
      <c r="Z733" s="129"/>
    </row>
    <row r="734" ht="12.0" customHeight="1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70"/>
      <c r="T734" s="129"/>
      <c r="U734" s="129"/>
      <c r="V734" s="129"/>
      <c r="W734" s="129"/>
      <c r="X734" s="129"/>
      <c r="Y734" s="129"/>
      <c r="Z734" s="129"/>
    </row>
    <row r="735" ht="12.0" customHeight="1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70"/>
      <c r="T735" s="129"/>
      <c r="U735" s="129"/>
      <c r="V735" s="129"/>
      <c r="W735" s="129"/>
      <c r="X735" s="129"/>
      <c r="Y735" s="129"/>
      <c r="Z735" s="129"/>
    </row>
    <row r="736" ht="12.0" customHeight="1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70"/>
      <c r="T736" s="129"/>
      <c r="U736" s="129"/>
      <c r="V736" s="129"/>
      <c r="W736" s="129"/>
      <c r="X736" s="129"/>
      <c r="Y736" s="129"/>
      <c r="Z736" s="129"/>
    </row>
    <row r="737" ht="12.0" customHeight="1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70"/>
      <c r="T737" s="129"/>
      <c r="U737" s="129"/>
      <c r="V737" s="129"/>
      <c r="W737" s="129"/>
      <c r="X737" s="129"/>
      <c r="Y737" s="129"/>
      <c r="Z737" s="129"/>
    </row>
    <row r="738" ht="12.0" customHeight="1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70"/>
      <c r="T738" s="129"/>
      <c r="U738" s="129"/>
      <c r="V738" s="129"/>
      <c r="W738" s="129"/>
      <c r="X738" s="129"/>
      <c r="Y738" s="129"/>
      <c r="Z738" s="129"/>
    </row>
    <row r="739" ht="12.0" customHeight="1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70"/>
      <c r="T739" s="129"/>
      <c r="U739" s="129"/>
      <c r="V739" s="129"/>
      <c r="W739" s="129"/>
      <c r="X739" s="129"/>
      <c r="Y739" s="129"/>
      <c r="Z739" s="129"/>
    </row>
    <row r="740" ht="12.0" customHeight="1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70"/>
      <c r="T740" s="129"/>
      <c r="U740" s="129"/>
      <c r="V740" s="129"/>
      <c r="W740" s="129"/>
      <c r="X740" s="129"/>
      <c r="Y740" s="129"/>
      <c r="Z740" s="129"/>
    </row>
    <row r="741" ht="12.0" customHeight="1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70"/>
      <c r="T741" s="129"/>
      <c r="U741" s="129"/>
      <c r="V741" s="129"/>
      <c r="W741" s="129"/>
      <c r="X741" s="129"/>
      <c r="Y741" s="129"/>
      <c r="Z741" s="129"/>
    </row>
    <row r="742" ht="12.0" customHeight="1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70"/>
      <c r="T742" s="129"/>
      <c r="U742" s="129"/>
      <c r="V742" s="129"/>
      <c r="W742" s="129"/>
      <c r="X742" s="129"/>
      <c r="Y742" s="129"/>
      <c r="Z742" s="129"/>
    </row>
    <row r="743" ht="12.0" customHeight="1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70"/>
      <c r="T743" s="129"/>
      <c r="U743" s="129"/>
      <c r="V743" s="129"/>
      <c r="W743" s="129"/>
      <c r="X743" s="129"/>
      <c r="Y743" s="129"/>
      <c r="Z743" s="129"/>
    </row>
    <row r="744" ht="12.0" customHeight="1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70"/>
      <c r="T744" s="129"/>
      <c r="U744" s="129"/>
      <c r="V744" s="129"/>
      <c r="W744" s="129"/>
      <c r="X744" s="129"/>
      <c r="Y744" s="129"/>
      <c r="Z744" s="129"/>
    </row>
    <row r="745" ht="12.0" customHeight="1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70"/>
      <c r="T745" s="129"/>
      <c r="U745" s="129"/>
      <c r="V745" s="129"/>
      <c r="W745" s="129"/>
      <c r="X745" s="129"/>
      <c r="Y745" s="129"/>
      <c r="Z745" s="129"/>
    </row>
    <row r="746" ht="12.0" customHeight="1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70"/>
      <c r="T746" s="129"/>
      <c r="U746" s="129"/>
      <c r="V746" s="129"/>
      <c r="W746" s="129"/>
      <c r="X746" s="129"/>
      <c r="Y746" s="129"/>
      <c r="Z746" s="129"/>
    </row>
    <row r="747" ht="12.0" customHeight="1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70"/>
      <c r="T747" s="129"/>
      <c r="U747" s="129"/>
      <c r="V747" s="129"/>
      <c r="W747" s="129"/>
      <c r="X747" s="129"/>
      <c r="Y747" s="129"/>
      <c r="Z747" s="129"/>
    </row>
    <row r="748" ht="12.0" customHeight="1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70"/>
      <c r="T748" s="129"/>
      <c r="U748" s="129"/>
      <c r="V748" s="129"/>
      <c r="W748" s="129"/>
      <c r="X748" s="129"/>
      <c r="Y748" s="129"/>
      <c r="Z748" s="129"/>
    </row>
    <row r="749" ht="12.0" customHeight="1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70"/>
      <c r="T749" s="129"/>
      <c r="U749" s="129"/>
      <c r="V749" s="129"/>
      <c r="W749" s="129"/>
      <c r="X749" s="129"/>
      <c r="Y749" s="129"/>
      <c r="Z749" s="129"/>
    </row>
    <row r="750" ht="12.0" customHeight="1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70"/>
      <c r="T750" s="129"/>
      <c r="U750" s="129"/>
      <c r="V750" s="129"/>
      <c r="W750" s="129"/>
      <c r="X750" s="129"/>
      <c r="Y750" s="129"/>
      <c r="Z750" s="129"/>
    </row>
    <row r="751" ht="12.0" customHeight="1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70"/>
      <c r="T751" s="129"/>
      <c r="U751" s="129"/>
      <c r="V751" s="129"/>
      <c r="W751" s="129"/>
      <c r="X751" s="129"/>
      <c r="Y751" s="129"/>
      <c r="Z751" s="129"/>
    </row>
    <row r="752" ht="12.0" customHeight="1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70"/>
      <c r="T752" s="129"/>
      <c r="U752" s="129"/>
      <c r="V752" s="129"/>
      <c r="W752" s="129"/>
      <c r="X752" s="129"/>
      <c r="Y752" s="129"/>
      <c r="Z752" s="129"/>
    </row>
    <row r="753" ht="12.0" customHeight="1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70"/>
      <c r="T753" s="129"/>
      <c r="U753" s="129"/>
      <c r="V753" s="129"/>
      <c r="W753" s="129"/>
      <c r="X753" s="129"/>
      <c r="Y753" s="129"/>
      <c r="Z753" s="129"/>
    </row>
    <row r="754" ht="12.0" customHeight="1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70"/>
      <c r="T754" s="129"/>
      <c r="U754" s="129"/>
      <c r="V754" s="129"/>
      <c r="W754" s="129"/>
      <c r="X754" s="129"/>
      <c r="Y754" s="129"/>
      <c r="Z754" s="129"/>
    </row>
    <row r="755" ht="12.0" customHeight="1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70"/>
      <c r="T755" s="129"/>
      <c r="U755" s="129"/>
      <c r="V755" s="129"/>
      <c r="W755" s="129"/>
      <c r="X755" s="129"/>
      <c r="Y755" s="129"/>
      <c r="Z755" s="129"/>
    </row>
    <row r="756" ht="12.0" customHeight="1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70"/>
      <c r="T756" s="129"/>
      <c r="U756" s="129"/>
      <c r="V756" s="129"/>
      <c r="W756" s="129"/>
      <c r="X756" s="129"/>
      <c r="Y756" s="129"/>
      <c r="Z756" s="129"/>
    </row>
    <row r="757" ht="12.0" customHeight="1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70"/>
      <c r="T757" s="129"/>
      <c r="U757" s="129"/>
      <c r="V757" s="129"/>
      <c r="W757" s="129"/>
      <c r="X757" s="129"/>
      <c r="Y757" s="129"/>
      <c r="Z757" s="129"/>
    </row>
    <row r="758" ht="12.0" customHeight="1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70"/>
      <c r="T758" s="129"/>
      <c r="U758" s="129"/>
      <c r="V758" s="129"/>
      <c r="W758" s="129"/>
      <c r="X758" s="129"/>
      <c r="Y758" s="129"/>
      <c r="Z758" s="129"/>
    </row>
    <row r="759" ht="12.0" customHeight="1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70"/>
      <c r="T759" s="129"/>
      <c r="U759" s="129"/>
      <c r="V759" s="129"/>
      <c r="W759" s="129"/>
      <c r="X759" s="129"/>
      <c r="Y759" s="129"/>
      <c r="Z759" s="129"/>
    </row>
    <row r="760" ht="12.0" customHeight="1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70"/>
      <c r="T760" s="129"/>
      <c r="U760" s="129"/>
      <c r="V760" s="129"/>
      <c r="W760" s="129"/>
      <c r="X760" s="129"/>
      <c r="Y760" s="129"/>
      <c r="Z760" s="129"/>
    </row>
    <row r="761" ht="12.0" customHeight="1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70"/>
      <c r="T761" s="129"/>
      <c r="U761" s="129"/>
      <c r="V761" s="129"/>
      <c r="W761" s="129"/>
      <c r="X761" s="129"/>
      <c r="Y761" s="129"/>
      <c r="Z761" s="129"/>
    </row>
    <row r="762" ht="12.0" customHeight="1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70"/>
      <c r="T762" s="129"/>
      <c r="U762" s="129"/>
      <c r="V762" s="129"/>
      <c r="W762" s="129"/>
      <c r="X762" s="129"/>
      <c r="Y762" s="129"/>
      <c r="Z762" s="129"/>
    </row>
    <row r="763" ht="12.0" customHeight="1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70"/>
      <c r="T763" s="129"/>
      <c r="U763" s="129"/>
      <c r="V763" s="129"/>
      <c r="W763" s="129"/>
      <c r="X763" s="129"/>
      <c r="Y763" s="129"/>
      <c r="Z763" s="129"/>
    </row>
    <row r="764" ht="12.0" customHeight="1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70"/>
      <c r="T764" s="129"/>
      <c r="U764" s="129"/>
      <c r="V764" s="129"/>
      <c r="W764" s="129"/>
      <c r="X764" s="129"/>
      <c r="Y764" s="129"/>
      <c r="Z764" s="129"/>
    </row>
    <row r="765" ht="12.0" customHeight="1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70"/>
      <c r="T765" s="129"/>
      <c r="U765" s="129"/>
      <c r="V765" s="129"/>
      <c r="W765" s="129"/>
      <c r="X765" s="129"/>
      <c r="Y765" s="129"/>
      <c r="Z765" s="129"/>
    </row>
    <row r="766" ht="12.0" customHeight="1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70"/>
      <c r="T766" s="129"/>
      <c r="U766" s="129"/>
      <c r="V766" s="129"/>
      <c r="W766" s="129"/>
      <c r="X766" s="129"/>
      <c r="Y766" s="129"/>
      <c r="Z766" s="129"/>
    </row>
    <row r="767" ht="12.0" customHeight="1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70"/>
      <c r="T767" s="129"/>
      <c r="U767" s="129"/>
      <c r="V767" s="129"/>
      <c r="W767" s="129"/>
      <c r="X767" s="129"/>
      <c r="Y767" s="129"/>
      <c r="Z767" s="129"/>
    </row>
    <row r="768" ht="12.0" customHeight="1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70"/>
      <c r="T768" s="129"/>
      <c r="U768" s="129"/>
      <c r="V768" s="129"/>
      <c r="W768" s="129"/>
      <c r="X768" s="129"/>
      <c r="Y768" s="129"/>
      <c r="Z768" s="129"/>
    </row>
    <row r="769" ht="12.0" customHeight="1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70"/>
      <c r="T769" s="129"/>
      <c r="U769" s="129"/>
      <c r="V769" s="129"/>
      <c r="W769" s="129"/>
      <c r="X769" s="129"/>
      <c r="Y769" s="129"/>
      <c r="Z769" s="129"/>
    </row>
    <row r="770" ht="12.0" customHeight="1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70"/>
      <c r="T770" s="129"/>
      <c r="U770" s="129"/>
      <c r="V770" s="129"/>
      <c r="W770" s="129"/>
      <c r="X770" s="129"/>
      <c r="Y770" s="129"/>
      <c r="Z770" s="129"/>
    </row>
    <row r="771" ht="12.0" customHeight="1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70"/>
      <c r="T771" s="129"/>
      <c r="U771" s="129"/>
      <c r="V771" s="129"/>
      <c r="W771" s="129"/>
      <c r="X771" s="129"/>
      <c r="Y771" s="129"/>
      <c r="Z771" s="129"/>
    </row>
    <row r="772" ht="12.0" customHeight="1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70"/>
      <c r="T772" s="129"/>
      <c r="U772" s="129"/>
      <c r="V772" s="129"/>
      <c r="W772" s="129"/>
      <c r="X772" s="129"/>
      <c r="Y772" s="129"/>
      <c r="Z772" s="129"/>
    </row>
    <row r="773" ht="12.0" customHeight="1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70"/>
      <c r="T773" s="129"/>
      <c r="U773" s="129"/>
      <c r="V773" s="129"/>
      <c r="W773" s="129"/>
      <c r="X773" s="129"/>
      <c r="Y773" s="129"/>
      <c r="Z773" s="129"/>
    </row>
    <row r="774" ht="12.0" customHeight="1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70"/>
      <c r="T774" s="129"/>
      <c r="U774" s="129"/>
      <c r="V774" s="129"/>
      <c r="W774" s="129"/>
      <c r="X774" s="129"/>
      <c r="Y774" s="129"/>
      <c r="Z774" s="129"/>
    </row>
    <row r="775" ht="12.0" customHeight="1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70"/>
      <c r="T775" s="129"/>
      <c r="U775" s="129"/>
      <c r="V775" s="129"/>
      <c r="W775" s="129"/>
      <c r="X775" s="129"/>
      <c r="Y775" s="129"/>
      <c r="Z775" s="129"/>
    </row>
    <row r="776" ht="12.0" customHeight="1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70"/>
      <c r="T776" s="129"/>
      <c r="U776" s="129"/>
      <c r="V776" s="129"/>
      <c r="W776" s="129"/>
      <c r="X776" s="129"/>
      <c r="Y776" s="129"/>
      <c r="Z776" s="129"/>
    </row>
    <row r="777" ht="12.0" customHeight="1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70"/>
      <c r="T777" s="129"/>
      <c r="U777" s="129"/>
      <c r="V777" s="129"/>
      <c r="W777" s="129"/>
      <c r="X777" s="129"/>
      <c r="Y777" s="129"/>
      <c r="Z777" s="129"/>
    </row>
    <row r="778" ht="12.0" customHeight="1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70"/>
      <c r="T778" s="129"/>
      <c r="U778" s="129"/>
      <c r="V778" s="129"/>
      <c r="W778" s="129"/>
      <c r="X778" s="129"/>
      <c r="Y778" s="129"/>
      <c r="Z778" s="129"/>
    </row>
    <row r="779" ht="12.0" customHeight="1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70"/>
      <c r="T779" s="129"/>
      <c r="U779" s="129"/>
      <c r="V779" s="129"/>
      <c r="W779" s="129"/>
      <c r="X779" s="129"/>
      <c r="Y779" s="129"/>
      <c r="Z779" s="129"/>
    </row>
    <row r="780" ht="12.0" customHeight="1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70"/>
      <c r="T780" s="129"/>
      <c r="U780" s="129"/>
      <c r="V780" s="129"/>
      <c r="W780" s="129"/>
      <c r="X780" s="129"/>
      <c r="Y780" s="129"/>
      <c r="Z780" s="129"/>
    </row>
    <row r="781" ht="12.0" customHeight="1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70"/>
      <c r="T781" s="129"/>
      <c r="U781" s="129"/>
      <c r="V781" s="129"/>
      <c r="W781" s="129"/>
      <c r="X781" s="129"/>
      <c r="Y781" s="129"/>
      <c r="Z781" s="129"/>
    </row>
    <row r="782" ht="12.0" customHeight="1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70"/>
      <c r="T782" s="129"/>
      <c r="U782" s="129"/>
      <c r="V782" s="129"/>
      <c r="W782" s="129"/>
      <c r="X782" s="129"/>
      <c r="Y782" s="129"/>
      <c r="Z782" s="129"/>
    </row>
    <row r="783" ht="12.0" customHeight="1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70"/>
      <c r="T783" s="129"/>
      <c r="U783" s="129"/>
      <c r="V783" s="129"/>
      <c r="W783" s="129"/>
      <c r="X783" s="129"/>
      <c r="Y783" s="129"/>
      <c r="Z783" s="129"/>
    </row>
    <row r="784" ht="12.0" customHeight="1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70"/>
      <c r="T784" s="129"/>
      <c r="U784" s="129"/>
      <c r="V784" s="129"/>
      <c r="W784" s="129"/>
      <c r="X784" s="129"/>
      <c r="Y784" s="129"/>
      <c r="Z784" s="129"/>
    </row>
    <row r="785" ht="12.0" customHeight="1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70"/>
      <c r="T785" s="129"/>
      <c r="U785" s="129"/>
      <c r="V785" s="129"/>
      <c r="W785" s="129"/>
      <c r="X785" s="129"/>
      <c r="Y785" s="129"/>
      <c r="Z785" s="129"/>
    </row>
    <row r="786" ht="12.0" customHeight="1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70"/>
      <c r="T786" s="129"/>
      <c r="U786" s="129"/>
      <c r="V786" s="129"/>
      <c r="W786" s="129"/>
      <c r="X786" s="129"/>
      <c r="Y786" s="129"/>
      <c r="Z786" s="129"/>
    </row>
    <row r="787" ht="12.0" customHeight="1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70"/>
      <c r="T787" s="129"/>
      <c r="U787" s="129"/>
      <c r="V787" s="129"/>
      <c r="W787" s="129"/>
      <c r="X787" s="129"/>
      <c r="Y787" s="129"/>
      <c r="Z787" s="129"/>
    </row>
    <row r="788" ht="12.0" customHeight="1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70"/>
      <c r="T788" s="129"/>
      <c r="U788" s="129"/>
      <c r="V788" s="129"/>
      <c r="W788" s="129"/>
      <c r="X788" s="129"/>
      <c r="Y788" s="129"/>
      <c r="Z788" s="129"/>
    </row>
    <row r="789" ht="12.0" customHeight="1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70"/>
      <c r="T789" s="129"/>
      <c r="U789" s="129"/>
      <c r="V789" s="129"/>
      <c r="W789" s="129"/>
      <c r="X789" s="129"/>
      <c r="Y789" s="129"/>
      <c r="Z789" s="129"/>
    </row>
    <row r="790" ht="12.0" customHeight="1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70"/>
      <c r="T790" s="129"/>
      <c r="U790" s="129"/>
      <c r="V790" s="129"/>
      <c r="W790" s="129"/>
      <c r="X790" s="129"/>
      <c r="Y790" s="129"/>
      <c r="Z790" s="129"/>
    </row>
    <row r="791" ht="12.0" customHeight="1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70"/>
      <c r="T791" s="129"/>
      <c r="U791" s="129"/>
      <c r="V791" s="129"/>
      <c r="W791" s="129"/>
      <c r="X791" s="129"/>
      <c r="Y791" s="129"/>
      <c r="Z791" s="129"/>
    </row>
    <row r="792" ht="12.0" customHeight="1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70"/>
      <c r="T792" s="129"/>
      <c r="U792" s="129"/>
      <c r="V792" s="129"/>
      <c r="W792" s="129"/>
      <c r="X792" s="129"/>
      <c r="Y792" s="129"/>
      <c r="Z792" s="129"/>
    </row>
    <row r="793" ht="12.0" customHeight="1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70"/>
      <c r="T793" s="129"/>
      <c r="U793" s="129"/>
      <c r="V793" s="129"/>
      <c r="W793" s="129"/>
      <c r="X793" s="129"/>
      <c r="Y793" s="129"/>
      <c r="Z793" s="129"/>
    </row>
    <row r="794" ht="12.0" customHeight="1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70"/>
      <c r="T794" s="129"/>
      <c r="U794" s="129"/>
      <c r="V794" s="129"/>
      <c r="W794" s="129"/>
      <c r="X794" s="129"/>
      <c r="Y794" s="129"/>
      <c r="Z794" s="129"/>
    </row>
    <row r="795" ht="12.0" customHeight="1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70"/>
      <c r="T795" s="129"/>
      <c r="U795" s="129"/>
      <c r="V795" s="129"/>
      <c r="W795" s="129"/>
      <c r="X795" s="129"/>
      <c r="Y795" s="129"/>
      <c r="Z795" s="129"/>
    </row>
    <row r="796" ht="12.0" customHeight="1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70"/>
      <c r="T796" s="129"/>
      <c r="U796" s="129"/>
      <c r="V796" s="129"/>
      <c r="W796" s="129"/>
      <c r="X796" s="129"/>
      <c r="Y796" s="129"/>
      <c r="Z796" s="129"/>
    </row>
    <row r="797" ht="12.0" customHeight="1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70"/>
      <c r="T797" s="129"/>
      <c r="U797" s="129"/>
      <c r="V797" s="129"/>
      <c r="W797" s="129"/>
      <c r="X797" s="129"/>
      <c r="Y797" s="129"/>
      <c r="Z797" s="129"/>
    </row>
    <row r="798" ht="12.0" customHeight="1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70"/>
      <c r="T798" s="129"/>
      <c r="U798" s="129"/>
      <c r="V798" s="129"/>
      <c r="W798" s="129"/>
      <c r="X798" s="129"/>
      <c r="Y798" s="129"/>
      <c r="Z798" s="129"/>
    </row>
    <row r="799" ht="12.0" customHeight="1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70"/>
      <c r="T799" s="129"/>
      <c r="U799" s="129"/>
      <c r="V799" s="129"/>
      <c r="W799" s="129"/>
      <c r="X799" s="129"/>
      <c r="Y799" s="129"/>
      <c r="Z799" s="129"/>
    </row>
    <row r="800" ht="12.0" customHeight="1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70"/>
      <c r="T800" s="129"/>
      <c r="U800" s="129"/>
      <c r="V800" s="129"/>
      <c r="W800" s="129"/>
      <c r="X800" s="129"/>
      <c r="Y800" s="129"/>
      <c r="Z800" s="129"/>
    </row>
    <row r="801" ht="12.0" customHeight="1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70"/>
      <c r="T801" s="129"/>
      <c r="U801" s="129"/>
      <c r="V801" s="129"/>
      <c r="W801" s="129"/>
      <c r="X801" s="129"/>
      <c r="Y801" s="129"/>
      <c r="Z801" s="129"/>
    </row>
    <row r="802" ht="12.0" customHeight="1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70"/>
      <c r="T802" s="129"/>
      <c r="U802" s="129"/>
      <c r="V802" s="129"/>
      <c r="W802" s="129"/>
      <c r="X802" s="129"/>
      <c r="Y802" s="129"/>
      <c r="Z802" s="129"/>
    </row>
    <row r="803" ht="12.0" customHeight="1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70"/>
      <c r="T803" s="129"/>
      <c r="U803" s="129"/>
      <c r="V803" s="129"/>
      <c r="W803" s="129"/>
      <c r="X803" s="129"/>
      <c r="Y803" s="129"/>
      <c r="Z803" s="129"/>
    </row>
    <row r="804" ht="12.0" customHeight="1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70"/>
      <c r="T804" s="129"/>
      <c r="U804" s="129"/>
      <c r="V804" s="129"/>
      <c r="W804" s="129"/>
      <c r="X804" s="129"/>
      <c r="Y804" s="129"/>
      <c r="Z804" s="129"/>
    </row>
    <row r="805" ht="12.0" customHeight="1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70"/>
      <c r="T805" s="129"/>
      <c r="U805" s="129"/>
      <c r="V805" s="129"/>
      <c r="W805" s="129"/>
      <c r="X805" s="129"/>
      <c r="Y805" s="129"/>
      <c r="Z805" s="129"/>
    </row>
    <row r="806" ht="12.0" customHeight="1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70"/>
      <c r="T806" s="129"/>
      <c r="U806" s="129"/>
      <c r="V806" s="129"/>
      <c r="W806" s="129"/>
      <c r="X806" s="129"/>
      <c r="Y806" s="129"/>
      <c r="Z806" s="129"/>
    </row>
    <row r="807" ht="12.0" customHeight="1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70"/>
      <c r="T807" s="129"/>
      <c r="U807" s="129"/>
      <c r="V807" s="129"/>
      <c r="W807" s="129"/>
      <c r="X807" s="129"/>
      <c r="Y807" s="129"/>
      <c r="Z807" s="129"/>
    </row>
    <row r="808" ht="12.0" customHeight="1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70"/>
      <c r="T808" s="129"/>
      <c r="U808" s="129"/>
      <c r="V808" s="129"/>
      <c r="W808" s="129"/>
      <c r="X808" s="129"/>
      <c r="Y808" s="129"/>
      <c r="Z808" s="129"/>
    </row>
    <row r="809" ht="12.0" customHeight="1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70"/>
      <c r="T809" s="129"/>
      <c r="U809" s="129"/>
      <c r="V809" s="129"/>
      <c r="W809" s="129"/>
      <c r="X809" s="129"/>
      <c r="Y809" s="129"/>
      <c r="Z809" s="129"/>
    </row>
    <row r="810" ht="12.0" customHeight="1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70"/>
      <c r="T810" s="129"/>
      <c r="U810" s="129"/>
      <c r="V810" s="129"/>
      <c r="W810" s="129"/>
      <c r="X810" s="129"/>
      <c r="Y810" s="129"/>
      <c r="Z810" s="129"/>
    </row>
    <row r="811" ht="12.0" customHeight="1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70"/>
      <c r="T811" s="129"/>
      <c r="U811" s="129"/>
      <c r="V811" s="129"/>
      <c r="W811" s="129"/>
      <c r="X811" s="129"/>
      <c r="Y811" s="129"/>
      <c r="Z811" s="129"/>
    </row>
    <row r="812" ht="12.0" customHeight="1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70"/>
      <c r="T812" s="129"/>
      <c r="U812" s="129"/>
      <c r="V812" s="129"/>
      <c r="W812" s="129"/>
      <c r="X812" s="129"/>
      <c r="Y812" s="129"/>
      <c r="Z812" s="129"/>
    </row>
    <row r="813" ht="12.0" customHeight="1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70"/>
      <c r="T813" s="129"/>
      <c r="U813" s="129"/>
      <c r="V813" s="129"/>
      <c r="W813" s="129"/>
      <c r="X813" s="129"/>
      <c r="Y813" s="129"/>
      <c r="Z813" s="129"/>
    </row>
    <row r="814" ht="12.0" customHeight="1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70"/>
      <c r="T814" s="129"/>
      <c r="U814" s="129"/>
      <c r="V814" s="129"/>
      <c r="W814" s="129"/>
      <c r="X814" s="129"/>
      <c r="Y814" s="129"/>
      <c r="Z814" s="129"/>
    </row>
    <row r="815" ht="12.0" customHeight="1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70"/>
      <c r="T815" s="129"/>
      <c r="U815" s="129"/>
      <c r="V815" s="129"/>
      <c r="W815" s="129"/>
      <c r="X815" s="129"/>
      <c r="Y815" s="129"/>
      <c r="Z815" s="129"/>
    </row>
    <row r="816" ht="12.0" customHeight="1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70"/>
      <c r="T816" s="129"/>
      <c r="U816" s="129"/>
      <c r="V816" s="129"/>
      <c r="W816" s="129"/>
      <c r="X816" s="129"/>
      <c r="Y816" s="129"/>
      <c r="Z816" s="129"/>
    </row>
    <row r="817" ht="12.0" customHeight="1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70"/>
      <c r="T817" s="129"/>
      <c r="U817" s="129"/>
      <c r="V817" s="129"/>
      <c r="W817" s="129"/>
      <c r="X817" s="129"/>
      <c r="Y817" s="129"/>
      <c r="Z817" s="129"/>
    </row>
    <row r="818" ht="12.0" customHeight="1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70"/>
      <c r="T818" s="129"/>
      <c r="U818" s="129"/>
      <c r="V818" s="129"/>
      <c r="W818" s="129"/>
      <c r="X818" s="129"/>
      <c r="Y818" s="129"/>
      <c r="Z818" s="129"/>
    </row>
    <row r="819" ht="12.0" customHeight="1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70"/>
      <c r="T819" s="129"/>
      <c r="U819" s="129"/>
      <c r="V819" s="129"/>
      <c r="W819" s="129"/>
      <c r="X819" s="129"/>
      <c r="Y819" s="129"/>
      <c r="Z819" s="129"/>
    </row>
    <row r="820" ht="12.0" customHeight="1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70"/>
      <c r="T820" s="129"/>
      <c r="U820" s="129"/>
      <c r="V820" s="129"/>
      <c r="W820" s="129"/>
      <c r="X820" s="129"/>
      <c r="Y820" s="129"/>
      <c r="Z820" s="129"/>
    </row>
    <row r="821" ht="12.0" customHeight="1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70"/>
      <c r="T821" s="129"/>
      <c r="U821" s="129"/>
      <c r="V821" s="129"/>
      <c r="W821" s="129"/>
      <c r="X821" s="129"/>
      <c r="Y821" s="129"/>
      <c r="Z821" s="129"/>
    </row>
    <row r="822" ht="12.0" customHeight="1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70"/>
      <c r="T822" s="129"/>
      <c r="U822" s="129"/>
      <c r="V822" s="129"/>
      <c r="W822" s="129"/>
      <c r="X822" s="129"/>
      <c r="Y822" s="129"/>
      <c r="Z822" s="129"/>
    </row>
    <row r="823" ht="12.0" customHeight="1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70"/>
      <c r="T823" s="129"/>
      <c r="U823" s="129"/>
      <c r="V823" s="129"/>
      <c r="W823" s="129"/>
      <c r="X823" s="129"/>
      <c r="Y823" s="129"/>
      <c r="Z823" s="129"/>
    </row>
    <row r="824" ht="12.0" customHeight="1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70"/>
      <c r="T824" s="129"/>
      <c r="U824" s="129"/>
      <c r="V824" s="129"/>
      <c r="W824" s="129"/>
      <c r="X824" s="129"/>
      <c r="Y824" s="129"/>
      <c r="Z824" s="129"/>
    </row>
    <row r="825" ht="12.0" customHeight="1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70"/>
      <c r="T825" s="129"/>
      <c r="U825" s="129"/>
      <c r="V825" s="129"/>
      <c r="W825" s="129"/>
      <c r="X825" s="129"/>
      <c r="Y825" s="129"/>
      <c r="Z825" s="129"/>
    </row>
    <row r="826" ht="12.0" customHeight="1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70"/>
      <c r="T826" s="129"/>
      <c r="U826" s="129"/>
      <c r="V826" s="129"/>
      <c r="W826" s="129"/>
      <c r="X826" s="129"/>
      <c r="Y826" s="129"/>
      <c r="Z826" s="129"/>
    </row>
    <row r="827" ht="12.0" customHeight="1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70"/>
      <c r="T827" s="129"/>
      <c r="U827" s="129"/>
      <c r="V827" s="129"/>
      <c r="W827" s="129"/>
      <c r="X827" s="129"/>
      <c r="Y827" s="129"/>
      <c r="Z827" s="129"/>
    </row>
    <row r="828" ht="12.0" customHeight="1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70"/>
      <c r="T828" s="129"/>
      <c r="U828" s="129"/>
      <c r="V828" s="129"/>
      <c r="W828" s="129"/>
      <c r="X828" s="129"/>
      <c r="Y828" s="129"/>
      <c r="Z828" s="129"/>
    </row>
    <row r="829" ht="12.0" customHeight="1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70"/>
      <c r="T829" s="129"/>
      <c r="U829" s="129"/>
      <c r="V829" s="129"/>
      <c r="W829" s="129"/>
      <c r="X829" s="129"/>
      <c r="Y829" s="129"/>
      <c r="Z829" s="129"/>
    </row>
    <row r="830" ht="12.0" customHeight="1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70"/>
      <c r="T830" s="129"/>
      <c r="U830" s="129"/>
      <c r="V830" s="129"/>
      <c r="W830" s="129"/>
      <c r="X830" s="129"/>
      <c r="Y830" s="129"/>
      <c r="Z830" s="129"/>
    </row>
    <row r="831" ht="12.0" customHeight="1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70"/>
      <c r="T831" s="129"/>
      <c r="U831" s="129"/>
      <c r="V831" s="129"/>
      <c r="W831" s="129"/>
      <c r="X831" s="129"/>
      <c r="Y831" s="129"/>
      <c r="Z831" s="129"/>
    </row>
    <row r="832" ht="12.0" customHeight="1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70"/>
      <c r="T832" s="129"/>
      <c r="U832" s="129"/>
      <c r="V832" s="129"/>
      <c r="W832" s="129"/>
      <c r="X832" s="129"/>
      <c r="Y832" s="129"/>
      <c r="Z832" s="129"/>
    </row>
    <row r="833" ht="12.0" customHeight="1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70"/>
      <c r="T833" s="129"/>
      <c r="U833" s="129"/>
      <c r="V833" s="129"/>
      <c r="W833" s="129"/>
      <c r="X833" s="129"/>
      <c r="Y833" s="129"/>
      <c r="Z833" s="129"/>
    </row>
    <row r="834" ht="12.0" customHeight="1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70"/>
      <c r="T834" s="129"/>
      <c r="U834" s="129"/>
      <c r="V834" s="129"/>
      <c r="W834" s="129"/>
      <c r="X834" s="129"/>
      <c r="Y834" s="129"/>
      <c r="Z834" s="129"/>
    </row>
    <row r="835" ht="12.0" customHeight="1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70"/>
      <c r="T835" s="129"/>
      <c r="U835" s="129"/>
      <c r="V835" s="129"/>
      <c r="W835" s="129"/>
      <c r="X835" s="129"/>
      <c r="Y835" s="129"/>
      <c r="Z835" s="129"/>
    </row>
    <row r="836" ht="12.0" customHeight="1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70"/>
      <c r="T836" s="129"/>
      <c r="U836" s="129"/>
      <c r="V836" s="129"/>
      <c r="W836" s="129"/>
      <c r="X836" s="129"/>
      <c r="Y836" s="129"/>
      <c r="Z836" s="129"/>
    </row>
    <row r="837" ht="12.0" customHeight="1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70"/>
      <c r="T837" s="129"/>
      <c r="U837" s="129"/>
      <c r="V837" s="129"/>
      <c r="W837" s="129"/>
      <c r="X837" s="129"/>
      <c r="Y837" s="129"/>
      <c r="Z837" s="129"/>
    </row>
    <row r="838" ht="12.0" customHeight="1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70"/>
      <c r="T838" s="129"/>
      <c r="U838" s="129"/>
      <c r="V838" s="129"/>
      <c r="W838" s="129"/>
      <c r="X838" s="129"/>
      <c r="Y838" s="129"/>
      <c r="Z838" s="129"/>
    </row>
    <row r="839" ht="12.0" customHeight="1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70"/>
      <c r="T839" s="129"/>
      <c r="U839" s="129"/>
      <c r="V839" s="129"/>
      <c r="W839" s="129"/>
      <c r="X839" s="129"/>
      <c r="Y839" s="129"/>
      <c r="Z839" s="129"/>
    </row>
    <row r="840" ht="12.0" customHeight="1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70"/>
      <c r="T840" s="129"/>
      <c r="U840" s="129"/>
      <c r="V840" s="129"/>
      <c r="W840" s="129"/>
      <c r="X840" s="129"/>
      <c r="Y840" s="129"/>
      <c r="Z840" s="129"/>
    </row>
    <row r="841" ht="12.0" customHeight="1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70"/>
      <c r="T841" s="129"/>
      <c r="U841" s="129"/>
      <c r="V841" s="129"/>
      <c r="W841" s="129"/>
      <c r="X841" s="129"/>
      <c r="Y841" s="129"/>
      <c r="Z841" s="129"/>
    </row>
    <row r="842" ht="12.0" customHeight="1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70"/>
      <c r="T842" s="129"/>
      <c r="U842" s="129"/>
      <c r="V842" s="129"/>
      <c r="W842" s="129"/>
      <c r="X842" s="129"/>
      <c r="Y842" s="129"/>
      <c r="Z842" s="129"/>
    </row>
    <row r="843" ht="12.0" customHeight="1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70"/>
      <c r="T843" s="129"/>
      <c r="U843" s="129"/>
      <c r="V843" s="129"/>
      <c r="W843" s="129"/>
      <c r="X843" s="129"/>
      <c r="Y843" s="129"/>
      <c r="Z843" s="129"/>
    </row>
    <row r="844" ht="12.0" customHeight="1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70"/>
      <c r="T844" s="129"/>
      <c r="U844" s="129"/>
      <c r="V844" s="129"/>
      <c r="W844" s="129"/>
      <c r="X844" s="129"/>
      <c r="Y844" s="129"/>
      <c r="Z844" s="129"/>
    </row>
    <row r="845" ht="12.0" customHeight="1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70"/>
      <c r="T845" s="129"/>
      <c r="U845" s="129"/>
      <c r="V845" s="129"/>
      <c r="W845" s="129"/>
      <c r="X845" s="129"/>
      <c r="Y845" s="129"/>
      <c r="Z845" s="129"/>
    </row>
    <row r="846" ht="12.0" customHeight="1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70"/>
      <c r="T846" s="129"/>
      <c r="U846" s="129"/>
      <c r="V846" s="129"/>
      <c r="W846" s="129"/>
      <c r="X846" s="129"/>
      <c r="Y846" s="129"/>
      <c r="Z846" s="129"/>
    </row>
    <row r="847" ht="12.0" customHeight="1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70"/>
      <c r="T847" s="129"/>
      <c r="U847" s="129"/>
      <c r="V847" s="129"/>
      <c r="W847" s="129"/>
      <c r="X847" s="129"/>
      <c r="Y847" s="129"/>
      <c r="Z847" s="129"/>
    </row>
    <row r="848" ht="12.0" customHeight="1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70"/>
      <c r="T848" s="129"/>
      <c r="U848" s="129"/>
      <c r="V848" s="129"/>
      <c r="W848" s="129"/>
      <c r="X848" s="129"/>
      <c r="Y848" s="129"/>
      <c r="Z848" s="129"/>
    </row>
    <row r="849" ht="12.0" customHeight="1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70"/>
      <c r="T849" s="129"/>
      <c r="U849" s="129"/>
      <c r="V849" s="129"/>
      <c r="W849" s="129"/>
      <c r="X849" s="129"/>
      <c r="Y849" s="129"/>
      <c r="Z849" s="129"/>
    </row>
    <row r="850" ht="12.0" customHeight="1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70"/>
      <c r="T850" s="129"/>
      <c r="U850" s="129"/>
      <c r="V850" s="129"/>
      <c r="W850" s="129"/>
      <c r="X850" s="129"/>
      <c r="Y850" s="129"/>
      <c r="Z850" s="129"/>
    </row>
    <row r="851" ht="12.0" customHeight="1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70"/>
      <c r="T851" s="129"/>
      <c r="U851" s="129"/>
      <c r="V851" s="129"/>
      <c r="W851" s="129"/>
      <c r="X851" s="129"/>
      <c r="Y851" s="129"/>
      <c r="Z851" s="129"/>
    </row>
    <row r="852" ht="12.0" customHeight="1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70"/>
      <c r="T852" s="129"/>
      <c r="U852" s="129"/>
      <c r="V852" s="129"/>
      <c r="W852" s="129"/>
      <c r="X852" s="129"/>
      <c r="Y852" s="129"/>
      <c r="Z852" s="129"/>
    </row>
    <row r="853" ht="12.0" customHeight="1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70"/>
      <c r="T853" s="129"/>
      <c r="U853" s="129"/>
      <c r="V853" s="129"/>
      <c r="W853" s="129"/>
      <c r="X853" s="129"/>
      <c r="Y853" s="129"/>
      <c r="Z853" s="129"/>
    </row>
    <row r="854" ht="12.0" customHeight="1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70"/>
      <c r="T854" s="129"/>
      <c r="U854" s="129"/>
      <c r="V854" s="129"/>
      <c r="W854" s="129"/>
      <c r="X854" s="129"/>
      <c r="Y854" s="129"/>
      <c r="Z854" s="129"/>
    </row>
    <row r="855" ht="12.0" customHeight="1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70"/>
      <c r="T855" s="129"/>
      <c r="U855" s="129"/>
      <c r="V855" s="129"/>
      <c r="W855" s="129"/>
      <c r="X855" s="129"/>
      <c r="Y855" s="129"/>
      <c r="Z855" s="129"/>
    </row>
    <row r="856" ht="12.0" customHeight="1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70"/>
      <c r="T856" s="129"/>
      <c r="U856" s="129"/>
      <c r="V856" s="129"/>
      <c r="W856" s="129"/>
      <c r="X856" s="129"/>
      <c r="Y856" s="129"/>
      <c r="Z856" s="129"/>
    </row>
    <row r="857" ht="12.0" customHeight="1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70"/>
      <c r="T857" s="129"/>
      <c r="U857" s="129"/>
      <c r="V857" s="129"/>
      <c r="W857" s="129"/>
      <c r="X857" s="129"/>
      <c r="Y857" s="129"/>
      <c r="Z857" s="129"/>
    </row>
    <row r="858" ht="12.0" customHeight="1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70"/>
      <c r="T858" s="129"/>
      <c r="U858" s="129"/>
      <c r="V858" s="129"/>
      <c r="W858" s="129"/>
      <c r="X858" s="129"/>
      <c r="Y858" s="129"/>
      <c r="Z858" s="129"/>
    </row>
    <row r="859" ht="12.0" customHeight="1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70"/>
      <c r="T859" s="129"/>
      <c r="U859" s="129"/>
      <c r="V859" s="129"/>
      <c r="W859" s="129"/>
      <c r="X859" s="129"/>
      <c r="Y859" s="129"/>
      <c r="Z859" s="129"/>
    </row>
    <row r="860" ht="12.0" customHeight="1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70"/>
      <c r="T860" s="129"/>
      <c r="U860" s="129"/>
      <c r="V860" s="129"/>
      <c r="W860" s="129"/>
      <c r="X860" s="129"/>
      <c r="Y860" s="129"/>
      <c r="Z860" s="129"/>
    </row>
    <row r="861" ht="12.0" customHeight="1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70"/>
      <c r="T861" s="129"/>
      <c r="U861" s="129"/>
      <c r="V861" s="129"/>
      <c r="W861" s="129"/>
      <c r="X861" s="129"/>
      <c r="Y861" s="129"/>
      <c r="Z861" s="129"/>
    </row>
    <row r="862" ht="12.0" customHeight="1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70"/>
      <c r="T862" s="129"/>
      <c r="U862" s="129"/>
      <c r="V862" s="129"/>
      <c r="W862" s="129"/>
      <c r="X862" s="129"/>
      <c r="Y862" s="129"/>
      <c r="Z862" s="129"/>
    </row>
    <row r="863" ht="12.0" customHeight="1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70"/>
      <c r="T863" s="129"/>
      <c r="U863" s="129"/>
      <c r="V863" s="129"/>
      <c r="W863" s="129"/>
      <c r="X863" s="129"/>
      <c r="Y863" s="129"/>
      <c r="Z863" s="129"/>
    </row>
    <row r="864" ht="12.0" customHeight="1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70"/>
      <c r="T864" s="129"/>
      <c r="U864" s="129"/>
      <c r="V864" s="129"/>
      <c r="W864" s="129"/>
      <c r="X864" s="129"/>
      <c r="Y864" s="129"/>
      <c r="Z864" s="129"/>
    </row>
    <row r="865" ht="12.0" customHeight="1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70"/>
      <c r="T865" s="129"/>
      <c r="U865" s="129"/>
      <c r="V865" s="129"/>
      <c r="W865" s="129"/>
      <c r="X865" s="129"/>
      <c r="Y865" s="129"/>
      <c r="Z865" s="129"/>
    </row>
    <row r="866" ht="12.0" customHeight="1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70"/>
      <c r="T866" s="129"/>
      <c r="U866" s="129"/>
      <c r="V866" s="129"/>
      <c r="W866" s="129"/>
      <c r="X866" s="129"/>
      <c r="Y866" s="129"/>
      <c r="Z866" s="129"/>
    </row>
    <row r="867" ht="12.0" customHeight="1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70"/>
      <c r="T867" s="129"/>
      <c r="U867" s="129"/>
      <c r="V867" s="129"/>
      <c r="W867" s="129"/>
      <c r="X867" s="129"/>
      <c r="Y867" s="129"/>
      <c r="Z867" s="129"/>
    </row>
    <row r="868" ht="12.0" customHeight="1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70"/>
      <c r="T868" s="129"/>
      <c r="U868" s="129"/>
      <c r="V868" s="129"/>
      <c r="W868" s="129"/>
      <c r="X868" s="129"/>
      <c r="Y868" s="129"/>
      <c r="Z868" s="129"/>
    </row>
    <row r="869" ht="12.0" customHeight="1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70"/>
      <c r="T869" s="129"/>
      <c r="U869" s="129"/>
      <c r="V869" s="129"/>
      <c r="W869" s="129"/>
      <c r="X869" s="129"/>
      <c r="Y869" s="129"/>
      <c r="Z869" s="129"/>
    </row>
    <row r="870" ht="12.0" customHeight="1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70"/>
      <c r="T870" s="129"/>
      <c r="U870" s="129"/>
      <c r="V870" s="129"/>
      <c r="W870" s="129"/>
      <c r="X870" s="129"/>
      <c r="Y870" s="129"/>
      <c r="Z870" s="129"/>
    </row>
    <row r="871" ht="12.0" customHeight="1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70"/>
      <c r="T871" s="129"/>
      <c r="U871" s="129"/>
      <c r="V871" s="129"/>
      <c r="W871" s="129"/>
      <c r="X871" s="129"/>
      <c r="Y871" s="129"/>
      <c r="Z871" s="129"/>
    </row>
    <row r="872" ht="12.0" customHeight="1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70"/>
      <c r="T872" s="129"/>
      <c r="U872" s="129"/>
      <c r="V872" s="129"/>
      <c r="W872" s="129"/>
      <c r="X872" s="129"/>
      <c r="Y872" s="129"/>
      <c r="Z872" s="129"/>
    </row>
    <row r="873" ht="12.0" customHeight="1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70"/>
      <c r="T873" s="129"/>
      <c r="U873" s="129"/>
      <c r="V873" s="129"/>
      <c r="W873" s="129"/>
      <c r="X873" s="129"/>
      <c r="Y873" s="129"/>
      <c r="Z873" s="129"/>
    </row>
    <row r="874" ht="12.0" customHeight="1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70"/>
      <c r="T874" s="129"/>
      <c r="U874" s="129"/>
      <c r="V874" s="129"/>
      <c r="W874" s="129"/>
      <c r="X874" s="129"/>
      <c r="Y874" s="129"/>
      <c r="Z874" s="129"/>
    </row>
    <row r="875" ht="12.0" customHeight="1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70"/>
      <c r="T875" s="129"/>
      <c r="U875" s="129"/>
      <c r="V875" s="129"/>
      <c r="W875" s="129"/>
      <c r="X875" s="129"/>
      <c r="Y875" s="129"/>
      <c r="Z875" s="129"/>
    </row>
    <row r="876" ht="12.0" customHeight="1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70"/>
      <c r="T876" s="129"/>
      <c r="U876" s="129"/>
      <c r="V876" s="129"/>
      <c r="W876" s="129"/>
      <c r="X876" s="129"/>
      <c r="Y876" s="129"/>
      <c r="Z876" s="129"/>
    </row>
    <row r="877" ht="12.0" customHeight="1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70"/>
      <c r="T877" s="129"/>
      <c r="U877" s="129"/>
      <c r="V877" s="129"/>
      <c r="W877" s="129"/>
      <c r="X877" s="129"/>
      <c r="Y877" s="129"/>
      <c r="Z877" s="129"/>
    </row>
    <row r="878" ht="12.0" customHeight="1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70"/>
      <c r="T878" s="129"/>
      <c r="U878" s="129"/>
      <c r="V878" s="129"/>
      <c r="W878" s="129"/>
      <c r="X878" s="129"/>
      <c r="Y878" s="129"/>
      <c r="Z878" s="129"/>
    </row>
    <row r="879" ht="12.0" customHeight="1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70"/>
      <c r="T879" s="129"/>
      <c r="U879" s="129"/>
      <c r="V879" s="129"/>
      <c r="W879" s="129"/>
      <c r="X879" s="129"/>
      <c r="Y879" s="129"/>
      <c r="Z879" s="129"/>
    </row>
    <row r="880" ht="12.0" customHeight="1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70"/>
      <c r="T880" s="129"/>
      <c r="U880" s="129"/>
      <c r="V880" s="129"/>
      <c r="W880" s="129"/>
      <c r="X880" s="129"/>
      <c r="Y880" s="129"/>
      <c r="Z880" s="129"/>
    </row>
    <row r="881" ht="12.0" customHeight="1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70"/>
      <c r="T881" s="129"/>
      <c r="U881" s="129"/>
      <c r="V881" s="129"/>
      <c r="W881" s="129"/>
      <c r="X881" s="129"/>
      <c r="Y881" s="129"/>
      <c r="Z881" s="129"/>
    </row>
    <row r="882" ht="12.0" customHeight="1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70"/>
      <c r="T882" s="129"/>
      <c r="U882" s="129"/>
      <c r="V882" s="129"/>
      <c r="W882" s="129"/>
      <c r="X882" s="129"/>
      <c r="Y882" s="129"/>
      <c r="Z882" s="129"/>
    </row>
    <row r="883" ht="12.0" customHeight="1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70"/>
      <c r="T883" s="129"/>
      <c r="U883" s="129"/>
      <c r="V883" s="129"/>
      <c r="W883" s="129"/>
      <c r="X883" s="129"/>
      <c r="Y883" s="129"/>
      <c r="Z883" s="129"/>
    </row>
    <row r="884" ht="12.0" customHeight="1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70"/>
      <c r="T884" s="129"/>
      <c r="U884" s="129"/>
      <c r="V884" s="129"/>
      <c r="W884" s="129"/>
      <c r="X884" s="129"/>
      <c r="Y884" s="129"/>
      <c r="Z884" s="129"/>
    </row>
    <row r="885" ht="12.0" customHeight="1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70"/>
      <c r="T885" s="129"/>
      <c r="U885" s="129"/>
      <c r="V885" s="129"/>
      <c r="W885" s="129"/>
      <c r="X885" s="129"/>
      <c r="Y885" s="129"/>
      <c r="Z885" s="129"/>
    </row>
    <row r="886" ht="12.0" customHeight="1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70"/>
      <c r="T886" s="129"/>
      <c r="U886" s="129"/>
      <c r="V886" s="129"/>
      <c r="W886" s="129"/>
      <c r="X886" s="129"/>
      <c r="Y886" s="129"/>
      <c r="Z886" s="129"/>
    </row>
    <row r="887" ht="12.0" customHeight="1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70"/>
      <c r="T887" s="129"/>
      <c r="U887" s="129"/>
      <c r="V887" s="129"/>
      <c r="W887" s="129"/>
      <c r="X887" s="129"/>
      <c r="Y887" s="129"/>
      <c r="Z887" s="129"/>
    </row>
    <row r="888" ht="12.0" customHeight="1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70"/>
      <c r="T888" s="129"/>
      <c r="U888" s="129"/>
      <c r="V888" s="129"/>
      <c r="W888" s="129"/>
      <c r="X888" s="129"/>
      <c r="Y888" s="129"/>
      <c r="Z888" s="129"/>
    </row>
    <row r="889" ht="12.0" customHeight="1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70"/>
      <c r="T889" s="129"/>
      <c r="U889" s="129"/>
      <c r="V889" s="129"/>
      <c r="W889" s="129"/>
      <c r="X889" s="129"/>
      <c r="Y889" s="129"/>
      <c r="Z889" s="129"/>
    </row>
    <row r="890" ht="12.0" customHeight="1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70"/>
      <c r="T890" s="129"/>
      <c r="U890" s="129"/>
      <c r="V890" s="129"/>
      <c r="W890" s="129"/>
      <c r="X890" s="129"/>
      <c r="Y890" s="129"/>
      <c r="Z890" s="129"/>
    </row>
    <row r="891" ht="12.0" customHeight="1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70"/>
      <c r="T891" s="129"/>
      <c r="U891" s="129"/>
      <c r="V891" s="129"/>
      <c r="W891" s="129"/>
      <c r="X891" s="129"/>
      <c r="Y891" s="129"/>
      <c r="Z891" s="129"/>
    </row>
    <row r="892" ht="12.0" customHeight="1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70"/>
      <c r="T892" s="129"/>
      <c r="U892" s="129"/>
      <c r="V892" s="129"/>
      <c r="W892" s="129"/>
      <c r="X892" s="129"/>
      <c r="Y892" s="129"/>
      <c r="Z892" s="129"/>
    </row>
    <row r="893" ht="12.0" customHeight="1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70"/>
      <c r="T893" s="129"/>
      <c r="U893" s="129"/>
      <c r="V893" s="129"/>
      <c r="W893" s="129"/>
      <c r="X893" s="129"/>
      <c r="Y893" s="129"/>
      <c r="Z893" s="129"/>
    </row>
    <row r="894" ht="12.0" customHeight="1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70"/>
      <c r="T894" s="129"/>
      <c r="U894" s="129"/>
      <c r="V894" s="129"/>
      <c r="W894" s="129"/>
      <c r="X894" s="129"/>
      <c r="Y894" s="129"/>
      <c r="Z894" s="129"/>
    </row>
    <row r="895" ht="12.0" customHeight="1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70"/>
      <c r="T895" s="129"/>
      <c r="U895" s="129"/>
      <c r="V895" s="129"/>
      <c r="W895" s="129"/>
      <c r="X895" s="129"/>
      <c r="Y895" s="129"/>
      <c r="Z895" s="129"/>
    </row>
    <row r="896" ht="12.0" customHeight="1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70"/>
      <c r="T896" s="129"/>
      <c r="U896" s="129"/>
      <c r="V896" s="129"/>
      <c r="W896" s="129"/>
      <c r="X896" s="129"/>
      <c r="Y896" s="129"/>
      <c r="Z896" s="129"/>
    </row>
    <row r="897" ht="12.0" customHeight="1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70"/>
      <c r="T897" s="129"/>
      <c r="U897" s="129"/>
      <c r="V897" s="129"/>
      <c r="W897" s="129"/>
      <c r="X897" s="129"/>
      <c r="Y897" s="129"/>
      <c r="Z897" s="129"/>
    </row>
    <row r="898" ht="12.0" customHeight="1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70"/>
      <c r="T898" s="129"/>
      <c r="U898" s="129"/>
      <c r="V898" s="129"/>
      <c r="W898" s="129"/>
      <c r="X898" s="129"/>
      <c r="Y898" s="129"/>
      <c r="Z898" s="129"/>
    </row>
    <row r="899" ht="12.0" customHeight="1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70"/>
      <c r="T899" s="129"/>
      <c r="U899" s="129"/>
      <c r="V899" s="129"/>
      <c r="W899" s="129"/>
      <c r="X899" s="129"/>
      <c r="Y899" s="129"/>
      <c r="Z899" s="129"/>
    </row>
    <row r="900" ht="12.0" customHeight="1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70"/>
      <c r="T900" s="129"/>
      <c r="U900" s="129"/>
      <c r="V900" s="129"/>
      <c r="W900" s="129"/>
      <c r="X900" s="129"/>
      <c r="Y900" s="129"/>
      <c r="Z900" s="129"/>
    </row>
    <row r="901" ht="12.0" customHeight="1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70"/>
      <c r="T901" s="129"/>
      <c r="U901" s="129"/>
      <c r="V901" s="129"/>
      <c r="W901" s="129"/>
      <c r="X901" s="129"/>
      <c r="Y901" s="129"/>
      <c r="Z901" s="129"/>
    </row>
    <row r="902" ht="12.0" customHeight="1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70"/>
      <c r="T902" s="129"/>
      <c r="U902" s="129"/>
      <c r="V902" s="129"/>
      <c r="W902" s="129"/>
      <c r="X902" s="129"/>
      <c r="Y902" s="129"/>
      <c r="Z902" s="129"/>
    </row>
    <row r="903" ht="12.0" customHeight="1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70"/>
      <c r="T903" s="129"/>
      <c r="U903" s="129"/>
      <c r="V903" s="129"/>
      <c r="W903" s="129"/>
      <c r="X903" s="129"/>
      <c r="Y903" s="129"/>
      <c r="Z903" s="129"/>
    </row>
    <row r="904" ht="12.0" customHeight="1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70"/>
      <c r="T904" s="129"/>
      <c r="U904" s="129"/>
      <c r="V904" s="129"/>
      <c r="W904" s="129"/>
      <c r="X904" s="129"/>
      <c r="Y904" s="129"/>
      <c r="Z904" s="129"/>
    </row>
    <row r="905" ht="12.0" customHeight="1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70"/>
      <c r="T905" s="129"/>
      <c r="U905" s="129"/>
      <c r="V905" s="129"/>
      <c r="W905" s="129"/>
      <c r="X905" s="129"/>
      <c r="Y905" s="129"/>
      <c r="Z905" s="129"/>
    </row>
    <row r="906" ht="12.0" customHeight="1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70"/>
      <c r="T906" s="129"/>
      <c r="U906" s="129"/>
      <c r="V906" s="129"/>
      <c r="W906" s="129"/>
      <c r="X906" s="129"/>
      <c r="Y906" s="129"/>
      <c r="Z906" s="129"/>
    </row>
    <row r="907" ht="12.0" customHeight="1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70"/>
      <c r="T907" s="129"/>
      <c r="U907" s="129"/>
      <c r="V907" s="129"/>
      <c r="W907" s="129"/>
      <c r="X907" s="129"/>
      <c r="Y907" s="129"/>
      <c r="Z907" s="129"/>
    </row>
    <row r="908" ht="12.0" customHeight="1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70"/>
      <c r="T908" s="129"/>
      <c r="U908" s="129"/>
      <c r="V908" s="129"/>
      <c r="W908" s="129"/>
      <c r="X908" s="129"/>
      <c r="Y908" s="129"/>
      <c r="Z908" s="129"/>
    </row>
    <row r="909" ht="12.0" customHeight="1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70"/>
      <c r="T909" s="129"/>
      <c r="U909" s="129"/>
      <c r="V909" s="129"/>
      <c r="W909" s="129"/>
      <c r="X909" s="129"/>
      <c r="Y909" s="129"/>
      <c r="Z909" s="129"/>
    </row>
    <row r="910" ht="12.0" customHeight="1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70"/>
      <c r="T910" s="129"/>
      <c r="U910" s="129"/>
      <c r="V910" s="129"/>
      <c r="W910" s="129"/>
      <c r="X910" s="129"/>
      <c r="Y910" s="129"/>
      <c r="Z910" s="129"/>
    </row>
    <row r="911" ht="12.0" customHeight="1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70"/>
      <c r="T911" s="129"/>
      <c r="U911" s="129"/>
      <c r="V911" s="129"/>
      <c r="W911" s="129"/>
      <c r="X911" s="129"/>
      <c r="Y911" s="129"/>
      <c r="Z911" s="129"/>
    </row>
    <row r="912" ht="12.0" customHeight="1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70"/>
      <c r="T912" s="129"/>
      <c r="U912" s="129"/>
      <c r="V912" s="129"/>
      <c r="W912" s="129"/>
      <c r="X912" s="129"/>
      <c r="Y912" s="129"/>
      <c r="Z912" s="129"/>
    </row>
    <row r="913" ht="12.0" customHeight="1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70"/>
      <c r="T913" s="129"/>
      <c r="U913" s="129"/>
      <c r="V913" s="129"/>
      <c r="W913" s="129"/>
      <c r="X913" s="129"/>
      <c r="Y913" s="129"/>
      <c r="Z913" s="129"/>
    </row>
    <row r="914" ht="12.0" customHeight="1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70"/>
      <c r="T914" s="129"/>
      <c r="U914" s="129"/>
      <c r="V914" s="129"/>
      <c r="W914" s="129"/>
      <c r="X914" s="129"/>
      <c r="Y914" s="129"/>
      <c r="Z914" s="129"/>
    </row>
    <row r="915" ht="12.0" customHeight="1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70"/>
      <c r="T915" s="129"/>
      <c r="U915" s="129"/>
      <c r="V915" s="129"/>
      <c r="W915" s="129"/>
      <c r="X915" s="129"/>
      <c r="Y915" s="129"/>
      <c r="Z915" s="129"/>
    </row>
    <row r="916" ht="12.0" customHeight="1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70"/>
      <c r="T916" s="129"/>
      <c r="U916" s="129"/>
      <c r="V916" s="129"/>
      <c r="W916" s="129"/>
      <c r="X916" s="129"/>
      <c r="Y916" s="129"/>
      <c r="Z916" s="129"/>
    </row>
    <row r="917" ht="12.0" customHeight="1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70"/>
      <c r="T917" s="129"/>
      <c r="U917" s="129"/>
      <c r="V917" s="129"/>
      <c r="W917" s="129"/>
      <c r="X917" s="129"/>
      <c r="Y917" s="129"/>
      <c r="Z917" s="129"/>
    </row>
    <row r="918" ht="12.0" customHeight="1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70"/>
      <c r="T918" s="129"/>
      <c r="U918" s="129"/>
      <c r="V918" s="129"/>
      <c r="W918" s="129"/>
      <c r="X918" s="129"/>
      <c r="Y918" s="129"/>
      <c r="Z918" s="129"/>
    </row>
    <row r="919" ht="12.0" customHeight="1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70"/>
      <c r="T919" s="129"/>
      <c r="U919" s="129"/>
      <c r="V919" s="129"/>
      <c r="W919" s="129"/>
      <c r="X919" s="129"/>
      <c r="Y919" s="129"/>
      <c r="Z919" s="129"/>
    </row>
    <row r="920" ht="12.0" customHeight="1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70"/>
      <c r="T920" s="129"/>
      <c r="U920" s="129"/>
      <c r="V920" s="129"/>
      <c r="W920" s="129"/>
      <c r="X920" s="129"/>
      <c r="Y920" s="129"/>
      <c r="Z920" s="129"/>
    </row>
    <row r="921" ht="12.0" customHeight="1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70"/>
      <c r="T921" s="129"/>
      <c r="U921" s="129"/>
      <c r="V921" s="129"/>
      <c r="W921" s="129"/>
      <c r="X921" s="129"/>
      <c r="Y921" s="129"/>
      <c r="Z921" s="129"/>
    </row>
    <row r="922" ht="12.0" customHeight="1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70"/>
      <c r="T922" s="129"/>
      <c r="U922" s="129"/>
      <c r="V922" s="129"/>
      <c r="W922" s="129"/>
      <c r="X922" s="129"/>
      <c r="Y922" s="129"/>
      <c r="Z922" s="129"/>
    </row>
    <row r="923" ht="12.0" customHeight="1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70"/>
      <c r="T923" s="129"/>
      <c r="U923" s="129"/>
      <c r="V923" s="129"/>
      <c r="W923" s="129"/>
      <c r="X923" s="129"/>
      <c r="Y923" s="129"/>
      <c r="Z923" s="129"/>
    </row>
    <row r="924" ht="12.0" customHeight="1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70"/>
      <c r="T924" s="129"/>
      <c r="U924" s="129"/>
      <c r="V924" s="129"/>
      <c r="W924" s="129"/>
      <c r="X924" s="129"/>
      <c r="Y924" s="129"/>
      <c r="Z924" s="129"/>
    </row>
    <row r="925" ht="12.0" customHeight="1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70"/>
      <c r="T925" s="129"/>
      <c r="U925" s="129"/>
      <c r="V925" s="129"/>
      <c r="W925" s="129"/>
      <c r="X925" s="129"/>
      <c r="Y925" s="129"/>
      <c r="Z925" s="129"/>
    </row>
    <row r="926" ht="12.0" customHeight="1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70"/>
      <c r="T926" s="129"/>
      <c r="U926" s="129"/>
      <c r="V926" s="129"/>
      <c r="W926" s="129"/>
      <c r="X926" s="129"/>
      <c r="Y926" s="129"/>
      <c r="Z926" s="129"/>
    </row>
    <row r="927" ht="12.0" customHeight="1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70"/>
      <c r="T927" s="129"/>
      <c r="U927" s="129"/>
      <c r="V927" s="129"/>
      <c r="W927" s="129"/>
      <c r="X927" s="129"/>
      <c r="Y927" s="129"/>
      <c r="Z927" s="129"/>
    </row>
    <row r="928" ht="12.0" customHeight="1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70"/>
      <c r="T928" s="129"/>
      <c r="U928" s="129"/>
      <c r="V928" s="129"/>
      <c r="W928" s="129"/>
      <c r="X928" s="129"/>
      <c r="Y928" s="129"/>
      <c r="Z928" s="129"/>
    </row>
    <row r="929" ht="12.0" customHeight="1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70"/>
      <c r="T929" s="129"/>
      <c r="U929" s="129"/>
      <c r="V929" s="129"/>
      <c r="W929" s="129"/>
      <c r="X929" s="129"/>
      <c r="Y929" s="129"/>
      <c r="Z929" s="129"/>
    </row>
    <row r="930" ht="12.0" customHeight="1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70"/>
      <c r="T930" s="129"/>
      <c r="U930" s="129"/>
      <c r="V930" s="129"/>
      <c r="W930" s="129"/>
      <c r="X930" s="129"/>
      <c r="Y930" s="129"/>
      <c r="Z930" s="129"/>
    </row>
    <row r="931" ht="12.0" customHeight="1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70"/>
      <c r="T931" s="129"/>
      <c r="U931" s="129"/>
      <c r="V931" s="129"/>
      <c r="W931" s="129"/>
      <c r="X931" s="129"/>
      <c r="Y931" s="129"/>
      <c r="Z931" s="129"/>
    </row>
    <row r="932" ht="12.0" customHeight="1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70"/>
      <c r="T932" s="129"/>
      <c r="U932" s="129"/>
      <c r="V932" s="129"/>
      <c r="W932" s="129"/>
      <c r="X932" s="129"/>
      <c r="Y932" s="129"/>
      <c r="Z932" s="129"/>
    </row>
    <row r="933" ht="12.0" customHeight="1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70"/>
      <c r="T933" s="129"/>
      <c r="U933" s="129"/>
      <c r="V933" s="129"/>
      <c r="W933" s="129"/>
      <c r="X933" s="129"/>
      <c r="Y933" s="129"/>
      <c r="Z933" s="129"/>
    </row>
    <row r="934" ht="12.0" customHeight="1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70"/>
      <c r="T934" s="129"/>
      <c r="U934" s="129"/>
      <c r="V934" s="129"/>
      <c r="W934" s="129"/>
      <c r="X934" s="129"/>
      <c r="Y934" s="129"/>
      <c r="Z934" s="129"/>
    </row>
    <row r="935" ht="12.0" customHeight="1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70"/>
      <c r="T935" s="129"/>
      <c r="U935" s="129"/>
      <c r="V935" s="129"/>
      <c r="W935" s="129"/>
      <c r="X935" s="129"/>
      <c r="Y935" s="129"/>
      <c r="Z935" s="129"/>
    </row>
    <row r="936" ht="12.0" customHeight="1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70"/>
      <c r="T936" s="129"/>
      <c r="U936" s="129"/>
      <c r="V936" s="129"/>
      <c r="W936" s="129"/>
      <c r="X936" s="129"/>
      <c r="Y936" s="129"/>
      <c r="Z936" s="129"/>
    </row>
    <row r="937" ht="12.0" customHeight="1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70"/>
      <c r="T937" s="129"/>
      <c r="U937" s="129"/>
      <c r="V937" s="129"/>
      <c r="W937" s="129"/>
      <c r="X937" s="129"/>
      <c r="Y937" s="129"/>
      <c r="Z937" s="129"/>
    </row>
    <row r="938" ht="12.0" customHeight="1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70"/>
      <c r="T938" s="129"/>
      <c r="U938" s="129"/>
      <c r="V938" s="129"/>
      <c r="W938" s="129"/>
      <c r="X938" s="129"/>
      <c r="Y938" s="129"/>
      <c r="Z938" s="129"/>
    </row>
    <row r="939" ht="12.0" customHeight="1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70"/>
      <c r="T939" s="129"/>
      <c r="U939" s="129"/>
      <c r="V939" s="129"/>
      <c r="W939" s="129"/>
      <c r="X939" s="129"/>
      <c r="Y939" s="129"/>
      <c r="Z939" s="129"/>
    </row>
    <row r="940" ht="12.0" customHeight="1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70"/>
      <c r="T940" s="129"/>
      <c r="U940" s="129"/>
      <c r="V940" s="129"/>
      <c r="W940" s="129"/>
      <c r="X940" s="129"/>
      <c r="Y940" s="129"/>
      <c r="Z940" s="129"/>
    </row>
    <row r="941" ht="12.0" customHeight="1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70"/>
      <c r="T941" s="129"/>
      <c r="U941" s="129"/>
      <c r="V941" s="129"/>
      <c r="W941" s="129"/>
      <c r="X941" s="129"/>
      <c r="Y941" s="129"/>
      <c r="Z941" s="129"/>
    </row>
    <row r="942" ht="12.0" customHeight="1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70"/>
      <c r="T942" s="129"/>
      <c r="U942" s="129"/>
      <c r="V942" s="129"/>
      <c r="W942" s="129"/>
      <c r="X942" s="129"/>
      <c r="Y942" s="129"/>
      <c r="Z942" s="129"/>
    </row>
    <row r="943" ht="12.0" customHeight="1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70"/>
      <c r="T943" s="129"/>
      <c r="U943" s="129"/>
      <c r="V943" s="129"/>
      <c r="W943" s="129"/>
      <c r="X943" s="129"/>
      <c r="Y943" s="129"/>
      <c r="Z943" s="129"/>
    </row>
    <row r="944" ht="12.0" customHeight="1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70"/>
      <c r="T944" s="129"/>
      <c r="U944" s="129"/>
      <c r="V944" s="129"/>
      <c r="W944" s="129"/>
      <c r="X944" s="129"/>
      <c r="Y944" s="129"/>
      <c r="Z944" s="129"/>
    </row>
    <row r="945" ht="12.0" customHeight="1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70"/>
      <c r="T945" s="129"/>
      <c r="U945" s="129"/>
      <c r="V945" s="129"/>
      <c r="W945" s="129"/>
      <c r="X945" s="129"/>
      <c r="Y945" s="129"/>
      <c r="Z945" s="129"/>
    </row>
    <row r="946" ht="12.0" customHeight="1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70"/>
      <c r="T946" s="129"/>
      <c r="U946" s="129"/>
      <c r="V946" s="129"/>
      <c r="W946" s="129"/>
      <c r="X946" s="129"/>
      <c r="Y946" s="129"/>
      <c r="Z946" s="129"/>
    </row>
    <row r="947" ht="12.0" customHeight="1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70"/>
      <c r="T947" s="129"/>
      <c r="U947" s="129"/>
      <c r="V947" s="129"/>
      <c r="W947" s="129"/>
      <c r="X947" s="129"/>
      <c r="Y947" s="129"/>
      <c r="Z947" s="129"/>
    </row>
    <row r="948" ht="12.0" customHeight="1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70"/>
      <c r="T948" s="129"/>
      <c r="U948" s="129"/>
      <c r="V948" s="129"/>
      <c r="W948" s="129"/>
      <c r="X948" s="129"/>
      <c r="Y948" s="129"/>
      <c r="Z948" s="129"/>
    </row>
    <row r="949" ht="12.0" customHeight="1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70"/>
      <c r="T949" s="129"/>
      <c r="U949" s="129"/>
      <c r="V949" s="129"/>
      <c r="W949" s="129"/>
      <c r="X949" s="129"/>
      <c r="Y949" s="129"/>
      <c r="Z949" s="129"/>
    </row>
    <row r="950" ht="12.0" customHeight="1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70"/>
      <c r="T950" s="129"/>
      <c r="U950" s="129"/>
      <c r="V950" s="129"/>
      <c r="W950" s="129"/>
      <c r="X950" s="129"/>
      <c r="Y950" s="129"/>
      <c r="Z950" s="129"/>
    </row>
    <row r="951" ht="12.0" customHeight="1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70"/>
      <c r="T951" s="129"/>
      <c r="U951" s="129"/>
      <c r="V951" s="129"/>
      <c r="W951" s="129"/>
      <c r="X951" s="129"/>
      <c r="Y951" s="129"/>
      <c r="Z951" s="129"/>
    </row>
    <row r="952" ht="12.0" customHeight="1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70"/>
      <c r="T952" s="129"/>
      <c r="U952" s="129"/>
      <c r="V952" s="129"/>
      <c r="W952" s="129"/>
      <c r="X952" s="129"/>
      <c r="Y952" s="129"/>
      <c r="Z952" s="129"/>
    </row>
    <row r="953" ht="12.0" customHeight="1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70"/>
      <c r="T953" s="129"/>
      <c r="U953" s="129"/>
      <c r="V953" s="129"/>
      <c r="W953" s="129"/>
      <c r="X953" s="129"/>
      <c r="Y953" s="129"/>
      <c r="Z953" s="129"/>
    </row>
    <row r="954" ht="12.0" customHeight="1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70"/>
      <c r="T954" s="129"/>
      <c r="U954" s="129"/>
      <c r="V954" s="129"/>
      <c r="W954" s="129"/>
      <c r="X954" s="129"/>
      <c r="Y954" s="129"/>
      <c r="Z954" s="129"/>
    </row>
    <row r="955" ht="12.0" customHeight="1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70"/>
      <c r="T955" s="129"/>
      <c r="U955" s="129"/>
      <c r="V955" s="129"/>
      <c r="W955" s="129"/>
      <c r="X955" s="129"/>
      <c r="Y955" s="129"/>
      <c r="Z955" s="129"/>
    </row>
    <row r="956" ht="12.0" customHeight="1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70"/>
      <c r="T956" s="129"/>
      <c r="U956" s="129"/>
      <c r="V956" s="129"/>
      <c r="W956" s="129"/>
      <c r="X956" s="129"/>
      <c r="Y956" s="129"/>
      <c r="Z956" s="129"/>
    </row>
    <row r="957" ht="12.0" customHeight="1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70"/>
      <c r="T957" s="129"/>
      <c r="U957" s="129"/>
      <c r="V957" s="129"/>
      <c r="W957" s="129"/>
      <c r="X957" s="129"/>
      <c r="Y957" s="129"/>
      <c r="Z957" s="129"/>
    </row>
    <row r="958" ht="12.0" customHeight="1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70"/>
      <c r="T958" s="129"/>
      <c r="U958" s="129"/>
      <c r="V958" s="129"/>
      <c r="W958" s="129"/>
      <c r="X958" s="129"/>
      <c r="Y958" s="129"/>
      <c r="Z958" s="129"/>
    </row>
    <row r="959" ht="12.0" customHeight="1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70"/>
      <c r="T959" s="129"/>
      <c r="U959" s="129"/>
      <c r="V959" s="129"/>
      <c r="W959" s="129"/>
      <c r="X959" s="129"/>
      <c r="Y959" s="129"/>
      <c r="Z959" s="129"/>
    </row>
    <row r="960" ht="12.0" customHeight="1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70"/>
      <c r="T960" s="129"/>
      <c r="U960" s="129"/>
      <c r="V960" s="129"/>
      <c r="W960" s="129"/>
      <c r="X960" s="129"/>
      <c r="Y960" s="129"/>
      <c r="Z960" s="129"/>
    </row>
    <row r="961" ht="12.0" customHeight="1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70"/>
      <c r="T961" s="129"/>
      <c r="U961" s="129"/>
      <c r="V961" s="129"/>
      <c r="W961" s="129"/>
      <c r="X961" s="129"/>
      <c r="Y961" s="129"/>
      <c r="Z961" s="129"/>
    </row>
    <row r="962" ht="12.0" customHeight="1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70"/>
      <c r="T962" s="129"/>
      <c r="U962" s="129"/>
      <c r="V962" s="129"/>
      <c r="W962" s="129"/>
      <c r="X962" s="129"/>
      <c r="Y962" s="129"/>
      <c r="Z962" s="129"/>
    </row>
    <row r="963" ht="12.0" customHeight="1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70"/>
      <c r="T963" s="129"/>
      <c r="U963" s="129"/>
      <c r="V963" s="129"/>
      <c r="W963" s="129"/>
      <c r="X963" s="129"/>
      <c r="Y963" s="129"/>
      <c r="Z963" s="129"/>
    </row>
    <row r="964" ht="12.0" customHeight="1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70"/>
      <c r="T964" s="129"/>
      <c r="U964" s="129"/>
      <c r="V964" s="129"/>
      <c r="W964" s="129"/>
      <c r="X964" s="129"/>
      <c r="Y964" s="129"/>
      <c r="Z964" s="129"/>
    </row>
    <row r="965" ht="12.0" customHeight="1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70"/>
      <c r="T965" s="129"/>
      <c r="U965" s="129"/>
      <c r="V965" s="129"/>
      <c r="W965" s="129"/>
      <c r="X965" s="129"/>
      <c r="Y965" s="129"/>
      <c r="Z965" s="129"/>
    </row>
    <row r="966" ht="12.0" customHeight="1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70"/>
      <c r="T966" s="129"/>
      <c r="U966" s="129"/>
      <c r="V966" s="129"/>
      <c r="W966" s="129"/>
      <c r="X966" s="129"/>
      <c r="Y966" s="129"/>
      <c r="Z966" s="129"/>
    </row>
    <row r="967" ht="12.0" customHeight="1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70"/>
      <c r="T967" s="129"/>
      <c r="U967" s="129"/>
      <c r="V967" s="129"/>
      <c r="W967" s="129"/>
      <c r="X967" s="129"/>
      <c r="Y967" s="129"/>
      <c r="Z967" s="129"/>
    </row>
    <row r="968" ht="12.0" customHeight="1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70"/>
      <c r="T968" s="129"/>
      <c r="U968" s="129"/>
      <c r="V968" s="129"/>
      <c r="W968" s="129"/>
      <c r="X968" s="129"/>
      <c r="Y968" s="129"/>
      <c r="Z968" s="129"/>
    </row>
    <row r="969" ht="12.0" customHeight="1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70"/>
      <c r="T969" s="129"/>
      <c r="U969" s="129"/>
      <c r="V969" s="129"/>
      <c r="W969" s="129"/>
      <c r="X969" s="129"/>
      <c r="Y969" s="129"/>
      <c r="Z969" s="129"/>
    </row>
    <row r="970" ht="12.0" customHeight="1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70"/>
      <c r="T970" s="129"/>
      <c r="U970" s="129"/>
      <c r="V970" s="129"/>
      <c r="W970" s="129"/>
      <c r="X970" s="129"/>
      <c r="Y970" s="129"/>
      <c r="Z970" s="129"/>
    </row>
    <row r="971" ht="12.0" customHeight="1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70"/>
      <c r="T971" s="129"/>
      <c r="U971" s="129"/>
      <c r="V971" s="129"/>
      <c r="W971" s="129"/>
      <c r="X971" s="129"/>
      <c r="Y971" s="129"/>
      <c r="Z971" s="129"/>
    </row>
    <row r="972" ht="12.0" customHeight="1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70"/>
      <c r="T972" s="129"/>
      <c r="U972" s="129"/>
      <c r="V972" s="129"/>
      <c r="W972" s="129"/>
      <c r="X972" s="129"/>
      <c r="Y972" s="129"/>
      <c r="Z972" s="129"/>
    </row>
    <row r="973" ht="12.0" customHeight="1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70"/>
      <c r="T973" s="129"/>
      <c r="U973" s="129"/>
      <c r="V973" s="129"/>
      <c r="W973" s="129"/>
      <c r="X973" s="129"/>
      <c r="Y973" s="129"/>
      <c r="Z973" s="129"/>
    </row>
    <row r="974" ht="12.0" customHeight="1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70"/>
      <c r="T974" s="129"/>
      <c r="U974" s="129"/>
      <c r="V974" s="129"/>
      <c r="W974" s="129"/>
      <c r="X974" s="129"/>
      <c r="Y974" s="129"/>
      <c r="Z974" s="129"/>
    </row>
    <row r="975" ht="12.0" customHeight="1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70"/>
      <c r="T975" s="129"/>
      <c r="U975" s="129"/>
      <c r="V975" s="129"/>
      <c r="W975" s="129"/>
      <c r="X975" s="129"/>
      <c r="Y975" s="129"/>
      <c r="Z975" s="129"/>
    </row>
    <row r="976" ht="12.0" customHeight="1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70"/>
      <c r="T976" s="129"/>
      <c r="U976" s="129"/>
      <c r="V976" s="129"/>
      <c r="W976" s="129"/>
      <c r="X976" s="129"/>
      <c r="Y976" s="129"/>
      <c r="Z976" s="129"/>
    </row>
    <row r="977" ht="12.0" customHeight="1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70"/>
      <c r="T977" s="129"/>
      <c r="U977" s="129"/>
      <c r="V977" s="129"/>
      <c r="W977" s="129"/>
      <c r="X977" s="129"/>
      <c r="Y977" s="129"/>
      <c r="Z977" s="129"/>
    </row>
    <row r="978" ht="12.0" customHeight="1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70"/>
      <c r="T978" s="129"/>
      <c r="U978" s="129"/>
      <c r="V978" s="129"/>
      <c r="W978" s="129"/>
      <c r="X978" s="129"/>
      <c r="Y978" s="129"/>
      <c r="Z978" s="129"/>
    </row>
    <row r="979" ht="12.0" customHeight="1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70"/>
      <c r="T979" s="129"/>
      <c r="U979" s="129"/>
      <c r="V979" s="129"/>
      <c r="W979" s="129"/>
      <c r="X979" s="129"/>
      <c r="Y979" s="129"/>
      <c r="Z979" s="129"/>
    </row>
    <row r="980" ht="12.0" customHeight="1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70"/>
      <c r="T980" s="129"/>
      <c r="U980" s="129"/>
      <c r="V980" s="129"/>
      <c r="W980" s="129"/>
      <c r="X980" s="129"/>
      <c r="Y980" s="129"/>
      <c r="Z980" s="129"/>
    </row>
    <row r="981" ht="12.0" customHeight="1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70"/>
      <c r="T981" s="129"/>
      <c r="U981" s="129"/>
      <c r="V981" s="129"/>
      <c r="W981" s="129"/>
      <c r="X981" s="129"/>
      <c r="Y981" s="129"/>
      <c r="Z981" s="129"/>
    </row>
    <row r="982" ht="12.0" customHeight="1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70"/>
      <c r="T982" s="129"/>
      <c r="U982" s="129"/>
      <c r="V982" s="129"/>
      <c r="W982" s="129"/>
      <c r="X982" s="129"/>
      <c r="Y982" s="129"/>
      <c r="Z982" s="129"/>
    </row>
    <row r="983" ht="12.0" customHeight="1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70"/>
      <c r="T983" s="129"/>
      <c r="U983" s="129"/>
      <c r="V983" s="129"/>
      <c r="W983" s="129"/>
      <c r="X983" s="129"/>
      <c r="Y983" s="129"/>
      <c r="Z983" s="129"/>
    </row>
    <row r="984" ht="12.0" customHeight="1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70"/>
      <c r="T984" s="129"/>
      <c r="U984" s="129"/>
      <c r="V984" s="129"/>
      <c r="W984" s="129"/>
      <c r="X984" s="129"/>
      <c r="Y984" s="129"/>
      <c r="Z984" s="129"/>
    </row>
    <row r="985" ht="12.0" customHeight="1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70"/>
      <c r="T985" s="129"/>
      <c r="U985" s="129"/>
      <c r="V985" s="129"/>
      <c r="W985" s="129"/>
      <c r="X985" s="129"/>
      <c r="Y985" s="129"/>
      <c r="Z985" s="129"/>
    </row>
    <row r="986" ht="12.0" customHeight="1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70"/>
      <c r="T986" s="129"/>
      <c r="U986" s="129"/>
      <c r="V986" s="129"/>
      <c r="W986" s="129"/>
      <c r="X986" s="129"/>
      <c r="Y986" s="129"/>
      <c r="Z986" s="129"/>
    </row>
    <row r="987" ht="12.0" customHeight="1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70"/>
      <c r="T987" s="129"/>
      <c r="U987" s="129"/>
      <c r="V987" s="129"/>
      <c r="W987" s="129"/>
      <c r="X987" s="129"/>
      <c r="Y987" s="129"/>
      <c r="Z987" s="129"/>
    </row>
    <row r="988" ht="12.0" customHeight="1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70"/>
      <c r="T988" s="129"/>
      <c r="U988" s="129"/>
      <c r="V988" s="129"/>
      <c r="W988" s="129"/>
      <c r="X988" s="129"/>
      <c r="Y988" s="129"/>
      <c r="Z988" s="129"/>
    </row>
    <row r="989" ht="12.0" customHeight="1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70"/>
      <c r="T989" s="129"/>
      <c r="U989" s="129"/>
      <c r="V989" s="129"/>
      <c r="W989" s="129"/>
      <c r="X989" s="129"/>
      <c r="Y989" s="129"/>
      <c r="Z989" s="129"/>
    </row>
    <row r="990" ht="12.0" customHeight="1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70"/>
      <c r="T990" s="129"/>
      <c r="U990" s="129"/>
      <c r="V990" s="129"/>
      <c r="W990" s="129"/>
      <c r="X990" s="129"/>
      <c r="Y990" s="129"/>
      <c r="Z990" s="129"/>
    </row>
    <row r="991" ht="12.0" customHeight="1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70"/>
      <c r="T991" s="129"/>
      <c r="U991" s="129"/>
      <c r="V991" s="129"/>
      <c r="W991" s="129"/>
      <c r="X991" s="129"/>
      <c r="Y991" s="129"/>
      <c r="Z991" s="129"/>
    </row>
    <row r="992" ht="12.0" customHeight="1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70"/>
      <c r="T992" s="129"/>
      <c r="U992" s="129"/>
      <c r="V992" s="129"/>
      <c r="W992" s="129"/>
      <c r="X992" s="129"/>
      <c r="Y992" s="129"/>
      <c r="Z992" s="129"/>
    </row>
    <row r="993" ht="12.0" customHeight="1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70"/>
      <c r="T993" s="129"/>
      <c r="U993" s="129"/>
      <c r="V993" s="129"/>
      <c r="W993" s="129"/>
      <c r="X993" s="129"/>
      <c r="Y993" s="129"/>
      <c r="Z993" s="129"/>
    </row>
    <row r="994" ht="12.0" customHeight="1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70"/>
      <c r="T994" s="129"/>
      <c r="U994" s="129"/>
      <c r="V994" s="129"/>
      <c r="W994" s="129"/>
      <c r="X994" s="129"/>
      <c r="Y994" s="129"/>
      <c r="Z994" s="129"/>
    </row>
    <row r="995" ht="12.0" customHeight="1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70"/>
      <c r="T995" s="129"/>
      <c r="U995" s="129"/>
      <c r="V995" s="129"/>
      <c r="W995" s="129"/>
      <c r="X995" s="129"/>
      <c r="Y995" s="129"/>
      <c r="Z995" s="129"/>
    </row>
    <row r="996" ht="12.0" customHeight="1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70"/>
      <c r="T996" s="129"/>
      <c r="U996" s="129"/>
      <c r="V996" s="129"/>
      <c r="W996" s="129"/>
      <c r="X996" s="129"/>
      <c r="Y996" s="129"/>
      <c r="Z996" s="129"/>
    </row>
    <row r="997" ht="12.0" customHeight="1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70"/>
      <c r="T997" s="129"/>
      <c r="U997" s="129"/>
      <c r="V997" s="129"/>
      <c r="W997" s="129"/>
      <c r="X997" s="129"/>
      <c r="Y997" s="129"/>
      <c r="Z997" s="129"/>
    </row>
    <row r="998" ht="12.0" customHeight="1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70"/>
      <c r="T998" s="129"/>
      <c r="U998" s="129"/>
      <c r="V998" s="129"/>
      <c r="W998" s="129"/>
      <c r="X998" s="129"/>
      <c r="Y998" s="129"/>
      <c r="Z998" s="129"/>
    </row>
    <row r="999" ht="12.0" customHeight="1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70"/>
      <c r="T999" s="129"/>
      <c r="U999" s="129"/>
      <c r="V999" s="129"/>
      <c r="W999" s="129"/>
      <c r="X999" s="129"/>
      <c r="Y999" s="129"/>
      <c r="Z999" s="129"/>
    </row>
    <row r="1000" ht="12.0" customHeight="1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70"/>
      <c r="T1000" s="129"/>
      <c r="U1000" s="129"/>
      <c r="V1000" s="129"/>
      <c r="W1000" s="129"/>
      <c r="X1000" s="129"/>
      <c r="Y1000" s="129"/>
      <c r="Z1000" s="129"/>
    </row>
  </sheetData>
  <dataValidations>
    <dataValidation type="list" allowBlank="1" showErrorMessage="1" sqref="I23:I29">
      <formula1>"Operacional,Conduta Profissional/Erro de diagnóstico"</formula1>
    </dataValidation>
    <dataValidation type="list" allowBlank="1" showErrorMessage="1" sqref="E2">
      <formula1>"CORP,BUTA,DIAD,GUAR,IBIR,INTE,ITA2,ITAQ,JABA,LAPA,MLUZ,MOOC,OSAS,PARA,REPU,SACO,SAND,SANT,SBCC,SPMK,STCR,TABO,TAT2,TAT3,TATU,TEO2,TEOD,TREZ,TUCU"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4.0"/>
    <col customWidth="1" min="3" max="3" width="18.0"/>
    <col customWidth="1" min="4" max="4" width="22.43"/>
    <col customWidth="1" min="5" max="5" width="18.86"/>
    <col customWidth="1" min="6" max="6" width="16.43"/>
    <col customWidth="1" min="7" max="7" width="19.71"/>
    <col customWidth="1" min="8" max="8" width="18.29"/>
    <col customWidth="1" min="9" max="9" width="12.86"/>
    <col customWidth="1" min="10" max="10" width="25.14"/>
    <col customWidth="1" min="11" max="11" width="6.71"/>
    <col customWidth="1" min="12" max="12" width="8.43"/>
    <col customWidth="1" min="13" max="13" width="9.57"/>
    <col customWidth="1" min="14" max="14" width="9.71"/>
    <col customWidth="1" min="15" max="15" width="16.71"/>
    <col customWidth="1" min="16" max="16" width="17.86"/>
    <col customWidth="1" min="17" max="17" width="13.71"/>
    <col customWidth="1" min="18" max="18" width="12.29"/>
    <col customWidth="1" min="19" max="19" width="14.14"/>
    <col customWidth="1" min="20" max="20" width="16.57"/>
    <col customWidth="1" min="21" max="21" width="5.71"/>
    <col customWidth="1" min="22" max="22" width="25.57"/>
    <col customWidth="1" min="23" max="23" width="12.71"/>
  </cols>
  <sheetData>
    <row r="1" ht="12.0" customHeight="1">
      <c r="A1" s="112" t="s">
        <v>157</v>
      </c>
      <c r="B1" s="112" t="s">
        <v>158</v>
      </c>
      <c r="C1" s="112" t="s">
        <v>159</v>
      </c>
      <c r="D1" s="112" t="s">
        <v>160</v>
      </c>
      <c r="E1" s="112" t="s">
        <v>161</v>
      </c>
      <c r="F1" s="112" t="s">
        <v>163</v>
      </c>
      <c r="G1" s="112" t="s">
        <v>164</v>
      </c>
      <c r="H1" s="112" t="s">
        <v>165</v>
      </c>
      <c r="I1" s="112" t="s">
        <v>166</v>
      </c>
      <c r="J1" s="112" t="s">
        <v>173</v>
      </c>
      <c r="K1" s="112" t="s">
        <v>175</v>
      </c>
      <c r="L1" s="112" t="s">
        <v>176</v>
      </c>
      <c r="M1" s="112" t="s">
        <v>177</v>
      </c>
      <c r="N1" s="112" t="s">
        <v>178</v>
      </c>
      <c r="O1" s="112" t="s">
        <v>179</v>
      </c>
      <c r="P1" s="112" t="s">
        <v>180</v>
      </c>
      <c r="Q1" s="113" t="s">
        <v>181</v>
      </c>
      <c r="R1" s="113" t="s">
        <v>266</v>
      </c>
      <c r="S1" s="113" t="s">
        <v>209</v>
      </c>
      <c r="T1" s="113" t="s">
        <v>267</v>
      </c>
      <c r="U1" s="113" t="s">
        <v>268</v>
      </c>
      <c r="V1" s="113" t="s">
        <v>269</v>
      </c>
      <c r="W1" s="113" t="s">
        <v>211</v>
      </c>
      <c r="X1" s="21"/>
      <c r="Y1" s="21"/>
      <c r="Z1" s="21"/>
    </row>
    <row r="2" ht="12.0" customHeight="1">
      <c r="A2" s="171"/>
      <c r="B2" s="125" t="s">
        <v>99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21"/>
      <c r="Y2" s="21"/>
      <c r="Z2" s="21"/>
    </row>
    <row r="3" ht="12.0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2.0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2.0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0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0" customHeight="1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2.0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0" customHeight="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0" customHeight="1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2.0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0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0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0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0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0" customHeigh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0" customHeigh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0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0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0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0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0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0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0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0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0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0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0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0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0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0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0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0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0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0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0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0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0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0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0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0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0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0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0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0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0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0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0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0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0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0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0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0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0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0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0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0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0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0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0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0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0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0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0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0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0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0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0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0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0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0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0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0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0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0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0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0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0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0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0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0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0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0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0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0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0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0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0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0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0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0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0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0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0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0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0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0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0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0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0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0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0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0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0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0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0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0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0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0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0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0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0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0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0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0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0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0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0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0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0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0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0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0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0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0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0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0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0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0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0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0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0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0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0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0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0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0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0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0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0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0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0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0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0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0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0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0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0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0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0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0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0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0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0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0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0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0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0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0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0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0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0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0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0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0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0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0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0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0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0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0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0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0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0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0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0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0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0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0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0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0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0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0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0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0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0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0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0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0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0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0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0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0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0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0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0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0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0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0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0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0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0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0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0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0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0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0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0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0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0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0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0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0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0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0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0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0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0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0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0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0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0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0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0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0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0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0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0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0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0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0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0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0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0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0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0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0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0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0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0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0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0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0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0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0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0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0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0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0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0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0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0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0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0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0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0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0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0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0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0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0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0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0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0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0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0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0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0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0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0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0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0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0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0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0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0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0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0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0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0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0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0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0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0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0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0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0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0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0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0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0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0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0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0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0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0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0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0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0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0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0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0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0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0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0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0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0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0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0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0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0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0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0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0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0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0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0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0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0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0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0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0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0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0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0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0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0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0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0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0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0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0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0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0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0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0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0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0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0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0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0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0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0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0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0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0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0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0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0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0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0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0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0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0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0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0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0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0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0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0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0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0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0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0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0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0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0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0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0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0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0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0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0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0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0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0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0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0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0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0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0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0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0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0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0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0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0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0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0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0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0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0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0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0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0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0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0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0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0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0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0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0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0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0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0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0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0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0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0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0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0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0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0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0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0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0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0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0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0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0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0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0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0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0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0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0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0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0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0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0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0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0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0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0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0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0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0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0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0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0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0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0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0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0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0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0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0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0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0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0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0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0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0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0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0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0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0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0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0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0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0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0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0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0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0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0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0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0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0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0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0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0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0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0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0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0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0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0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0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0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0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0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0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0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0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0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0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0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0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0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0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0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0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0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0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0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0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0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0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0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0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0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0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0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0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0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0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0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0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0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0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0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0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0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0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0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0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0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0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0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0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0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0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0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0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0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0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0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0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0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0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0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0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0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0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0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0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0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0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0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0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0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0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0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0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0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0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0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0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0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0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0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0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0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0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0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0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0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0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0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0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0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0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0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0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0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0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0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0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0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0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0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0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0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0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0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0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0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0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0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0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0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0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0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0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0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0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0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0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0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0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0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0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0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0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0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0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0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0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0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0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0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0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0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0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0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0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0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0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0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0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0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0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0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0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0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0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0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0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0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0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0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0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0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0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0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0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0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0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0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0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0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0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0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0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0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0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0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0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0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0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0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0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0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0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0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0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0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0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0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0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0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0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0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0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0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0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0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0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0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0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0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0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0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0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0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0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0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0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0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0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0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0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0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0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0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0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0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0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0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0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0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0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0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0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0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0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0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0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0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0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0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0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0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0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0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0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0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0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0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0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0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0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0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0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0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0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0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0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0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0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0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0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0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0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0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0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0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0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0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0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0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0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0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0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0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0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0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0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0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0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0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0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0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0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0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0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0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0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0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0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0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0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0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0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0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0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0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0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0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0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0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0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0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0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0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0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0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0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0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0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0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0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0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0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0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0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0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0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0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0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0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0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0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0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0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0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0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0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0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0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0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0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0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0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0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0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0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0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0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0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0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0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0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0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0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0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0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0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0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0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0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0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0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0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0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0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0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0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0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0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0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0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0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0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0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0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0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0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0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0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0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0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0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0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0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0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0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0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0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0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0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0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0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0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0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0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0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0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0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0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0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0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0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0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0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0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0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0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0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0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0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0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0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0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0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0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0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0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0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0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0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0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0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0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0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0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0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0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0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0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0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0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0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0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0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0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0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0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0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0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0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0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0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0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0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0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0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0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0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0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0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0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0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0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0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0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0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0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0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0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0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0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0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0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0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0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0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0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0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0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0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0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0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0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0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0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0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0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0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0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0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0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0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0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0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0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0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0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0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0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0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0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0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0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0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0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0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0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0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0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0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0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0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0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0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0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0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0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0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0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0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0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0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0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0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0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0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0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0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0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0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0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0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0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0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0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0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0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0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0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0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0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0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0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0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0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0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0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0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0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0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0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0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0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0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0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0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0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0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0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0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0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0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0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0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0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0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0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0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ataValidations>
    <dataValidation type="list" allowBlank="1" showErrorMessage="1" sqref="B2">
      <formula1>"CORP,BUTA,DIAD,GUAR,IBIR,INTE,ITA2,ITAQ,JABA,LAPA,MLUZ,MOOC,OSAS,PARA,REPU,SACO,SAND,SANT,SBCC,SPMK,STCR,TABO,TAT2,TAT3,TATU,TEO2,TEOD,TREZ,TUCU"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2025-09-19T17:49:16Z</dcterms:created>
  <dc:creator>Andressa Mendonça</dc:creator>
</cp:coreProperties>
</file>